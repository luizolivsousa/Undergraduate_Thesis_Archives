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N:\_EGS\Estudos Gerais\Interligações Internacionais\CF Melo\CC 1200 MVA\Definição das Condições para Teste\"/>
    </mc:Choice>
  </mc:AlternateContent>
  <xr:revisionPtr revIDLastSave="0" documentId="13_ncr:1_{C2DCC394-248D-4EA9-9C8D-DEC51E3A4B93}" xr6:coauthVersionLast="32" xr6:coauthVersionMax="32" xr10:uidLastSave="{00000000-0000-0000-0000-000000000000}"/>
  <bookViews>
    <workbookView xWindow="0" yWindow="0" windowWidth="25230" windowHeight="11595" tabRatio="789" xr2:uid="{00000000-000D-0000-FFFF-FFFF00000000}"/>
  </bookViews>
  <sheets>
    <sheet name="Principal" sheetId="27" r:id="rId1"/>
    <sheet name="Configuração" sheetId="26" state="hidden" r:id="rId2"/>
    <sheet name="Pontos" sheetId="29" state="hidden" r:id="rId3"/>
    <sheet name="Ler PLT" sheetId="30" state="hidden" r:id="rId4"/>
  </sheets>
  <functionGroups builtInGroupCount="19"/>
  <definedNames>
    <definedName name="AnaredeAlterationCode">Configuração!$D$4</definedName>
    <definedName name="AnaredeExclusionCode">Configuração!$F$4</definedName>
    <definedName name="AnaredeInclusionCode">Configuração!$B$4</definedName>
    <definedName name="AnatemAlterationCode">Configuração!$N$4</definedName>
    <definedName name="AnatemCode">Configuração!$L$4</definedName>
    <definedName name="CABusBRA">Configuração!$I$5</definedName>
    <definedName name="CABusURU">Configuração!$I$6</definedName>
    <definedName name="ChoosenTransferValue">Principal!$C$4</definedName>
    <definedName name="ChoosenTransferWay">Principal!$C$5</definedName>
    <definedName name="ListFile">'Ler PLT'!$C$2</definedName>
    <definedName name="LSTBU">Configuração!$P$4</definedName>
    <definedName name="LSTUB">Configuração!$R$4</definedName>
    <definedName name="OutputFile">Principal!$C$6</definedName>
  </definedNames>
  <calcPr calcId="179017"/>
</workbook>
</file>

<file path=xl/calcChain.xml><?xml version="1.0" encoding="utf-8"?>
<calcChain xmlns="http://schemas.openxmlformats.org/spreadsheetml/2006/main">
  <c r="QQ3" i="30" l="1"/>
  <c r="QP3" i="30"/>
  <c r="QO3" i="30"/>
  <c r="QN3" i="30"/>
  <c r="QM3" i="30"/>
  <c r="QL3" i="30"/>
  <c r="QK3" i="30"/>
  <c r="QJ3" i="30"/>
  <c r="QI3" i="30"/>
  <c r="QH3" i="30"/>
  <c r="QG3" i="30"/>
  <c r="QF3" i="30"/>
  <c r="QE3" i="30"/>
  <c r="QD3" i="30"/>
  <c r="QC3" i="30"/>
  <c r="QB3" i="30"/>
  <c r="QA3" i="30"/>
  <c r="PZ3" i="30"/>
  <c r="PY3" i="30"/>
  <c r="PX3" i="30"/>
  <c r="PW3" i="30"/>
  <c r="PV3" i="30"/>
  <c r="PU3" i="30"/>
  <c r="PT3" i="30"/>
  <c r="PS3" i="30"/>
  <c r="PR3" i="30"/>
  <c r="PQ3" i="30"/>
  <c r="PP3" i="30"/>
  <c r="PO3" i="30"/>
  <c r="PN3" i="30"/>
  <c r="PM3" i="30"/>
  <c r="PL3" i="30"/>
  <c r="PK3" i="30"/>
  <c r="PJ3" i="30"/>
  <c r="PI3" i="30"/>
  <c r="PH3" i="30"/>
  <c r="PG3" i="30"/>
  <c r="PF3" i="30"/>
  <c r="PE3" i="30"/>
  <c r="PD3" i="30"/>
  <c r="PC3" i="30"/>
  <c r="PB3" i="30"/>
  <c r="PA3" i="30"/>
  <c r="OZ3" i="30"/>
  <c r="OY3" i="30"/>
  <c r="OX3" i="30"/>
  <c r="OW3" i="30"/>
  <c r="OV3" i="30"/>
  <c r="OU3" i="30"/>
  <c r="OT3" i="30"/>
  <c r="OS3" i="30"/>
  <c r="OR3" i="30"/>
  <c r="OQ3" i="30"/>
  <c r="OP3" i="30"/>
  <c r="OO3" i="30"/>
  <c r="ON3" i="30"/>
  <c r="OM3" i="30"/>
  <c r="OL3" i="30"/>
  <c r="OK3" i="30"/>
  <c r="OJ3" i="30"/>
  <c r="OI3" i="30"/>
  <c r="OH3" i="30"/>
  <c r="OG3" i="30"/>
  <c r="OF3" i="30"/>
  <c r="OE3" i="30"/>
  <c r="OD3" i="30"/>
  <c r="OC3" i="30"/>
  <c r="OB3" i="30"/>
  <c r="OA3" i="30"/>
  <c r="NZ3" i="30"/>
  <c r="NY3" i="30"/>
  <c r="NX3" i="30"/>
  <c r="NW3" i="30"/>
  <c r="NV3" i="30"/>
  <c r="NU3" i="30"/>
  <c r="NT3" i="30"/>
  <c r="NS3" i="30"/>
  <c r="NR3" i="30"/>
  <c r="NQ3" i="30"/>
  <c r="NP3" i="30"/>
  <c r="NO3" i="30"/>
  <c r="NN3" i="30"/>
  <c r="NM3" i="30"/>
  <c r="NL3" i="30"/>
  <c r="NK3" i="30"/>
  <c r="NJ3" i="30"/>
  <c r="NI3" i="30"/>
  <c r="NH3" i="30"/>
  <c r="NG3" i="30"/>
  <c r="NF3" i="30"/>
  <c r="NE3" i="30"/>
  <c r="ND3" i="30"/>
  <c r="NC3" i="30"/>
  <c r="NB3" i="30"/>
  <c r="NA3" i="30"/>
  <c r="MZ3" i="30"/>
  <c r="MY3" i="30"/>
  <c r="MX3" i="30"/>
  <c r="MW3" i="30"/>
  <c r="MV3" i="30"/>
  <c r="MU3" i="30"/>
  <c r="MT3" i="30"/>
  <c r="MS3" i="30"/>
  <c r="MR3" i="30"/>
  <c r="MQ3" i="30"/>
  <c r="MP3" i="30"/>
  <c r="MO3" i="30"/>
  <c r="MN3" i="30"/>
  <c r="MM3" i="30"/>
  <c r="ML3" i="30"/>
  <c r="MK3" i="30"/>
  <c r="MJ3" i="30"/>
  <c r="MI3" i="30"/>
  <c r="MH3" i="30"/>
  <c r="MG3" i="30"/>
  <c r="MF3" i="30"/>
  <c r="ME3" i="30"/>
  <c r="MD3" i="30"/>
  <c r="MC3" i="30"/>
  <c r="MB3" i="30"/>
  <c r="MA3" i="30"/>
  <c r="LZ3" i="30"/>
  <c r="LY3" i="30"/>
  <c r="LX3" i="30"/>
  <c r="LW3" i="30"/>
  <c r="LV3" i="30"/>
  <c r="LU3" i="30"/>
  <c r="LT3" i="30"/>
  <c r="LS3" i="30"/>
  <c r="LR3" i="30"/>
  <c r="LQ3" i="30"/>
  <c r="LP3" i="30"/>
  <c r="LO3" i="30"/>
  <c r="LN3" i="30"/>
  <c r="LM3" i="30"/>
  <c r="LL3" i="30"/>
  <c r="LK3" i="30"/>
  <c r="LJ3" i="30"/>
  <c r="LI3" i="30"/>
  <c r="LH3" i="30"/>
  <c r="LG3" i="30"/>
  <c r="LF3" i="30"/>
  <c r="LE3" i="30"/>
  <c r="LD3" i="30"/>
  <c r="LC3" i="30"/>
  <c r="LB3" i="30"/>
  <c r="LA3" i="30"/>
  <c r="KZ3" i="30"/>
  <c r="KY3" i="30"/>
  <c r="KX3" i="30"/>
  <c r="KW3" i="30"/>
  <c r="KV3" i="30"/>
  <c r="KU3" i="30"/>
  <c r="KT3" i="30"/>
  <c r="KS3" i="30"/>
  <c r="KR3" i="30"/>
  <c r="KQ3" i="30"/>
  <c r="KP3" i="30"/>
  <c r="KO3" i="30"/>
  <c r="KN3" i="30"/>
  <c r="KM3" i="30"/>
  <c r="KL3" i="30"/>
  <c r="KK3" i="30"/>
  <c r="KJ3" i="30"/>
  <c r="KI3" i="30"/>
  <c r="KH3" i="30"/>
  <c r="KG3" i="30"/>
  <c r="KF3" i="30"/>
  <c r="KE3" i="30"/>
  <c r="KD3" i="30"/>
  <c r="KC3" i="30"/>
  <c r="KB3" i="30"/>
  <c r="KA3" i="30"/>
  <c r="JZ3" i="30"/>
  <c r="JY3" i="30"/>
  <c r="JX3" i="30"/>
  <c r="JW3" i="30"/>
  <c r="JV3" i="30"/>
  <c r="JU3" i="30"/>
  <c r="JT3" i="30"/>
  <c r="JS3" i="30"/>
  <c r="JR3" i="30"/>
  <c r="JQ3" i="30"/>
  <c r="JP3" i="30"/>
  <c r="JO3" i="30"/>
  <c r="JN3" i="30"/>
  <c r="JM3" i="30"/>
  <c r="JL3" i="30"/>
  <c r="JK3" i="30"/>
  <c r="JJ3" i="30"/>
  <c r="JI3" i="30"/>
  <c r="JH3" i="30"/>
  <c r="JG3" i="30"/>
  <c r="JF3" i="30"/>
  <c r="JE3" i="30"/>
  <c r="JD3" i="30"/>
  <c r="JC3" i="30"/>
  <c r="JB3" i="30"/>
  <c r="JA3" i="30"/>
  <c r="IZ3" i="30"/>
  <c r="IY3" i="30"/>
  <c r="IX3" i="30"/>
  <c r="IW3" i="30"/>
  <c r="IV3" i="30"/>
  <c r="IU3" i="30"/>
  <c r="IT3" i="30"/>
  <c r="IS3" i="30"/>
  <c r="IR3" i="30"/>
  <c r="IQ3" i="30"/>
  <c r="IP3" i="30"/>
  <c r="IO3" i="30"/>
  <c r="IN3" i="30"/>
  <c r="IM3" i="30"/>
  <c r="IL3" i="30"/>
  <c r="IK3" i="30"/>
  <c r="IJ3" i="30"/>
  <c r="II3" i="30"/>
  <c r="IH3" i="30"/>
  <c r="IG3" i="30"/>
  <c r="IF3" i="30"/>
  <c r="IE3" i="30"/>
  <c r="ID3" i="30"/>
  <c r="IC3" i="30"/>
  <c r="IB3" i="30"/>
  <c r="IA3" i="30"/>
  <c r="HZ3" i="30"/>
  <c r="HY3" i="30"/>
  <c r="HX3" i="30"/>
  <c r="HW3" i="30"/>
  <c r="HV3" i="30"/>
  <c r="HU3" i="30"/>
  <c r="HT3" i="30"/>
  <c r="HS3" i="30"/>
  <c r="HR3" i="30"/>
  <c r="HQ3" i="30"/>
  <c r="HP3" i="30"/>
  <c r="HO3" i="30"/>
  <c r="HN3" i="30"/>
  <c r="HM3" i="30"/>
  <c r="HL3" i="30"/>
  <c r="HK3" i="30"/>
  <c r="HJ3" i="30"/>
  <c r="HI3" i="30"/>
  <c r="HH3" i="30"/>
  <c r="HG3" i="30"/>
  <c r="HF3" i="30"/>
  <c r="HE3" i="30"/>
  <c r="HD3" i="30"/>
  <c r="HC3" i="30"/>
  <c r="HB3" i="30"/>
  <c r="HA3" i="30"/>
  <c r="GZ3" i="30"/>
  <c r="GY3" i="30"/>
  <c r="GX3" i="30"/>
  <c r="GW3" i="30"/>
  <c r="GV3" i="30"/>
  <c r="GU3" i="30"/>
  <c r="GT3" i="30"/>
  <c r="GS3" i="30"/>
  <c r="GR3" i="30"/>
  <c r="GQ3" i="30"/>
  <c r="GP3" i="30"/>
  <c r="GO3" i="30"/>
  <c r="GN3" i="30"/>
  <c r="GM3" i="30"/>
  <c r="GL3" i="30"/>
  <c r="GK3" i="30"/>
  <c r="GJ3" i="30"/>
  <c r="GI3" i="30"/>
  <c r="GH3" i="30"/>
  <c r="GG3" i="30"/>
  <c r="GF3" i="30"/>
  <c r="GE3" i="30"/>
  <c r="GD3" i="30"/>
  <c r="GC3" i="30"/>
  <c r="GB3" i="30"/>
  <c r="GA3" i="30"/>
  <c r="FZ3" i="30"/>
  <c r="FY3" i="30"/>
  <c r="FX3" i="30"/>
  <c r="FW3" i="30"/>
  <c r="FV3" i="30"/>
  <c r="FU3" i="30"/>
  <c r="FT3" i="30"/>
  <c r="FS3" i="30"/>
  <c r="FR3" i="30"/>
  <c r="FQ3" i="30"/>
  <c r="FP3" i="30"/>
  <c r="FO3" i="30"/>
  <c r="FN3" i="30"/>
  <c r="FM3" i="30"/>
  <c r="FL3" i="30"/>
  <c r="FK3" i="30"/>
  <c r="FJ3" i="30"/>
  <c r="FI3" i="30"/>
  <c r="FH3" i="30"/>
  <c r="FG3" i="30"/>
  <c r="FF3" i="30"/>
  <c r="FE3" i="30"/>
  <c r="FD3" i="30"/>
  <c r="FC3" i="30"/>
  <c r="FB3" i="30"/>
  <c r="FA3" i="30"/>
  <c r="EZ3" i="30"/>
  <c r="EY3" i="30"/>
  <c r="EX3" i="30"/>
  <c r="EW3" i="30"/>
  <c r="EV3" i="30"/>
  <c r="EU3" i="30"/>
  <c r="ET3" i="30"/>
  <c r="ES3" i="30"/>
  <c r="ER3" i="30"/>
  <c r="EQ3" i="30"/>
  <c r="EP3" i="30"/>
  <c r="EO3" i="30"/>
  <c r="EN3" i="30"/>
  <c r="EM3" i="30"/>
  <c r="EL3" i="30"/>
  <c r="EK3" i="30"/>
  <c r="EJ3" i="30"/>
  <c r="EI3" i="30"/>
  <c r="EH3" i="30"/>
  <c r="EG3" i="30"/>
  <c r="EF3" i="30"/>
  <c r="EE3" i="30"/>
  <c r="ED3" i="30"/>
  <c r="EC3" i="30"/>
  <c r="EB3" i="30"/>
  <c r="EA3" i="30"/>
  <c r="DZ3" i="30"/>
  <c r="DY3" i="30"/>
  <c r="DX3" i="30"/>
  <c r="DW3" i="30"/>
  <c r="DV3" i="30"/>
  <c r="DU3" i="30"/>
  <c r="DT3" i="30"/>
  <c r="DS3" i="30"/>
  <c r="DR3" i="30"/>
  <c r="DQ3" i="30"/>
  <c r="DP3" i="30"/>
  <c r="DO3" i="30"/>
  <c r="DN3" i="30"/>
  <c r="DM3" i="30"/>
  <c r="DL3" i="30"/>
  <c r="DK3" i="30"/>
  <c r="DJ3" i="30"/>
  <c r="DI3" i="30"/>
  <c r="DH3" i="30"/>
  <c r="DG3" i="30"/>
  <c r="DF3" i="30"/>
  <c r="DE3" i="30"/>
  <c r="DD3" i="30"/>
  <c r="DC3" i="30"/>
  <c r="DB3" i="30"/>
  <c r="DA3" i="30"/>
  <c r="CZ3" i="30"/>
  <c r="CY3" i="30"/>
  <c r="CX3" i="30"/>
  <c r="CW3" i="30"/>
  <c r="CV3" i="30"/>
  <c r="CU3" i="30"/>
  <c r="CT3" i="30"/>
  <c r="CS3" i="30"/>
  <c r="CR3" i="30"/>
  <c r="CQ3" i="30"/>
  <c r="CP3" i="30"/>
  <c r="CO3" i="30"/>
  <c r="CN3" i="30"/>
  <c r="CM3" i="30"/>
  <c r="CL3" i="30"/>
  <c r="CK3" i="30"/>
  <c r="CJ3" i="30"/>
  <c r="CI3" i="30"/>
  <c r="CH3" i="30"/>
  <c r="CG3" i="30"/>
  <c r="CF3" i="30"/>
  <c r="CE3" i="30"/>
  <c r="CD3" i="30"/>
  <c r="CC3" i="30"/>
  <c r="CB3" i="30"/>
  <c r="CA3" i="30"/>
  <c r="BZ3" i="30"/>
  <c r="BY3" i="30"/>
  <c r="BX3" i="30"/>
  <c r="BW3" i="30"/>
  <c r="BV3" i="30"/>
  <c r="BU3" i="30"/>
  <c r="BT3" i="30"/>
  <c r="BS3" i="30"/>
  <c r="BR3" i="30"/>
  <c r="BQ3" i="30"/>
  <c r="BP3" i="30"/>
  <c r="BO3" i="30"/>
  <c r="BN3" i="30"/>
  <c r="BM3" i="30"/>
  <c r="BL3" i="30"/>
  <c r="BK3" i="30"/>
  <c r="BJ3" i="30"/>
  <c r="BI3" i="30"/>
  <c r="BH3" i="30"/>
  <c r="BG3" i="30"/>
  <c r="BF3" i="30"/>
  <c r="BE3" i="30"/>
  <c r="BD3" i="30"/>
  <c r="BC3" i="30"/>
  <c r="BB3" i="30"/>
  <c r="BA3" i="30"/>
  <c r="AZ3" i="30"/>
  <c r="AY3" i="30"/>
  <c r="AX3" i="30"/>
  <c r="AW3" i="30"/>
  <c r="AV3" i="30"/>
  <c r="AU3" i="30"/>
  <c r="AT3" i="30"/>
  <c r="AS3" i="30"/>
  <c r="AR3" i="30"/>
  <c r="AQ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S5" i="29" l="1"/>
  <c r="T5" i="29"/>
  <c r="W5" i="29"/>
  <c r="X5" i="29"/>
  <c r="Y5" i="29"/>
  <c r="Z5" i="29"/>
  <c r="AA5" i="29"/>
  <c r="S6" i="29"/>
  <c r="T6" i="29"/>
  <c r="W6" i="29"/>
  <c r="X6" i="29"/>
  <c r="Y6" i="29"/>
  <c r="Z6" i="29"/>
  <c r="AA6" i="29"/>
  <c r="S7" i="29"/>
  <c r="T7" i="29"/>
  <c r="W7" i="29"/>
  <c r="X7" i="29"/>
  <c r="Y7" i="29"/>
  <c r="Z7" i="29"/>
  <c r="AA7" i="29"/>
  <c r="S8" i="29"/>
  <c r="T8" i="29"/>
  <c r="W8" i="29"/>
  <c r="X8" i="29"/>
  <c r="Y8" i="29"/>
  <c r="Z8" i="29"/>
  <c r="AA8" i="29"/>
  <c r="S9" i="29"/>
  <c r="T9" i="29"/>
  <c r="W9" i="29"/>
  <c r="X9" i="29"/>
  <c r="Y9" i="29"/>
  <c r="Z9" i="29"/>
  <c r="AA9" i="29"/>
  <c r="S10" i="29"/>
  <c r="T10" i="29"/>
  <c r="W10" i="29"/>
  <c r="X10" i="29"/>
  <c r="Y10" i="29"/>
  <c r="Z10" i="29"/>
  <c r="AA10" i="29"/>
  <c r="S11" i="29"/>
  <c r="T11" i="29"/>
  <c r="W11" i="29"/>
  <c r="X11" i="29"/>
  <c r="Y11" i="29"/>
  <c r="Z11" i="29"/>
  <c r="AA11" i="29"/>
  <c r="S12" i="29"/>
  <c r="T12" i="29"/>
  <c r="W12" i="29"/>
  <c r="X12" i="29"/>
  <c r="Y12" i="29"/>
  <c r="Z12" i="29"/>
  <c r="AA12" i="29"/>
  <c r="S13" i="29"/>
  <c r="T13" i="29"/>
  <c r="W13" i="29"/>
  <c r="X13" i="29"/>
  <c r="Y13" i="29"/>
  <c r="Z13" i="29"/>
  <c r="AA13" i="29"/>
  <c r="S14" i="29"/>
  <c r="T14" i="29"/>
  <c r="W14" i="29"/>
  <c r="X14" i="29"/>
  <c r="Y14" i="29"/>
  <c r="Z14" i="29"/>
  <c r="AA14" i="29"/>
  <c r="S15" i="29"/>
  <c r="T15" i="29"/>
  <c r="W15" i="29"/>
  <c r="X15" i="29"/>
  <c r="Y15" i="29"/>
  <c r="Z15" i="29"/>
  <c r="AA15" i="29"/>
  <c r="S16" i="29"/>
  <c r="T16" i="29"/>
  <c r="W16" i="29"/>
  <c r="X16" i="29"/>
  <c r="Y16" i="29"/>
  <c r="Z16" i="29"/>
  <c r="AA16" i="29"/>
  <c r="S17" i="29"/>
  <c r="T17" i="29"/>
  <c r="W17" i="29"/>
  <c r="X17" i="29"/>
  <c r="Y17" i="29"/>
  <c r="Z17" i="29"/>
  <c r="AA17" i="29"/>
  <c r="S18" i="29"/>
  <c r="T18" i="29"/>
  <c r="W18" i="29"/>
  <c r="X18" i="29"/>
  <c r="Y18" i="29"/>
  <c r="Z18" i="29"/>
  <c r="AA18" i="29"/>
  <c r="S19" i="29"/>
  <c r="T19" i="29"/>
  <c r="W19" i="29"/>
  <c r="X19" i="29"/>
  <c r="Y19" i="29"/>
  <c r="Z19" i="29"/>
  <c r="AA19" i="29"/>
  <c r="S20" i="29"/>
  <c r="T20" i="29"/>
  <c r="W20" i="29"/>
  <c r="X20" i="29"/>
  <c r="Y20" i="29"/>
  <c r="Z20" i="29"/>
  <c r="AA20" i="29"/>
  <c r="S21" i="29"/>
  <c r="T21" i="29"/>
  <c r="W21" i="29"/>
  <c r="X21" i="29"/>
  <c r="Y21" i="29"/>
  <c r="Z21" i="29"/>
  <c r="AA21" i="29"/>
  <c r="S22" i="29"/>
  <c r="T22" i="29"/>
  <c r="W22" i="29"/>
  <c r="X22" i="29"/>
  <c r="Y22" i="29"/>
  <c r="Z22" i="29"/>
  <c r="AA22" i="29"/>
  <c r="S23" i="29"/>
  <c r="T23" i="29"/>
  <c r="W23" i="29"/>
  <c r="X23" i="29"/>
  <c r="Y23" i="29"/>
  <c r="Z23" i="29"/>
  <c r="AA23" i="29"/>
  <c r="S24" i="29"/>
  <c r="T24" i="29"/>
  <c r="W24" i="29"/>
  <c r="X24" i="29"/>
  <c r="Y24" i="29"/>
  <c r="Z24" i="29"/>
  <c r="AA24" i="29"/>
  <c r="S25" i="29"/>
  <c r="T25" i="29"/>
  <c r="W25" i="29"/>
  <c r="X25" i="29"/>
  <c r="Y25" i="29"/>
  <c r="Z25" i="29"/>
  <c r="AA25" i="29"/>
  <c r="S26" i="29"/>
  <c r="T26" i="29"/>
  <c r="W26" i="29"/>
  <c r="X26" i="29"/>
  <c r="Y26" i="29"/>
  <c r="Z26" i="29"/>
  <c r="AA26" i="29"/>
  <c r="S27" i="29"/>
  <c r="T27" i="29"/>
  <c r="W27" i="29"/>
  <c r="X27" i="29"/>
  <c r="Y27" i="29"/>
  <c r="Z27" i="29"/>
  <c r="AA27" i="29"/>
  <c r="S28" i="29"/>
  <c r="T28" i="29"/>
  <c r="W28" i="29"/>
  <c r="X28" i="29"/>
  <c r="Y28" i="29"/>
  <c r="Z28" i="29"/>
  <c r="AA28" i="29"/>
  <c r="S29" i="29"/>
  <c r="T29" i="29"/>
  <c r="W29" i="29"/>
  <c r="X29" i="29"/>
  <c r="Y29" i="29"/>
  <c r="Z29" i="29"/>
  <c r="AA29" i="29"/>
  <c r="S30" i="29"/>
  <c r="T30" i="29"/>
  <c r="W30" i="29"/>
  <c r="X30" i="29"/>
  <c r="Y30" i="29"/>
  <c r="Z30" i="29"/>
  <c r="AA30" i="29"/>
  <c r="S31" i="29"/>
  <c r="T31" i="29"/>
  <c r="W31" i="29"/>
  <c r="X31" i="29"/>
  <c r="Y31" i="29"/>
  <c r="Z31" i="29"/>
  <c r="AA31" i="29"/>
  <c r="S32" i="29"/>
  <c r="T32" i="29"/>
  <c r="W32" i="29"/>
  <c r="X32" i="29"/>
  <c r="Y32" i="29"/>
  <c r="Z32" i="29"/>
  <c r="AA32" i="29"/>
  <c r="S33" i="29"/>
  <c r="T33" i="29"/>
  <c r="W33" i="29"/>
  <c r="X33" i="29"/>
  <c r="Y33" i="29"/>
  <c r="Z33" i="29"/>
  <c r="AA33" i="29"/>
  <c r="S34" i="29"/>
  <c r="T34" i="29"/>
  <c r="W34" i="29"/>
  <c r="X34" i="29"/>
  <c r="Y34" i="29"/>
  <c r="Z34" i="29"/>
  <c r="AA34" i="29"/>
  <c r="S35" i="29"/>
  <c r="T35" i="29"/>
  <c r="W35" i="29"/>
  <c r="X35" i="29"/>
  <c r="Y35" i="29"/>
  <c r="Z35" i="29"/>
  <c r="AA35" i="29"/>
  <c r="S36" i="29"/>
  <c r="T36" i="29"/>
  <c r="W36" i="29"/>
  <c r="X36" i="29"/>
  <c r="Y36" i="29"/>
  <c r="Z36" i="29"/>
  <c r="AA36" i="29"/>
  <c r="S37" i="29"/>
  <c r="T37" i="29"/>
  <c r="W37" i="29"/>
  <c r="X37" i="29"/>
  <c r="Y37" i="29"/>
  <c r="Z37" i="29"/>
  <c r="AA37" i="29"/>
  <c r="S38" i="29"/>
  <c r="T38" i="29"/>
  <c r="W38" i="29"/>
  <c r="X38" i="29"/>
  <c r="Y38" i="29"/>
  <c r="Z38" i="29"/>
  <c r="AA38" i="29"/>
  <c r="S39" i="29"/>
  <c r="T39" i="29"/>
  <c r="W39" i="29"/>
  <c r="X39" i="29"/>
  <c r="Y39" i="29"/>
  <c r="Z39" i="29"/>
  <c r="AA39" i="29"/>
  <c r="S40" i="29"/>
  <c r="T40" i="29"/>
  <c r="W40" i="29"/>
  <c r="X40" i="29"/>
  <c r="Y40" i="29"/>
  <c r="Z40" i="29"/>
  <c r="AA40" i="29"/>
  <c r="S41" i="29"/>
  <c r="T41" i="29"/>
  <c r="W41" i="29"/>
  <c r="X41" i="29"/>
  <c r="Y41" i="29"/>
  <c r="Z41" i="29"/>
  <c r="AA41" i="29"/>
  <c r="S42" i="29"/>
  <c r="T42" i="29"/>
  <c r="W42" i="29"/>
  <c r="X42" i="29"/>
  <c r="Y42" i="29"/>
  <c r="Z42" i="29"/>
  <c r="AA42" i="29"/>
  <c r="S43" i="29"/>
  <c r="T43" i="29"/>
  <c r="W43" i="29"/>
  <c r="X43" i="29"/>
  <c r="Y43" i="29"/>
  <c r="Z43" i="29"/>
  <c r="AA43" i="29"/>
  <c r="S44" i="29"/>
  <c r="T44" i="29"/>
  <c r="W44" i="29"/>
  <c r="X44" i="29"/>
  <c r="Y44" i="29"/>
  <c r="Z44" i="29"/>
  <c r="AA44" i="29"/>
  <c r="S45" i="29"/>
  <c r="T45" i="29"/>
  <c r="W45" i="29"/>
  <c r="X45" i="29"/>
  <c r="Y45" i="29"/>
  <c r="Z45" i="29"/>
  <c r="AA45" i="29"/>
  <c r="S46" i="29"/>
  <c r="T46" i="29"/>
  <c r="W46" i="29"/>
  <c r="X46" i="29"/>
  <c r="Y46" i="29"/>
  <c r="Z46" i="29"/>
  <c r="AA46" i="29"/>
  <c r="S47" i="29"/>
  <c r="T47" i="29"/>
  <c r="W47" i="29"/>
  <c r="X47" i="29"/>
  <c r="Y47" i="29"/>
  <c r="Z47" i="29"/>
  <c r="AA47" i="29"/>
  <c r="S48" i="29"/>
  <c r="T48" i="29"/>
  <c r="W48" i="29"/>
  <c r="X48" i="29"/>
  <c r="Y48" i="29"/>
  <c r="Z48" i="29"/>
  <c r="AA48" i="29"/>
  <c r="S49" i="29"/>
  <c r="T49" i="29"/>
  <c r="W49" i="29"/>
  <c r="X49" i="29"/>
  <c r="Y49" i="29"/>
  <c r="Z49" i="29"/>
  <c r="AA49" i="29"/>
  <c r="S50" i="29"/>
  <c r="T50" i="29"/>
  <c r="W50" i="29"/>
  <c r="X50" i="29"/>
  <c r="Y50" i="29"/>
  <c r="Z50" i="29"/>
  <c r="AA50" i="29"/>
  <c r="S51" i="29"/>
  <c r="T51" i="29"/>
  <c r="W51" i="29"/>
  <c r="X51" i="29"/>
  <c r="Y51" i="29"/>
  <c r="Z51" i="29"/>
  <c r="AA51" i="29"/>
  <c r="S52" i="29"/>
  <c r="T52" i="29"/>
  <c r="W52" i="29"/>
  <c r="X52" i="29"/>
  <c r="Y52" i="29"/>
  <c r="Z52" i="29"/>
  <c r="AA52" i="29"/>
  <c r="S53" i="29"/>
  <c r="T53" i="29"/>
  <c r="W53" i="29"/>
  <c r="X53" i="29"/>
  <c r="Y53" i="29"/>
  <c r="Z53" i="29"/>
  <c r="AA53" i="29"/>
  <c r="S54" i="29"/>
  <c r="T54" i="29"/>
  <c r="W54" i="29"/>
  <c r="X54" i="29"/>
  <c r="Y54" i="29"/>
  <c r="Z54" i="29"/>
  <c r="AA54" i="29"/>
  <c r="S55" i="29"/>
  <c r="T55" i="29"/>
  <c r="W55" i="29"/>
  <c r="X55" i="29"/>
  <c r="Y55" i="29"/>
  <c r="Z55" i="29"/>
  <c r="AA55" i="29"/>
  <c r="S56" i="29"/>
  <c r="T56" i="29"/>
  <c r="W56" i="29"/>
  <c r="X56" i="29"/>
  <c r="Y56" i="29"/>
  <c r="Z56" i="29"/>
  <c r="AA56" i="29"/>
  <c r="S57" i="29"/>
  <c r="T57" i="29"/>
  <c r="W57" i="29"/>
  <c r="X57" i="29"/>
  <c r="Y57" i="29"/>
  <c r="Z57" i="29"/>
  <c r="AA57" i="29"/>
  <c r="S58" i="29"/>
  <c r="T58" i="29"/>
  <c r="W58" i="29"/>
  <c r="X58" i="29"/>
  <c r="Y58" i="29"/>
  <c r="Z58" i="29"/>
  <c r="AA58" i="29"/>
  <c r="S59" i="29"/>
  <c r="T59" i="29"/>
  <c r="W59" i="29"/>
  <c r="X59" i="29"/>
  <c r="Y59" i="29"/>
  <c r="Z59" i="29"/>
  <c r="AA59" i="29"/>
  <c r="S60" i="29"/>
  <c r="T60" i="29"/>
  <c r="W60" i="29"/>
  <c r="X60" i="29"/>
  <c r="Y60" i="29"/>
  <c r="Z60" i="29"/>
  <c r="AA60" i="29"/>
  <c r="S61" i="29"/>
  <c r="T61" i="29"/>
  <c r="W61" i="29"/>
  <c r="X61" i="29"/>
  <c r="Y61" i="29"/>
  <c r="Z61" i="29"/>
  <c r="AA61" i="29"/>
  <c r="S62" i="29"/>
  <c r="T62" i="29"/>
  <c r="W62" i="29"/>
  <c r="X62" i="29"/>
  <c r="Y62" i="29"/>
  <c r="Z62" i="29"/>
  <c r="AA62" i="29"/>
  <c r="S63" i="29"/>
  <c r="T63" i="29"/>
  <c r="W63" i="29"/>
  <c r="X63" i="29"/>
  <c r="Y63" i="29"/>
  <c r="Z63" i="29"/>
  <c r="AA63" i="29"/>
  <c r="S64" i="29"/>
  <c r="T64" i="29"/>
  <c r="W64" i="29"/>
  <c r="X64" i="29"/>
  <c r="Y64" i="29"/>
  <c r="Z64" i="29"/>
  <c r="AA64" i="29"/>
  <c r="S65" i="29"/>
  <c r="T65" i="29"/>
  <c r="W65" i="29"/>
  <c r="X65" i="29"/>
  <c r="Y65" i="29"/>
  <c r="Z65" i="29"/>
  <c r="AA65" i="29"/>
  <c r="S66" i="29"/>
  <c r="T66" i="29"/>
  <c r="W66" i="29"/>
  <c r="X66" i="29"/>
  <c r="Y66" i="29"/>
  <c r="Z66" i="29"/>
  <c r="AA66" i="29"/>
  <c r="S67" i="29"/>
  <c r="T67" i="29"/>
  <c r="W67" i="29"/>
  <c r="X67" i="29"/>
  <c r="Y67" i="29"/>
  <c r="Z67" i="29"/>
  <c r="AA67" i="29"/>
  <c r="S68" i="29"/>
  <c r="T68" i="29"/>
  <c r="W68" i="29"/>
  <c r="X68" i="29"/>
  <c r="Y68" i="29"/>
  <c r="Z68" i="29"/>
  <c r="AA68" i="29"/>
  <c r="S69" i="29"/>
  <c r="T69" i="29"/>
  <c r="W69" i="29"/>
  <c r="X69" i="29"/>
  <c r="Y69" i="29"/>
  <c r="Z69" i="29"/>
  <c r="AA69" i="29"/>
  <c r="S70" i="29"/>
  <c r="T70" i="29"/>
  <c r="W70" i="29"/>
  <c r="X70" i="29"/>
  <c r="Y70" i="29"/>
  <c r="Z70" i="29"/>
  <c r="AA70" i="29"/>
  <c r="S71" i="29"/>
  <c r="T71" i="29"/>
  <c r="W71" i="29"/>
  <c r="X71" i="29"/>
  <c r="Y71" i="29"/>
  <c r="Z71" i="29"/>
  <c r="AA71" i="29"/>
  <c r="S72" i="29"/>
  <c r="T72" i="29"/>
  <c r="W72" i="29"/>
  <c r="X72" i="29"/>
  <c r="Y72" i="29"/>
  <c r="Z72" i="29"/>
  <c r="AA72" i="29"/>
  <c r="S73" i="29"/>
  <c r="T73" i="29"/>
  <c r="W73" i="29"/>
  <c r="X73" i="29"/>
  <c r="Y73" i="29"/>
  <c r="Z73" i="29"/>
  <c r="AA73" i="29"/>
  <c r="S74" i="29"/>
  <c r="T74" i="29"/>
  <c r="W74" i="29"/>
  <c r="X74" i="29"/>
  <c r="Y74" i="29"/>
  <c r="Z74" i="29"/>
  <c r="AA74" i="29"/>
  <c r="S75" i="29"/>
  <c r="T75" i="29"/>
  <c r="W75" i="29"/>
  <c r="X75" i="29"/>
  <c r="Y75" i="29"/>
  <c r="Z75" i="29"/>
  <c r="AA75" i="29"/>
  <c r="S76" i="29"/>
  <c r="T76" i="29"/>
  <c r="W76" i="29"/>
  <c r="X76" i="29"/>
  <c r="Y76" i="29"/>
  <c r="Z76" i="29"/>
  <c r="AA76" i="29"/>
  <c r="S77" i="29"/>
  <c r="T77" i="29"/>
  <c r="W77" i="29"/>
  <c r="X77" i="29"/>
  <c r="Y77" i="29"/>
  <c r="Z77" i="29"/>
  <c r="AA77" i="29"/>
  <c r="S78" i="29"/>
  <c r="T78" i="29"/>
  <c r="W78" i="29"/>
  <c r="X78" i="29"/>
  <c r="Y78" i="29"/>
  <c r="Z78" i="29"/>
  <c r="AA78" i="29"/>
  <c r="S79" i="29"/>
  <c r="T79" i="29"/>
  <c r="W79" i="29"/>
  <c r="X79" i="29"/>
  <c r="Y79" i="29"/>
  <c r="Z79" i="29"/>
  <c r="AA79" i="29"/>
  <c r="S80" i="29"/>
  <c r="T80" i="29"/>
  <c r="W80" i="29"/>
  <c r="X80" i="29"/>
  <c r="Y80" i="29"/>
  <c r="Z80" i="29"/>
  <c r="AA80" i="29"/>
  <c r="S81" i="29"/>
  <c r="T81" i="29"/>
  <c r="W81" i="29"/>
  <c r="X81" i="29"/>
  <c r="Y81" i="29"/>
  <c r="Z81" i="29"/>
  <c r="AA81" i="29"/>
  <c r="S82" i="29"/>
  <c r="T82" i="29"/>
  <c r="W82" i="29"/>
  <c r="X82" i="29"/>
  <c r="Y82" i="29"/>
  <c r="Z82" i="29"/>
  <c r="AA82" i="29"/>
  <c r="S83" i="29"/>
  <c r="T83" i="29"/>
  <c r="W83" i="29"/>
  <c r="X83" i="29"/>
  <c r="Y83" i="29"/>
  <c r="Z83" i="29"/>
  <c r="AA83" i="29"/>
  <c r="S84" i="29"/>
  <c r="T84" i="29"/>
  <c r="W84" i="29"/>
  <c r="X84" i="29"/>
  <c r="Y84" i="29"/>
  <c r="Z84" i="29"/>
  <c r="AA84" i="29"/>
  <c r="S85" i="29"/>
  <c r="T85" i="29"/>
  <c r="W85" i="29"/>
  <c r="X85" i="29"/>
  <c r="Y85" i="29"/>
  <c r="Z85" i="29"/>
  <c r="AA85" i="29"/>
  <c r="S86" i="29"/>
  <c r="T86" i="29"/>
  <c r="W86" i="29"/>
  <c r="X86" i="29"/>
  <c r="Y86" i="29"/>
  <c r="Z86" i="29"/>
  <c r="AA86" i="29"/>
  <c r="S87" i="29"/>
  <c r="T87" i="29"/>
  <c r="W87" i="29"/>
  <c r="X87" i="29"/>
  <c r="Y87" i="29"/>
  <c r="Z87" i="29"/>
  <c r="AA87" i="29"/>
  <c r="S88" i="29"/>
  <c r="T88" i="29"/>
  <c r="W88" i="29"/>
  <c r="X88" i="29"/>
  <c r="Y88" i="29"/>
  <c r="Z88" i="29"/>
  <c r="AA88" i="29"/>
  <c r="S89" i="29"/>
  <c r="T89" i="29"/>
  <c r="W89" i="29"/>
  <c r="X89" i="29"/>
  <c r="Y89" i="29"/>
  <c r="Z89" i="29"/>
  <c r="AA89" i="29"/>
  <c r="S90" i="29"/>
  <c r="T90" i="29"/>
  <c r="W90" i="29"/>
  <c r="X90" i="29"/>
  <c r="Y90" i="29"/>
  <c r="Z90" i="29"/>
  <c r="AA90" i="29"/>
  <c r="S91" i="29"/>
  <c r="T91" i="29"/>
  <c r="W91" i="29"/>
  <c r="X91" i="29"/>
  <c r="Y91" i="29"/>
  <c r="Z91" i="29"/>
  <c r="AA91" i="29"/>
  <c r="S92" i="29"/>
  <c r="T92" i="29"/>
  <c r="W92" i="29"/>
  <c r="X92" i="29"/>
  <c r="Y92" i="29"/>
  <c r="Z92" i="29"/>
  <c r="AA92" i="29"/>
  <c r="S93" i="29"/>
  <c r="T93" i="29"/>
  <c r="W93" i="29"/>
  <c r="X93" i="29"/>
  <c r="Y93" i="29"/>
  <c r="Z93" i="29"/>
  <c r="AA93" i="29"/>
  <c r="S94" i="29"/>
  <c r="T94" i="29"/>
  <c r="W94" i="29"/>
  <c r="X94" i="29"/>
  <c r="Y94" i="29"/>
  <c r="Z94" i="29"/>
  <c r="AA94" i="29"/>
  <c r="S95" i="29"/>
  <c r="T95" i="29"/>
  <c r="W95" i="29"/>
  <c r="X95" i="29"/>
  <c r="Y95" i="29"/>
  <c r="Z95" i="29"/>
  <c r="AA95" i="29"/>
  <c r="S96" i="29"/>
  <c r="T96" i="29"/>
  <c r="W96" i="29"/>
  <c r="X96" i="29"/>
  <c r="Y96" i="29"/>
  <c r="Z96" i="29"/>
  <c r="AA96" i="29"/>
  <c r="S97" i="29"/>
  <c r="T97" i="29"/>
  <c r="W97" i="29"/>
  <c r="X97" i="29"/>
  <c r="Y97" i="29"/>
  <c r="Z97" i="29"/>
  <c r="AA97" i="29"/>
  <c r="S98" i="29"/>
  <c r="T98" i="29"/>
  <c r="W98" i="29"/>
  <c r="X98" i="29"/>
  <c r="Y98" i="29"/>
  <c r="Z98" i="29"/>
  <c r="AA98" i="29"/>
  <c r="S99" i="29"/>
  <c r="T99" i="29"/>
  <c r="W99" i="29"/>
  <c r="X99" i="29"/>
  <c r="Y99" i="29"/>
  <c r="Z99" i="29"/>
  <c r="AA99" i="29"/>
  <c r="S100" i="29"/>
  <c r="T100" i="29"/>
  <c r="W100" i="29"/>
  <c r="X100" i="29"/>
  <c r="Y100" i="29"/>
  <c r="Z100" i="29"/>
  <c r="AA100" i="29"/>
  <c r="S101" i="29"/>
  <c r="T101" i="29"/>
  <c r="W101" i="29"/>
  <c r="X101" i="29"/>
  <c r="Y101" i="29"/>
  <c r="Z101" i="29"/>
  <c r="AA101" i="29"/>
  <c r="S102" i="29"/>
  <c r="T102" i="29"/>
  <c r="W102" i="29"/>
  <c r="X102" i="29"/>
  <c r="Y102" i="29"/>
  <c r="Z102" i="29"/>
  <c r="AA102" i="29"/>
  <c r="S103" i="29"/>
  <c r="T103" i="29"/>
  <c r="W103" i="29"/>
  <c r="X103" i="29"/>
  <c r="Y103" i="29"/>
  <c r="Z103" i="29"/>
  <c r="AA103" i="29"/>
  <c r="S104" i="29"/>
  <c r="T104" i="29"/>
  <c r="W104" i="29"/>
  <c r="X104" i="29"/>
  <c r="Y104" i="29"/>
  <c r="Z104" i="29"/>
  <c r="AA104" i="29"/>
  <c r="S105" i="29"/>
  <c r="T105" i="29"/>
  <c r="W105" i="29"/>
  <c r="X105" i="29"/>
  <c r="Y105" i="29"/>
  <c r="Z105" i="29"/>
  <c r="AA105" i="29"/>
  <c r="S106" i="29"/>
  <c r="T106" i="29"/>
  <c r="W106" i="29"/>
  <c r="X106" i="29"/>
  <c r="Y106" i="29"/>
  <c r="Z106" i="29"/>
  <c r="AA106" i="29"/>
  <c r="S107" i="29"/>
  <c r="T107" i="29"/>
  <c r="W107" i="29"/>
  <c r="X107" i="29"/>
  <c r="Y107" i="29"/>
  <c r="Z107" i="29"/>
  <c r="AA107" i="29"/>
  <c r="S108" i="29"/>
  <c r="T108" i="29"/>
  <c r="W108" i="29"/>
  <c r="X108" i="29"/>
  <c r="Y108" i="29"/>
  <c r="Z108" i="29"/>
  <c r="AA108" i="29"/>
  <c r="S109" i="29"/>
  <c r="T109" i="29"/>
  <c r="W109" i="29"/>
  <c r="X109" i="29"/>
  <c r="Y109" i="29"/>
  <c r="Z109" i="29"/>
  <c r="AA109" i="29"/>
  <c r="S110" i="29"/>
  <c r="T110" i="29"/>
  <c r="W110" i="29"/>
  <c r="X110" i="29"/>
  <c r="Y110" i="29"/>
  <c r="Z110" i="29"/>
  <c r="AA110" i="29"/>
  <c r="S111" i="29"/>
  <c r="T111" i="29"/>
  <c r="W111" i="29"/>
  <c r="X111" i="29"/>
  <c r="Y111" i="29"/>
  <c r="Z111" i="29"/>
  <c r="AA111" i="29"/>
  <c r="S112" i="29"/>
  <c r="T112" i="29"/>
  <c r="W112" i="29"/>
  <c r="X112" i="29"/>
  <c r="Y112" i="29"/>
  <c r="Z112" i="29"/>
  <c r="AA112" i="29"/>
  <c r="S113" i="29"/>
  <c r="T113" i="29"/>
  <c r="W113" i="29"/>
  <c r="X113" i="29"/>
  <c r="Y113" i="29"/>
  <c r="Z113" i="29"/>
  <c r="AA113" i="29"/>
  <c r="S114" i="29"/>
  <c r="T114" i="29"/>
  <c r="W114" i="29"/>
  <c r="X114" i="29"/>
  <c r="Y114" i="29"/>
  <c r="Z114" i="29"/>
  <c r="AA114" i="29"/>
  <c r="S115" i="29"/>
  <c r="T115" i="29"/>
  <c r="W115" i="29"/>
  <c r="X115" i="29"/>
  <c r="Y115" i="29"/>
  <c r="Z115" i="29"/>
  <c r="AA115" i="29"/>
  <c r="S116" i="29"/>
  <c r="T116" i="29"/>
  <c r="W116" i="29"/>
  <c r="X116" i="29"/>
  <c r="Y116" i="29"/>
  <c r="Z116" i="29"/>
  <c r="AA116" i="29"/>
  <c r="S117" i="29"/>
  <c r="T117" i="29"/>
  <c r="W117" i="29"/>
  <c r="X117" i="29"/>
  <c r="Y117" i="29"/>
  <c r="Z117" i="29"/>
  <c r="AA117" i="29"/>
  <c r="S118" i="29"/>
  <c r="T118" i="29"/>
  <c r="W118" i="29"/>
  <c r="X118" i="29"/>
  <c r="Y118" i="29"/>
  <c r="Z118" i="29"/>
  <c r="AA118" i="29"/>
  <c r="S119" i="29"/>
  <c r="T119" i="29"/>
  <c r="W119" i="29"/>
  <c r="X119" i="29"/>
  <c r="Y119" i="29"/>
  <c r="Z119" i="29"/>
  <c r="AA119" i="29"/>
  <c r="S120" i="29"/>
  <c r="T120" i="29"/>
  <c r="W120" i="29"/>
  <c r="X120" i="29"/>
  <c r="Y120" i="29"/>
  <c r="Z120" i="29"/>
  <c r="AA120" i="29"/>
  <c r="S121" i="29"/>
  <c r="T121" i="29"/>
  <c r="W121" i="29"/>
  <c r="X121" i="29"/>
  <c r="Y121" i="29"/>
  <c r="Z121" i="29"/>
  <c r="AA121" i="29"/>
  <c r="S122" i="29"/>
  <c r="T122" i="29"/>
  <c r="W122" i="29"/>
  <c r="X122" i="29"/>
  <c r="Y122" i="29"/>
  <c r="Z122" i="29"/>
  <c r="AA122" i="29"/>
  <c r="S123" i="29"/>
  <c r="T123" i="29"/>
  <c r="W123" i="29"/>
  <c r="X123" i="29"/>
  <c r="Y123" i="29"/>
  <c r="Z123" i="29"/>
  <c r="AA123" i="29"/>
  <c r="S124" i="29"/>
  <c r="T124" i="29"/>
  <c r="W124" i="29"/>
  <c r="X124" i="29"/>
  <c r="Y124" i="29"/>
  <c r="Z124" i="29"/>
  <c r="AA124" i="29"/>
  <c r="S125" i="29"/>
  <c r="T125" i="29"/>
  <c r="W125" i="29"/>
  <c r="X125" i="29"/>
  <c r="Y125" i="29"/>
  <c r="Z125" i="29"/>
  <c r="AA125" i="29"/>
  <c r="S126" i="29"/>
  <c r="T126" i="29"/>
  <c r="W126" i="29"/>
  <c r="X126" i="29"/>
  <c r="Y126" i="29"/>
  <c r="Z126" i="29"/>
  <c r="AA126" i="29"/>
  <c r="S127" i="29"/>
  <c r="T127" i="29"/>
  <c r="W127" i="29"/>
  <c r="X127" i="29"/>
  <c r="Y127" i="29"/>
  <c r="Z127" i="29"/>
  <c r="AA127" i="29"/>
  <c r="S128" i="29"/>
  <c r="T128" i="29"/>
  <c r="W128" i="29"/>
  <c r="X128" i="29"/>
  <c r="Y128" i="29"/>
  <c r="Z128" i="29"/>
  <c r="AA128" i="29"/>
  <c r="S129" i="29"/>
  <c r="T129" i="29"/>
  <c r="W129" i="29"/>
  <c r="X129" i="29"/>
  <c r="Y129" i="29"/>
  <c r="Z129" i="29"/>
  <c r="AA129" i="29"/>
  <c r="S130" i="29"/>
  <c r="T130" i="29"/>
  <c r="W130" i="29"/>
  <c r="X130" i="29"/>
  <c r="Y130" i="29"/>
  <c r="Z130" i="29"/>
  <c r="AA130" i="29"/>
  <c r="S131" i="29"/>
  <c r="T131" i="29"/>
  <c r="W131" i="29"/>
  <c r="X131" i="29"/>
  <c r="Y131" i="29"/>
  <c r="Z131" i="29"/>
  <c r="AA131" i="29"/>
  <c r="S132" i="29"/>
  <c r="T132" i="29"/>
  <c r="W132" i="29"/>
  <c r="X132" i="29"/>
  <c r="Y132" i="29"/>
  <c r="Z132" i="29"/>
  <c r="AA132" i="29"/>
  <c r="S133" i="29"/>
  <c r="T133" i="29"/>
  <c r="W133" i="29"/>
  <c r="X133" i="29"/>
  <c r="Y133" i="29"/>
  <c r="Z133" i="29"/>
  <c r="AA133" i="29"/>
  <c r="S134" i="29"/>
  <c r="T134" i="29"/>
  <c r="W134" i="29"/>
  <c r="X134" i="29"/>
  <c r="Y134" i="29"/>
  <c r="Z134" i="29"/>
  <c r="AA134" i="29"/>
  <c r="S135" i="29"/>
  <c r="T135" i="29"/>
  <c r="W135" i="29"/>
  <c r="X135" i="29"/>
  <c r="Y135" i="29"/>
  <c r="Z135" i="29"/>
  <c r="AA135" i="29"/>
  <c r="S136" i="29"/>
  <c r="T136" i="29"/>
  <c r="W136" i="29"/>
  <c r="X136" i="29"/>
  <c r="Y136" i="29"/>
  <c r="Z136" i="29"/>
  <c r="AA136" i="29"/>
  <c r="S137" i="29"/>
  <c r="T137" i="29"/>
  <c r="W137" i="29"/>
  <c r="X137" i="29"/>
  <c r="Y137" i="29"/>
  <c r="Z137" i="29"/>
  <c r="AA137" i="29"/>
  <c r="S138" i="29"/>
  <c r="T138" i="29"/>
  <c r="W138" i="29"/>
  <c r="X138" i="29"/>
  <c r="Y138" i="29"/>
  <c r="Z138" i="29"/>
  <c r="AA138" i="29"/>
  <c r="S139" i="29"/>
  <c r="T139" i="29"/>
  <c r="W139" i="29"/>
  <c r="X139" i="29"/>
  <c r="Y139" i="29"/>
  <c r="Z139" i="29"/>
  <c r="AA139" i="29"/>
  <c r="S140" i="29"/>
  <c r="T140" i="29"/>
  <c r="W140" i="29"/>
  <c r="X140" i="29"/>
  <c r="Y140" i="29"/>
  <c r="Z140" i="29"/>
  <c r="AA140" i="29"/>
  <c r="S141" i="29"/>
  <c r="T141" i="29"/>
  <c r="W141" i="29"/>
  <c r="X141" i="29"/>
  <c r="Y141" i="29"/>
  <c r="Z141" i="29"/>
  <c r="AA141" i="29"/>
  <c r="S142" i="29"/>
  <c r="T142" i="29"/>
  <c r="W142" i="29"/>
  <c r="X142" i="29"/>
  <c r="Y142" i="29"/>
  <c r="Z142" i="29"/>
  <c r="AA142" i="29"/>
  <c r="S143" i="29"/>
  <c r="T143" i="29"/>
  <c r="W143" i="29"/>
  <c r="X143" i="29"/>
  <c r="Y143" i="29"/>
  <c r="Z143" i="29"/>
  <c r="AA143" i="29"/>
  <c r="S144" i="29"/>
  <c r="T144" i="29"/>
  <c r="W144" i="29"/>
  <c r="X144" i="29"/>
  <c r="Y144" i="29"/>
  <c r="Z144" i="29"/>
  <c r="AA144" i="29"/>
  <c r="S145" i="29"/>
  <c r="T145" i="29"/>
  <c r="W145" i="29"/>
  <c r="X145" i="29"/>
  <c r="Y145" i="29"/>
  <c r="Z145" i="29"/>
  <c r="AA145" i="29"/>
  <c r="S146" i="29"/>
  <c r="T146" i="29"/>
  <c r="W146" i="29"/>
  <c r="X146" i="29"/>
  <c r="Y146" i="29"/>
  <c r="Z146" i="29"/>
  <c r="AA146" i="29"/>
  <c r="S147" i="29"/>
  <c r="T147" i="29"/>
  <c r="W147" i="29"/>
  <c r="X147" i="29"/>
  <c r="Y147" i="29"/>
  <c r="Z147" i="29"/>
  <c r="AA147" i="29"/>
  <c r="S148" i="29"/>
  <c r="T148" i="29"/>
  <c r="W148" i="29"/>
  <c r="X148" i="29"/>
  <c r="Y148" i="29"/>
  <c r="Z148" i="29"/>
  <c r="AA148" i="29"/>
  <c r="S149" i="29"/>
  <c r="T149" i="29"/>
  <c r="W149" i="29"/>
  <c r="X149" i="29"/>
  <c r="Y149" i="29"/>
  <c r="Z149" i="29"/>
  <c r="AA149" i="29"/>
  <c r="S150" i="29"/>
  <c r="T150" i="29"/>
  <c r="W150" i="29"/>
  <c r="X150" i="29"/>
  <c r="Y150" i="29"/>
  <c r="Z150" i="29"/>
  <c r="AA150" i="29"/>
  <c r="S151" i="29"/>
  <c r="T151" i="29"/>
  <c r="W151" i="29"/>
  <c r="X151" i="29"/>
  <c r="Y151" i="29"/>
  <c r="Z151" i="29"/>
  <c r="AA151" i="29"/>
  <c r="S152" i="29"/>
  <c r="T152" i="29"/>
  <c r="W152" i="29"/>
  <c r="X152" i="29"/>
  <c r="Y152" i="29"/>
  <c r="Z152" i="29"/>
  <c r="AA152" i="29"/>
  <c r="S153" i="29"/>
  <c r="T153" i="29"/>
  <c r="W153" i="29"/>
  <c r="X153" i="29"/>
  <c r="Y153" i="29"/>
  <c r="Z153" i="29"/>
  <c r="AA153" i="29"/>
  <c r="S154" i="29"/>
  <c r="T154" i="29"/>
  <c r="W154" i="29"/>
  <c r="X154" i="29"/>
  <c r="Y154" i="29"/>
  <c r="Z154" i="29"/>
  <c r="AA154" i="29"/>
  <c r="S155" i="29"/>
  <c r="T155" i="29"/>
  <c r="W155" i="29"/>
  <c r="X155" i="29"/>
  <c r="Y155" i="29"/>
  <c r="Z155" i="29"/>
  <c r="AA155" i="29"/>
  <c r="S156" i="29"/>
  <c r="T156" i="29"/>
  <c r="W156" i="29"/>
  <c r="X156" i="29"/>
  <c r="Y156" i="29"/>
  <c r="Z156" i="29"/>
  <c r="AA156" i="29"/>
  <c r="S157" i="29"/>
  <c r="T157" i="29"/>
  <c r="W157" i="29"/>
  <c r="X157" i="29"/>
  <c r="Y157" i="29"/>
  <c r="Z157" i="29"/>
  <c r="AA157" i="29"/>
  <c r="S158" i="29"/>
  <c r="T158" i="29"/>
  <c r="W158" i="29"/>
  <c r="X158" i="29"/>
  <c r="Y158" i="29"/>
  <c r="Z158" i="29"/>
  <c r="AA158" i="29"/>
  <c r="S159" i="29"/>
  <c r="T159" i="29"/>
  <c r="W159" i="29"/>
  <c r="X159" i="29"/>
  <c r="Y159" i="29"/>
  <c r="Z159" i="29"/>
  <c r="AA159" i="29"/>
  <c r="S160" i="29"/>
  <c r="T160" i="29"/>
  <c r="W160" i="29"/>
  <c r="X160" i="29"/>
  <c r="Y160" i="29"/>
  <c r="Z160" i="29"/>
  <c r="AA160" i="29"/>
  <c r="S161" i="29"/>
  <c r="T161" i="29"/>
  <c r="W161" i="29"/>
  <c r="X161" i="29"/>
  <c r="Y161" i="29"/>
  <c r="Z161" i="29"/>
  <c r="AA161" i="29"/>
  <c r="S162" i="29"/>
  <c r="T162" i="29"/>
  <c r="W162" i="29"/>
  <c r="X162" i="29"/>
  <c r="Y162" i="29"/>
  <c r="Z162" i="29"/>
  <c r="AA162" i="29"/>
  <c r="S163" i="29"/>
  <c r="T163" i="29"/>
  <c r="W163" i="29"/>
  <c r="X163" i="29"/>
  <c r="Y163" i="29"/>
  <c r="Z163" i="29"/>
  <c r="AA163" i="29"/>
  <c r="S164" i="29"/>
  <c r="T164" i="29"/>
  <c r="W164" i="29"/>
  <c r="X164" i="29"/>
  <c r="Y164" i="29"/>
  <c r="Z164" i="29"/>
  <c r="AA164" i="29"/>
  <c r="S165" i="29"/>
  <c r="T165" i="29"/>
  <c r="W165" i="29"/>
  <c r="X165" i="29"/>
  <c r="Y165" i="29"/>
  <c r="Z165" i="29"/>
  <c r="AA165" i="29"/>
  <c r="S166" i="29"/>
  <c r="T166" i="29"/>
  <c r="W166" i="29"/>
  <c r="X166" i="29"/>
  <c r="Y166" i="29"/>
  <c r="Z166" i="29"/>
  <c r="AA166" i="29"/>
  <c r="S167" i="29"/>
  <c r="T167" i="29"/>
  <c r="W167" i="29"/>
  <c r="X167" i="29"/>
  <c r="Y167" i="29"/>
  <c r="Z167" i="29"/>
  <c r="AA167" i="29"/>
  <c r="S168" i="29"/>
  <c r="T168" i="29"/>
  <c r="W168" i="29"/>
  <c r="X168" i="29"/>
  <c r="Y168" i="29"/>
  <c r="Z168" i="29"/>
  <c r="AA168" i="29"/>
  <c r="S169" i="29"/>
  <c r="T169" i="29"/>
  <c r="W169" i="29"/>
  <c r="X169" i="29"/>
  <c r="Y169" i="29"/>
  <c r="Z169" i="29"/>
  <c r="AA169" i="29"/>
  <c r="S170" i="29"/>
  <c r="T170" i="29"/>
  <c r="W170" i="29"/>
  <c r="X170" i="29"/>
  <c r="Y170" i="29"/>
  <c r="Z170" i="29"/>
  <c r="AA170" i="29"/>
  <c r="S171" i="29"/>
  <c r="T171" i="29"/>
  <c r="W171" i="29"/>
  <c r="X171" i="29"/>
  <c r="Y171" i="29"/>
  <c r="Z171" i="29"/>
  <c r="AA171" i="29"/>
  <c r="S172" i="29"/>
  <c r="T172" i="29"/>
  <c r="W172" i="29"/>
  <c r="X172" i="29"/>
  <c r="Y172" i="29"/>
  <c r="Z172" i="29"/>
  <c r="AA172" i="29"/>
  <c r="S173" i="29"/>
  <c r="T173" i="29"/>
  <c r="W173" i="29"/>
  <c r="X173" i="29"/>
  <c r="Y173" i="29"/>
  <c r="Z173" i="29"/>
  <c r="AA173" i="29"/>
  <c r="S174" i="29"/>
  <c r="T174" i="29"/>
  <c r="W174" i="29"/>
  <c r="X174" i="29"/>
  <c r="Y174" i="29"/>
  <c r="Z174" i="29"/>
  <c r="AA174" i="29"/>
  <c r="S175" i="29"/>
  <c r="T175" i="29"/>
  <c r="W175" i="29"/>
  <c r="X175" i="29"/>
  <c r="Y175" i="29"/>
  <c r="Z175" i="29"/>
  <c r="AA175" i="29"/>
  <c r="S176" i="29"/>
  <c r="T176" i="29"/>
  <c r="W176" i="29"/>
  <c r="X176" i="29"/>
  <c r="Y176" i="29"/>
  <c r="Z176" i="29"/>
  <c r="AA176" i="29"/>
  <c r="S177" i="29"/>
  <c r="T177" i="29"/>
  <c r="W177" i="29"/>
  <c r="X177" i="29"/>
  <c r="Y177" i="29"/>
  <c r="Z177" i="29"/>
  <c r="AA177" i="29"/>
  <c r="S178" i="29"/>
  <c r="T178" i="29"/>
  <c r="W178" i="29"/>
  <c r="X178" i="29"/>
  <c r="Y178" i="29"/>
  <c r="Z178" i="29"/>
  <c r="AA178" i="29"/>
  <c r="S179" i="29"/>
  <c r="T179" i="29"/>
  <c r="W179" i="29"/>
  <c r="X179" i="29"/>
  <c r="Y179" i="29"/>
  <c r="Z179" i="29"/>
  <c r="AA179" i="29"/>
  <c r="S180" i="29"/>
  <c r="T180" i="29"/>
  <c r="W180" i="29"/>
  <c r="X180" i="29"/>
  <c r="Y180" i="29"/>
  <c r="Z180" i="29"/>
  <c r="AA180" i="29"/>
  <c r="S181" i="29"/>
  <c r="T181" i="29"/>
  <c r="W181" i="29"/>
  <c r="X181" i="29"/>
  <c r="Y181" i="29"/>
  <c r="Z181" i="29"/>
  <c r="AA181" i="29"/>
  <c r="S182" i="29"/>
  <c r="T182" i="29"/>
  <c r="W182" i="29"/>
  <c r="X182" i="29"/>
  <c r="Y182" i="29"/>
  <c r="Z182" i="29"/>
  <c r="AA182" i="29"/>
  <c r="S183" i="29"/>
  <c r="T183" i="29"/>
  <c r="W183" i="29"/>
  <c r="X183" i="29"/>
  <c r="Y183" i="29"/>
  <c r="Z183" i="29"/>
  <c r="AA183" i="29"/>
  <c r="S184" i="29"/>
  <c r="T184" i="29"/>
  <c r="W184" i="29"/>
  <c r="X184" i="29"/>
  <c r="Y184" i="29"/>
  <c r="Z184" i="29"/>
  <c r="AA184" i="29"/>
  <c r="S185" i="29"/>
  <c r="T185" i="29"/>
  <c r="W185" i="29"/>
  <c r="X185" i="29"/>
  <c r="Y185" i="29"/>
  <c r="Z185" i="29"/>
  <c r="AA185" i="29"/>
  <c r="S186" i="29"/>
  <c r="T186" i="29"/>
  <c r="W186" i="29"/>
  <c r="X186" i="29"/>
  <c r="Y186" i="29"/>
  <c r="Z186" i="29"/>
  <c r="AA186" i="29"/>
  <c r="S187" i="29"/>
  <c r="T187" i="29"/>
  <c r="W187" i="29"/>
  <c r="X187" i="29"/>
  <c r="Y187" i="29"/>
  <c r="Z187" i="29"/>
  <c r="AA187" i="29"/>
  <c r="S188" i="29"/>
  <c r="T188" i="29"/>
  <c r="W188" i="29"/>
  <c r="X188" i="29"/>
  <c r="Y188" i="29"/>
  <c r="Z188" i="29"/>
  <c r="AA188" i="29"/>
  <c r="S189" i="29"/>
  <c r="T189" i="29"/>
  <c r="W189" i="29"/>
  <c r="X189" i="29"/>
  <c r="Y189" i="29"/>
  <c r="Z189" i="29"/>
  <c r="AA189" i="29"/>
  <c r="S190" i="29"/>
  <c r="T190" i="29"/>
  <c r="W190" i="29"/>
  <c r="X190" i="29"/>
  <c r="Y190" i="29"/>
  <c r="Z190" i="29"/>
  <c r="AA190" i="29"/>
  <c r="S191" i="29"/>
  <c r="T191" i="29"/>
  <c r="W191" i="29"/>
  <c r="X191" i="29"/>
  <c r="Y191" i="29"/>
  <c r="Z191" i="29"/>
  <c r="AA191" i="29"/>
  <c r="S192" i="29"/>
  <c r="T192" i="29"/>
  <c r="W192" i="29"/>
  <c r="X192" i="29"/>
  <c r="Y192" i="29"/>
  <c r="Z192" i="29"/>
  <c r="AA192" i="29"/>
  <c r="S193" i="29"/>
  <c r="T193" i="29"/>
  <c r="W193" i="29"/>
  <c r="X193" i="29"/>
  <c r="Y193" i="29"/>
  <c r="Z193" i="29"/>
  <c r="AA193" i="29"/>
  <c r="S194" i="29"/>
  <c r="T194" i="29"/>
  <c r="W194" i="29"/>
  <c r="X194" i="29"/>
  <c r="Y194" i="29"/>
  <c r="Z194" i="29"/>
  <c r="AA194" i="29"/>
  <c r="S195" i="29"/>
  <c r="T195" i="29"/>
  <c r="W195" i="29"/>
  <c r="X195" i="29"/>
  <c r="Y195" i="29"/>
  <c r="Z195" i="29"/>
  <c r="AA195" i="29"/>
  <c r="S196" i="29"/>
  <c r="T196" i="29"/>
  <c r="W196" i="29"/>
  <c r="X196" i="29"/>
  <c r="Y196" i="29"/>
  <c r="Z196" i="29"/>
  <c r="AA196" i="29"/>
  <c r="S197" i="29"/>
  <c r="T197" i="29"/>
  <c r="W197" i="29"/>
  <c r="X197" i="29"/>
  <c r="Y197" i="29"/>
  <c r="Z197" i="29"/>
  <c r="AA197" i="29"/>
  <c r="S198" i="29"/>
  <c r="T198" i="29"/>
  <c r="W198" i="29"/>
  <c r="X198" i="29"/>
  <c r="Y198" i="29"/>
  <c r="Z198" i="29"/>
  <c r="AA198" i="29"/>
  <c r="S199" i="29"/>
  <c r="T199" i="29"/>
  <c r="W199" i="29"/>
  <c r="X199" i="29"/>
  <c r="Y199" i="29"/>
  <c r="Z199" i="29"/>
  <c r="AA199" i="29"/>
  <c r="S200" i="29"/>
  <c r="T200" i="29"/>
  <c r="W200" i="29"/>
  <c r="X200" i="29"/>
  <c r="Y200" i="29"/>
  <c r="Z200" i="29"/>
  <c r="AA200" i="29"/>
  <c r="S201" i="29"/>
  <c r="T201" i="29"/>
  <c r="W201" i="29"/>
  <c r="X201" i="29"/>
  <c r="Y201" i="29"/>
  <c r="Z201" i="29"/>
  <c r="AA201" i="29"/>
  <c r="S202" i="29"/>
  <c r="T202" i="29"/>
  <c r="W202" i="29"/>
  <c r="X202" i="29"/>
  <c r="Y202" i="29"/>
  <c r="Z202" i="29"/>
  <c r="AA202" i="29"/>
  <c r="S203" i="29"/>
  <c r="T203" i="29"/>
  <c r="W203" i="29"/>
  <c r="X203" i="29"/>
  <c r="Y203" i="29"/>
  <c r="Z203" i="29"/>
  <c r="AA203" i="29"/>
  <c r="S204" i="29"/>
  <c r="T204" i="29"/>
  <c r="W204" i="29"/>
  <c r="X204" i="29"/>
  <c r="Y204" i="29"/>
  <c r="Z204" i="29"/>
  <c r="AA204" i="29"/>
  <c r="S205" i="29"/>
  <c r="T205" i="29"/>
  <c r="W205" i="29"/>
  <c r="X205" i="29"/>
  <c r="Y205" i="29"/>
  <c r="Z205" i="29"/>
  <c r="AA205" i="29"/>
  <c r="S206" i="29"/>
  <c r="T206" i="29"/>
  <c r="W206" i="29"/>
  <c r="X206" i="29"/>
  <c r="Y206" i="29"/>
  <c r="Z206" i="29"/>
  <c r="AA206" i="29"/>
  <c r="S207" i="29"/>
  <c r="T207" i="29"/>
  <c r="W207" i="29"/>
  <c r="X207" i="29"/>
  <c r="Y207" i="29"/>
  <c r="Z207" i="29"/>
  <c r="AA207" i="29"/>
  <c r="S208" i="29"/>
  <c r="T208" i="29"/>
  <c r="W208" i="29"/>
  <c r="X208" i="29"/>
  <c r="Y208" i="29"/>
  <c r="Z208" i="29"/>
  <c r="AA208" i="29"/>
  <c r="S209" i="29"/>
  <c r="T209" i="29"/>
  <c r="W209" i="29"/>
  <c r="X209" i="29"/>
  <c r="Y209" i="29"/>
  <c r="Z209" i="29"/>
  <c r="AA209" i="29"/>
  <c r="S210" i="29"/>
  <c r="T210" i="29"/>
  <c r="W210" i="29"/>
  <c r="X210" i="29"/>
  <c r="Y210" i="29"/>
  <c r="Z210" i="29"/>
  <c r="AA210" i="29"/>
  <c r="S211" i="29"/>
  <c r="T211" i="29"/>
  <c r="W211" i="29"/>
  <c r="X211" i="29"/>
  <c r="Y211" i="29"/>
  <c r="Z211" i="29"/>
  <c r="AA211" i="29"/>
  <c r="S212" i="29"/>
  <c r="T212" i="29"/>
  <c r="W212" i="29"/>
  <c r="X212" i="29"/>
  <c r="Y212" i="29"/>
  <c r="Z212" i="29"/>
  <c r="AA212" i="29"/>
  <c r="S213" i="29"/>
  <c r="T213" i="29"/>
  <c r="W213" i="29"/>
  <c r="X213" i="29"/>
  <c r="Y213" i="29"/>
  <c r="Z213" i="29"/>
  <c r="AA213" i="29"/>
  <c r="S214" i="29"/>
  <c r="T214" i="29"/>
  <c r="W214" i="29"/>
  <c r="X214" i="29"/>
  <c r="Y214" i="29"/>
  <c r="Z214" i="29"/>
  <c r="AA214" i="29"/>
  <c r="S215" i="29"/>
  <c r="T215" i="29"/>
  <c r="W215" i="29"/>
  <c r="X215" i="29"/>
  <c r="Y215" i="29"/>
  <c r="Z215" i="29"/>
  <c r="AA215" i="29"/>
  <c r="S216" i="29"/>
  <c r="T216" i="29"/>
  <c r="W216" i="29"/>
  <c r="X216" i="29"/>
  <c r="Y216" i="29"/>
  <c r="Z216" i="29"/>
  <c r="AA216" i="29"/>
  <c r="S217" i="29"/>
  <c r="T217" i="29"/>
  <c r="W217" i="29"/>
  <c r="X217" i="29"/>
  <c r="Y217" i="29"/>
  <c r="Z217" i="29"/>
  <c r="AA217" i="29"/>
  <c r="S218" i="29"/>
  <c r="T218" i="29"/>
  <c r="W218" i="29"/>
  <c r="X218" i="29"/>
  <c r="Y218" i="29"/>
  <c r="Z218" i="29"/>
  <c r="AA218" i="29"/>
  <c r="S219" i="29"/>
  <c r="T219" i="29"/>
  <c r="W219" i="29"/>
  <c r="X219" i="29"/>
  <c r="Y219" i="29"/>
  <c r="Z219" i="29"/>
  <c r="AA219" i="29"/>
  <c r="S220" i="29"/>
  <c r="T220" i="29"/>
  <c r="W220" i="29"/>
  <c r="X220" i="29"/>
  <c r="Y220" i="29"/>
  <c r="Z220" i="29"/>
  <c r="AA220" i="29"/>
  <c r="S221" i="29"/>
  <c r="T221" i="29"/>
  <c r="W221" i="29"/>
  <c r="X221" i="29"/>
  <c r="Y221" i="29"/>
  <c r="Z221" i="29"/>
  <c r="AA221" i="29"/>
  <c r="S222" i="29"/>
  <c r="T222" i="29"/>
  <c r="W222" i="29"/>
  <c r="X222" i="29"/>
  <c r="Y222" i="29"/>
  <c r="Z222" i="29"/>
  <c r="AA222" i="29"/>
  <c r="S223" i="29"/>
  <c r="T223" i="29"/>
  <c r="W223" i="29"/>
  <c r="X223" i="29"/>
  <c r="Y223" i="29"/>
  <c r="Z223" i="29"/>
  <c r="AA223" i="29"/>
  <c r="S224" i="29"/>
  <c r="T224" i="29"/>
  <c r="W224" i="29"/>
  <c r="X224" i="29"/>
  <c r="Y224" i="29"/>
  <c r="Z224" i="29"/>
  <c r="AA224" i="29"/>
  <c r="S225" i="29"/>
  <c r="T225" i="29"/>
  <c r="W225" i="29"/>
  <c r="X225" i="29"/>
  <c r="Y225" i="29"/>
  <c r="Z225" i="29"/>
  <c r="AA225" i="29"/>
  <c r="S226" i="29"/>
  <c r="T226" i="29"/>
  <c r="W226" i="29"/>
  <c r="X226" i="29"/>
  <c r="Y226" i="29"/>
  <c r="Z226" i="29"/>
  <c r="AA226" i="29"/>
  <c r="S227" i="29"/>
  <c r="T227" i="29"/>
  <c r="W227" i="29"/>
  <c r="X227" i="29"/>
  <c r="Y227" i="29"/>
  <c r="Z227" i="29"/>
  <c r="AA227" i="29"/>
  <c r="S228" i="29"/>
  <c r="T228" i="29"/>
  <c r="W228" i="29"/>
  <c r="X228" i="29"/>
  <c r="Y228" i="29"/>
  <c r="Z228" i="29"/>
  <c r="AA228" i="29"/>
  <c r="S229" i="29"/>
  <c r="T229" i="29"/>
  <c r="W229" i="29"/>
  <c r="X229" i="29"/>
  <c r="Y229" i="29"/>
  <c r="Z229" i="29"/>
  <c r="AA229" i="29"/>
  <c r="S230" i="29"/>
  <c r="T230" i="29"/>
  <c r="W230" i="29"/>
  <c r="X230" i="29"/>
  <c r="Y230" i="29"/>
  <c r="Z230" i="29"/>
  <c r="AA230" i="29"/>
  <c r="S231" i="29"/>
  <c r="T231" i="29"/>
  <c r="W231" i="29"/>
  <c r="X231" i="29"/>
  <c r="Y231" i="29"/>
  <c r="Z231" i="29"/>
  <c r="AA231" i="29"/>
  <c r="S232" i="29"/>
  <c r="T232" i="29"/>
  <c r="W232" i="29"/>
  <c r="X232" i="29"/>
  <c r="Y232" i="29"/>
  <c r="Z232" i="29"/>
  <c r="AA232" i="29"/>
  <c r="S233" i="29"/>
  <c r="T233" i="29"/>
  <c r="W233" i="29"/>
  <c r="X233" i="29"/>
  <c r="Y233" i="29"/>
  <c r="Z233" i="29"/>
  <c r="AA233" i="29"/>
  <c r="S234" i="29"/>
  <c r="T234" i="29"/>
  <c r="W234" i="29"/>
  <c r="X234" i="29"/>
  <c r="Y234" i="29"/>
  <c r="Z234" i="29"/>
  <c r="AA234" i="29"/>
  <c r="S235" i="29"/>
  <c r="T235" i="29"/>
  <c r="W235" i="29"/>
  <c r="X235" i="29"/>
  <c r="Y235" i="29"/>
  <c r="Z235" i="29"/>
  <c r="AA235" i="29"/>
  <c r="S236" i="29"/>
  <c r="T236" i="29"/>
  <c r="W236" i="29"/>
  <c r="X236" i="29"/>
  <c r="Y236" i="29"/>
  <c r="Z236" i="29"/>
  <c r="AA236" i="29"/>
  <c r="S237" i="29"/>
  <c r="T237" i="29"/>
  <c r="W237" i="29"/>
  <c r="X237" i="29"/>
  <c r="Y237" i="29"/>
  <c r="Z237" i="29"/>
  <c r="AA237" i="29"/>
  <c r="S238" i="29"/>
  <c r="T238" i="29"/>
  <c r="W238" i="29"/>
  <c r="X238" i="29"/>
  <c r="Y238" i="29"/>
  <c r="Z238" i="29"/>
  <c r="AA238" i="29"/>
  <c r="S239" i="29"/>
  <c r="T239" i="29"/>
  <c r="W239" i="29"/>
  <c r="X239" i="29"/>
  <c r="Y239" i="29"/>
  <c r="Z239" i="29"/>
  <c r="AA239" i="29"/>
  <c r="S240" i="29"/>
  <c r="T240" i="29"/>
  <c r="W240" i="29"/>
  <c r="X240" i="29"/>
  <c r="Y240" i="29"/>
  <c r="Z240" i="29"/>
  <c r="AA240" i="29"/>
  <c r="S241" i="29"/>
  <c r="T241" i="29"/>
  <c r="W241" i="29"/>
  <c r="X241" i="29"/>
  <c r="Y241" i="29"/>
  <c r="Z241" i="29"/>
  <c r="AA241" i="29"/>
  <c r="S242" i="29"/>
  <c r="T242" i="29"/>
  <c r="W242" i="29"/>
  <c r="X242" i="29"/>
  <c r="Y242" i="29"/>
  <c r="Z242" i="29"/>
  <c r="AA242" i="29"/>
  <c r="S243" i="29"/>
  <c r="T243" i="29"/>
  <c r="W243" i="29"/>
  <c r="X243" i="29"/>
  <c r="Y243" i="29"/>
  <c r="Z243" i="29"/>
  <c r="AA243" i="29"/>
  <c r="S244" i="29"/>
  <c r="T244" i="29"/>
  <c r="W244" i="29"/>
  <c r="X244" i="29"/>
  <c r="Y244" i="29"/>
  <c r="Z244" i="29"/>
  <c r="AA244" i="29"/>
  <c r="S245" i="29"/>
  <c r="T245" i="29"/>
  <c r="W245" i="29"/>
  <c r="X245" i="29"/>
  <c r="Y245" i="29"/>
  <c r="Z245" i="29"/>
  <c r="AA245" i="29"/>
  <c r="S246" i="29"/>
  <c r="T246" i="29"/>
  <c r="W246" i="29"/>
  <c r="X246" i="29"/>
  <c r="Y246" i="29"/>
  <c r="Z246" i="29"/>
  <c r="AA246" i="29"/>
  <c r="S247" i="29"/>
  <c r="T247" i="29"/>
  <c r="W247" i="29"/>
  <c r="X247" i="29"/>
  <c r="Y247" i="29"/>
  <c r="Z247" i="29"/>
  <c r="AA247" i="29"/>
  <c r="S248" i="29"/>
  <c r="T248" i="29"/>
  <c r="W248" i="29"/>
  <c r="X248" i="29"/>
  <c r="Y248" i="29"/>
  <c r="Z248" i="29"/>
  <c r="AA248" i="29"/>
  <c r="S249" i="29"/>
  <c r="T249" i="29"/>
  <c r="W249" i="29"/>
  <c r="X249" i="29"/>
  <c r="Y249" i="29"/>
  <c r="Z249" i="29"/>
  <c r="AA249" i="29"/>
  <c r="S250" i="29"/>
  <c r="T250" i="29"/>
  <c r="W250" i="29"/>
  <c r="X250" i="29"/>
  <c r="Y250" i="29"/>
  <c r="Z250" i="29"/>
  <c r="AA250" i="29"/>
  <c r="S251" i="29"/>
  <c r="T251" i="29"/>
  <c r="W251" i="29"/>
  <c r="X251" i="29"/>
  <c r="Y251" i="29"/>
  <c r="Z251" i="29"/>
  <c r="AA251" i="29"/>
  <c r="S252" i="29"/>
  <c r="T252" i="29"/>
  <c r="W252" i="29"/>
  <c r="X252" i="29"/>
  <c r="Y252" i="29"/>
  <c r="Z252" i="29"/>
  <c r="AA252" i="29"/>
  <c r="S253" i="29"/>
  <c r="T253" i="29"/>
  <c r="W253" i="29"/>
  <c r="X253" i="29"/>
  <c r="Y253" i="29"/>
  <c r="Z253" i="29"/>
  <c r="AA253" i="29"/>
  <c r="S254" i="29"/>
  <c r="T254" i="29"/>
  <c r="W254" i="29"/>
  <c r="X254" i="29"/>
  <c r="Y254" i="29"/>
  <c r="Z254" i="29"/>
  <c r="AA254" i="29"/>
  <c r="S255" i="29"/>
  <c r="T255" i="29"/>
  <c r="W255" i="29"/>
  <c r="X255" i="29"/>
  <c r="Y255" i="29"/>
  <c r="Z255" i="29"/>
  <c r="AA255" i="29"/>
  <c r="S256" i="29"/>
  <c r="T256" i="29"/>
  <c r="W256" i="29"/>
  <c r="X256" i="29"/>
  <c r="Y256" i="29"/>
  <c r="Z256" i="29"/>
  <c r="AA256" i="29"/>
  <c r="S257" i="29"/>
  <c r="T257" i="29"/>
  <c r="W257" i="29"/>
  <c r="X257" i="29"/>
  <c r="Y257" i="29"/>
  <c r="Z257" i="29"/>
  <c r="AA257" i="29"/>
  <c r="S258" i="29"/>
  <c r="T258" i="29"/>
  <c r="W258" i="29"/>
  <c r="X258" i="29"/>
  <c r="Y258" i="29"/>
  <c r="Z258" i="29"/>
  <c r="AA258" i="29"/>
  <c r="S259" i="29"/>
  <c r="T259" i="29"/>
  <c r="W259" i="29"/>
  <c r="X259" i="29"/>
  <c r="Y259" i="29"/>
  <c r="Z259" i="29"/>
  <c r="AA259" i="29"/>
  <c r="S260" i="29"/>
  <c r="T260" i="29"/>
  <c r="W260" i="29"/>
  <c r="X260" i="29"/>
  <c r="Y260" i="29"/>
  <c r="Z260" i="29"/>
  <c r="AA260" i="29"/>
  <c r="S261" i="29"/>
  <c r="T261" i="29"/>
  <c r="W261" i="29"/>
  <c r="X261" i="29"/>
  <c r="Y261" i="29"/>
  <c r="Z261" i="29"/>
  <c r="AA261" i="29"/>
  <c r="S262" i="29"/>
  <c r="T262" i="29"/>
  <c r="W262" i="29"/>
  <c r="X262" i="29"/>
  <c r="Y262" i="29"/>
  <c r="Z262" i="29"/>
  <c r="AA262" i="29"/>
  <c r="S263" i="29"/>
  <c r="T263" i="29"/>
  <c r="W263" i="29"/>
  <c r="X263" i="29"/>
  <c r="Y263" i="29"/>
  <c r="Z263" i="29"/>
  <c r="AA263" i="29"/>
  <c r="S264" i="29"/>
  <c r="T264" i="29"/>
  <c r="W264" i="29"/>
  <c r="X264" i="29"/>
  <c r="Y264" i="29"/>
  <c r="Z264" i="29"/>
  <c r="AA264" i="29"/>
  <c r="S265" i="29"/>
  <c r="T265" i="29"/>
  <c r="W265" i="29"/>
  <c r="X265" i="29"/>
  <c r="Y265" i="29"/>
  <c r="Z265" i="29"/>
  <c r="AA265" i="29"/>
  <c r="S266" i="29"/>
  <c r="T266" i="29"/>
  <c r="W266" i="29"/>
  <c r="X266" i="29"/>
  <c r="Y266" i="29"/>
  <c r="Z266" i="29"/>
  <c r="AA266" i="29"/>
  <c r="S267" i="29"/>
  <c r="T267" i="29"/>
  <c r="W267" i="29"/>
  <c r="X267" i="29"/>
  <c r="Y267" i="29"/>
  <c r="Z267" i="29"/>
  <c r="AA267" i="29"/>
  <c r="S268" i="29"/>
  <c r="T268" i="29"/>
  <c r="W268" i="29"/>
  <c r="X268" i="29"/>
  <c r="Y268" i="29"/>
  <c r="Z268" i="29"/>
  <c r="AA268" i="29"/>
  <c r="S269" i="29"/>
  <c r="T269" i="29"/>
  <c r="W269" i="29"/>
  <c r="X269" i="29"/>
  <c r="Y269" i="29"/>
  <c r="Z269" i="29"/>
  <c r="AA269" i="29"/>
  <c r="S270" i="29"/>
  <c r="T270" i="29"/>
  <c r="W270" i="29"/>
  <c r="X270" i="29"/>
  <c r="Y270" i="29"/>
  <c r="Z270" i="29"/>
  <c r="AA270" i="29"/>
  <c r="S271" i="29"/>
  <c r="T271" i="29"/>
  <c r="W271" i="29"/>
  <c r="X271" i="29"/>
  <c r="Y271" i="29"/>
  <c r="Z271" i="29"/>
  <c r="AA271" i="29"/>
  <c r="S272" i="29"/>
  <c r="T272" i="29"/>
  <c r="W272" i="29"/>
  <c r="X272" i="29"/>
  <c r="Y272" i="29"/>
  <c r="Z272" i="29"/>
  <c r="AA272" i="29"/>
  <c r="S273" i="29"/>
  <c r="T273" i="29"/>
  <c r="W273" i="29"/>
  <c r="X273" i="29"/>
  <c r="Y273" i="29"/>
  <c r="Z273" i="29"/>
  <c r="AA273" i="29"/>
  <c r="S274" i="29"/>
  <c r="T274" i="29"/>
  <c r="W274" i="29"/>
  <c r="X274" i="29"/>
  <c r="Y274" i="29"/>
  <c r="Z274" i="29"/>
  <c r="AA274" i="29"/>
  <c r="S275" i="29"/>
  <c r="T275" i="29"/>
  <c r="W275" i="29"/>
  <c r="X275" i="29"/>
  <c r="Y275" i="29"/>
  <c r="Z275" i="29"/>
  <c r="AA275" i="29"/>
  <c r="S276" i="29"/>
  <c r="T276" i="29"/>
  <c r="W276" i="29"/>
  <c r="X276" i="29"/>
  <c r="Y276" i="29"/>
  <c r="Z276" i="29"/>
  <c r="AA276" i="29"/>
  <c r="S277" i="29"/>
  <c r="T277" i="29"/>
  <c r="W277" i="29"/>
  <c r="X277" i="29"/>
  <c r="Y277" i="29"/>
  <c r="Z277" i="29"/>
  <c r="AA277" i="29"/>
  <c r="S278" i="29"/>
  <c r="T278" i="29"/>
  <c r="W278" i="29"/>
  <c r="X278" i="29"/>
  <c r="Y278" i="29"/>
  <c r="Z278" i="29"/>
  <c r="AA278" i="29"/>
  <c r="S279" i="29"/>
  <c r="T279" i="29"/>
  <c r="W279" i="29"/>
  <c r="X279" i="29"/>
  <c r="Y279" i="29"/>
  <c r="Z279" i="29"/>
  <c r="AA279" i="29"/>
  <c r="S280" i="29"/>
  <c r="T280" i="29"/>
  <c r="W280" i="29"/>
  <c r="X280" i="29"/>
  <c r="Y280" i="29"/>
  <c r="Z280" i="29"/>
  <c r="AA280" i="29"/>
  <c r="S281" i="29"/>
  <c r="T281" i="29"/>
  <c r="W281" i="29"/>
  <c r="X281" i="29"/>
  <c r="Y281" i="29"/>
  <c r="Z281" i="29"/>
  <c r="AA281" i="29"/>
  <c r="S282" i="29"/>
  <c r="T282" i="29"/>
  <c r="W282" i="29"/>
  <c r="X282" i="29"/>
  <c r="Y282" i="29"/>
  <c r="Z282" i="29"/>
  <c r="AA282" i="29"/>
  <c r="S283" i="29"/>
  <c r="T283" i="29"/>
  <c r="W283" i="29"/>
  <c r="X283" i="29"/>
  <c r="Y283" i="29"/>
  <c r="Z283" i="29"/>
  <c r="AA283" i="29"/>
  <c r="S284" i="29"/>
  <c r="T284" i="29"/>
  <c r="W284" i="29"/>
  <c r="X284" i="29"/>
  <c r="Y284" i="29"/>
  <c r="Z284" i="29"/>
  <c r="AA284" i="29"/>
  <c r="S285" i="29"/>
  <c r="T285" i="29"/>
  <c r="W285" i="29"/>
  <c r="X285" i="29"/>
  <c r="Y285" i="29"/>
  <c r="Z285" i="29"/>
  <c r="AA285" i="29"/>
  <c r="S286" i="29"/>
  <c r="T286" i="29"/>
  <c r="W286" i="29"/>
  <c r="X286" i="29"/>
  <c r="Y286" i="29"/>
  <c r="Z286" i="29"/>
  <c r="AA286" i="29"/>
  <c r="S287" i="29"/>
  <c r="T287" i="29"/>
  <c r="W287" i="29"/>
  <c r="X287" i="29"/>
  <c r="Y287" i="29"/>
  <c r="Z287" i="29"/>
  <c r="AA287" i="29"/>
  <c r="S288" i="29"/>
  <c r="T288" i="29"/>
  <c r="W288" i="29"/>
  <c r="X288" i="29"/>
  <c r="Y288" i="29"/>
  <c r="Z288" i="29"/>
  <c r="AA288" i="29"/>
  <c r="S289" i="29"/>
  <c r="T289" i="29"/>
  <c r="W289" i="29"/>
  <c r="X289" i="29"/>
  <c r="Y289" i="29"/>
  <c r="Z289" i="29"/>
  <c r="AA289" i="29"/>
  <c r="S290" i="29"/>
  <c r="T290" i="29"/>
  <c r="W290" i="29"/>
  <c r="X290" i="29"/>
  <c r="Y290" i="29"/>
  <c r="Z290" i="29"/>
  <c r="AA290" i="29"/>
  <c r="S291" i="29"/>
  <c r="T291" i="29"/>
  <c r="W291" i="29"/>
  <c r="X291" i="29"/>
  <c r="Y291" i="29"/>
  <c r="Z291" i="29"/>
  <c r="AA291" i="29"/>
  <c r="S292" i="29"/>
  <c r="T292" i="29"/>
  <c r="W292" i="29"/>
  <c r="X292" i="29"/>
  <c r="Y292" i="29"/>
  <c r="Z292" i="29"/>
  <c r="AA292" i="29"/>
  <c r="S293" i="29"/>
  <c r="T293" i="29"/>
  <c r="W293" i="29"/>
  <c r="X293" i="29"/>
  <c r="Y293" i="29"/>
  <c r="Z293" i="29"/>
  <c r="AA293" i="29"/>
  <c r="S294" i="29"/>
  <c r="T294" i="29"/>
  <c r="W294" i="29"/>
  <c r="X294" i="29"/>
  <c r="Y294" i="29"/>
  <c r="Z294" i="29"/>
  <c r="AA294" i="29"/>
  <c r="S295" i="29"/>
  <c r="T295" i="29"/>
  <c r="W295" i="29"/>
  <c r="X295" i="29"/>
  <c r="Y295" i="29"/>
  <c r="Z295" i="29"/>
  <c r="AA295" i="29"/>
  <c r="S296" i="29"/>
  <c r="T296" i="29"/>
  <c r="W296" i="29"/>
  <c r="X296" i="29"/>
  <c r="Y296" i="29"/>
  <c r="Z296" i="29"/>
  <c r="AA296" i="29"/>
  <c r="S297" i="29"/>
  <c r="T297" i="29"/>
  <c r="W297" i="29"/>
  <c r="X297" i="29"/>
  <c r="Y297" i="29"/>
  <c r="Z297" i="29"/>
  <c r="AA297" i="29"/>
  <c r="S298" i="29"/>
  <c r="T298" i="29"/>
  <c r="W298" i="29"/>
  <c r="X298" i="29"/>
  <c r="Y298" i="29"/>
  <c r="Z298" i="29"/>
  <c r="AA298" i="29"/>
  <c r="S299" i="29"/>
  <c r="T299" i="29"/>
  <c r="W299" i="29"/>
  <c r="X299" i="29"/>
  <c r="Y299" i="29"/>
  <c r="Z299" i="29"/>
  <c r="AA299" i="29"/>
  <c r="S300" i="29"/>
  <c r="T300" i="29"/>
  <c r="W300" i="29"/>
  <c r="X300" i="29"/>
  <c r="Y300" i="29"/>
  <c r="Z300" i="29"/>
  <c r="AA300" i="29"/>
  <c r="S301" i="29"/>
  <c r="T301" i="29"/>
  <c r="W301" i="29"/>
  <c r="X301" i="29"/>
  <c r="Y301" i="29"/>
  <c r="Z301" i="29"/>
  <c r="AA301" i="29"/>
  <c r="S302" i="29"/>
  <c r="T302" i="29"/>
  <c r="W302" i="29"/>
  <c r="X302" i="29"/>
  <c r="Y302" i="29"/>
  <c r="Z302" i="29"/>
  <c r="AA302" i="29"/>
  <c r="S303" i="29"/>
  <c r="T303" i="29"/>
  <c r="W303" i="29"/>
  <c r="X303" i="29"/>
  <c r="Y303" i="29"/>
  <c r="Z303" i="29"/>
  <c r="AA303" i="29"/>
  <c r="S304" i="29"/>
  <c r="T304" i="29"/>
  <c r="W304" i="29"/>
  <c r="X304" i="29"/>
  <c r="Y304" i="29"/>
  <c r="Z304" i="29"/>
  <c r="AA304" i="29"/>
  <c r="S305" i="29"/>
  <c r="T305" i="29"/>
  <c r="W305" i="29"/>
  <c r="X305" i="29"/>
  <c r="Y305" i="29"/>
  <c r="Z305" i="29"/>
  <c r="AA305" i="29"/>
  <c r="S306" i="29"/>
  <c r="T306" i="29"/>
  <c r="W306" i="29"/>
  <c r="X306" i="29"/>
  <c r="Y306" i="29"/>
  <c r="Z306" i="29"/>
  <c r="AA306" i="29"/>
  <c r="S307" i="29"/>
  <c r="T307" i="29"/>
  <c r="W307" i="29"/>
  <c r="X307" i="29"/>
  <c r="Y307" i="29"/>
  <c r="Z307" i="29"/>
  <c r="AA307" i="29"/>
  <c r="S308" i="29"/>
  <c r="T308" i="29"/>
  <c r="W308" i="29"/>
  <c r="X308" i="29"/>
  <c r="Y308" i="29"/>
  <c r="Z308" i="29"/>
  <c r="AA308" i="29"/>
  <c r="S309" i="29"/>
  <c r="T309" i="29"/>
  <c r="W309" i="29"/>
  <c r="X309" i="29"/>
  <c r="Y309" i="29"/>
  <c r="Z309" i="29"/>
  <c r="AA309" i="29"/>
  <c r="S310" i="29"/>
  <c r="T310" i="29"/>
  <c r="W310" i="29"/>
  <c r="X310" i="29"/>
  <c r="Y310" i="29"/>
  <c r="Z310" i="29"/>
  <c r="AA310" i="29"/>
  <c r="S311" i="29"/>
  <c r="T311" i="29"/>
  <c r="W311" i="29"/>
  <c r="X311" i="29"/>
  <c r="Y311" i="29"/>
  <c r="Z311" i="29"/>
  <c r="AA311" i="29"/>
  <c r="S312" i="29"/>
  <c r="T312" i="29"/>
  <c r="W312" i="29"/>
  <c r="X312" i="29"/>
  <c r="Y312" i="29"/>
  <c r="Z312" i="29"/>
  <c r="AA312" i="29"/>
  <c r="S313" i="29"/>
  <c r="T313" i="29"/>
  <c r="W313" i="29"/>
  <c r="X313" i="29"/>
  <c r="Y313" i="29"/>
  <c r="Z313" i="29"/>
  <c r="AA313" i="29"/>
  <c r="S314" i="29"/>
  <c r="T314" i="29"/>
  <c r="W314" i="29"/>
  <c r="X314" i="29"/>
  <c r="Y314" i="29"/>
  <c r="Z314" i="29"/>
  <c r="AA314" i="29"/>
  <c r="S315" i="29"/>
  <c r="T315" i="29"/>
  <c r="W315" i="29"/>
  <c r="X315" i="29"/>
  <c r="Y315" i="29"/>
  <c r="Z315" i="29"/>
  <c r="AA315" i="29"/>
  <c r="S316" i="29"/>
  <c r="T316" i="29"/>
  <c r="W316" i="29"/>
  <c r="X316" i="29"/>
  <c r="Y316" i="29"/>
  <c r="Z316" i="29"/>
  <c r="AA316" i="29"/>
  <c r="S317" i="29"/>
  <c r="T317" i="29"/>
  <c r="W317" i="29"/>
  <c r="X317" i="29"/>
  <c r="Y317" i="29"/>
  <c r="Z317" i="29"/>
  <c r="AA317" i="29"/>
  <c r="S318" i="29"/>
  <c r="T318" i="29"/>
  <c r="W318" i="29"/>
  <c r="X318" i="29"/>
  <c r="Y318" i="29"/>
  <c r="Z318" i="29"/>
  <c r="AA318" i="29"/>
  <c r="S319" i="29"/>
  <c r="T319" i="29"/>
  <c r="W319" i="29"/>
  <c r="X319" i="29"/>
  <c r="Y319" i="29"/>
  <c r="Z319" i="29"/>
  <c r="AA319" i="29"/>
  <c r="S320" i="29"/>
  <c r="T320" i="29"/>
  <c r="W320" i="29"/>
  <c r="X320" i="29"/>
  <c r="Y320" i="29"/>
  <c r="Z320" i="29"/>
  <c r="AA320" i="29"/>
  <c r="S321" i="29"/>
  <c r="T321" i="29"/>
  <c r="W321" i="29"/>
  <c r="X321" i="29"/>
  <c r="Y321" i="29"/>
  <c r="Z321" i="29"/>
  <c r="AA321" i="29"/>
  <c r="S322" i="29"/>
  <c r="T322" i="29"/>
  <c r="W322" i="29"/>
  <c r="X322" i="29"/>
  <c r="Y322" i="29"/>
  <c r="Z322" i="29"/>
  <c r="AA322" i="29"/>
  <c r="S323" i="29"/>
  <c r="T323" i="29"/>
  <c r="W323" i="29"/>
  <c r="X323" i="29"/>
  <c r="Y323" i="29"/>
  <c r="Z323" i="29"/>
  <c r="AA323" i="29"/>
  <c r="S324" i="29"/>
  <c r="T324" i="29"/>
  <c r="W324" i="29"/>
  <c r="X324" i="29"/>
  <c r="Y324" i="29"/>
  <c r="Z324" i="29"/>
  <c r="AA324" i="29"/>
  <c r="S325" i="29"/>
  <c r="T325" i="29"/>
  <c r="W325" i="29"/>
  <c r="X325" i="29"/>
  <c r="Y325" i="29"/>
  <c r="Z325" i="29"/>
  <c r="AA325" i="29"/>
  <c r="S326" i="29"/>
  <c r="T326" i="29"/>
  <c r="W326" i="29"/>
  <c r="X326" i="29"/>
  <c r="Y326" i="29"/>
  <c r="Z326" i="29"/>
  <c r="AA326" i="29"/>
  <c r="S327" i="29"/>
  <c r="T327" i="29"/>
  <c r="W327" i="29"/>
  <c r="X327" i="29"/>
  <c r="Y327" i="29"/>
  <c r="Z327" i="29"/>
  <c r="AA327" i="29"/>
  <c r="S328" i="29"/>
  <c r="T328" i="29"/>
  <c r="W328" i="29"/>
  <c r="X328" i="29"/>
  <c r="Y328" i="29"/>
  <c r="Z328" i="29"/>
  <c r="AA328" i="29"/>
  <c r="S329" i="29"/>
  <c r="T329" i="29"/>
  <c r="W329" i="29"/>
  <c r="X329" i="29"/>
  <c r="Y329" i="29"/>
  <c r="Z329" i="29"/>
  <c r="AA329" i="29"/>
  <c r="S330" i="29"/>
  <c r="T330" i="29"/>
  <c r="W330" i="29"/>
  <c r="X330" i="29"/>
  <c r="Y330" i="29"/>
  <c r="Z330" i="29"/>
  <c r="AA330" i="29"/>
  <c r="S331" i="29"/>
  <c r="T331" i="29"/>
  <c r="W331" i="29"/>
  <c r="X331" i="29"/>
  <c r="Y331" i="29"/>
  <c r="Z331" i="29"/>
  <c r="AA331" i="29"/>
  <c r="S332" i="29"/>
  <c r="T332" i="29"/>
  <c r="W332" i="29"/>
  <c r="X332" i="29"/>
  <c r="Y332" i="29"/>
  <c r="Z332" i="29"/>
  <c r="AA332" i="29"/>
  <c r="S333" i="29"/>
  <c r="T333" i="29"/>
  <c r="W333" i="29"/>
  <c r="X333" i="29"/>
  <c r="Y333" i="29"/>
  <c r="Z333" i="29"/>
  <c r="AA333" i="29"/>
  <c r="S334" i="29"/>
  <c r="T334" i="29"/>
  <c r="W334" i="29"/>
  <c r="X334" i="29"/>
  <c r="Y334" i="29"/>
  <c r="Z334" i="29"/>
  <c r="AA334" i="29"/>
  <c r="S335" i="29"/>
  <c r="T335" i="29"/>
  <c r="W335" i="29"/>
  <c r="X335" i="29"/>
  <c r="Y335" i="29"/>
  <c r="Z335" i="29"/>
  <c r="AA335" i="29"/>
  <c r="S336" i="29"/>
  <c r="T336" i="29"/>
  <c r="W336" i="29"/>
  <c r="X336" i="29"/>
  <c r="Y336" i="29"/>
  <c r="Z336" i="29"/>
  <c r="AA336" i="29"/>
  <c r="S337" i="29"/>
  <c r="T337" i="29"/>
  <c r="W337" i="29"/>
  <c r="X337" i="29"/>
  <c r="Y337" i="29"/>
  <c r="Z337" i="29"/>
  <c r="AA337" i="29"/>
  <c r="S338" i="29"/>
  <c r="T338" i="29"/>
  <c r="W338" i="29"/>
  <c r="X338" i="29"/>
  <c r="Y338" i="29"/>
  <c r="Z338" i="29"/>
  <c r="AA338" i="29"/>
  <c r="S339" i="29"/>
  <c r="T339" i="29"/>
  <c r="W339" i="29"/>
  <c r="X339" i="29"/>
  <c r="Y339" i="29"/>
  <c r="Z339" i="29"/>
  <c r="AA339" i="29"/>
  <c r="S340" i="29"/>
  <c r="T340" i="29"/>
  <c r="W340" i="29"/>
  <c r="X340" i="29"/>
  <c r="Y340" i="29"/>
  <c r="Z340" i="29"/>
  <c r="AA340" i="29"/>
  <c r="S341" i="29"/>
  <c r="T341" i="29"/>
  <c r="W341" i="29"/>
  <c r="X341" i="29"/>
  <c r="Y341" i="29"/>
  <c r="Z341" i="29"/>
  <c r="AA341" i="29"/>
  <c r="S342" i="29"/>
  <c r="T342" i="29"/>
  <c r="W342" i="29"/>
  <c r="X342" i="29"/>
  <c r="Y342" i="29"/>
  <c r="Z342" i="29"/>
  <c r="AA342" i="29"/>
  <c r="S343" i="29"/>
  <c r="T343" i="29"/>
  <c r="W343" i="29"/>
  <c r="X343" i="29"/>
  <c r="Y343" i="29"/>
  <c r="Z343" i="29"/>
  <c r="AA343" i="29"/>
  <c r="S344" i="29"/>
  <c r="T344" i="29"/>
  <c r="W344" i="29"/>
  <c r="X344" i="29"/>
  <c r="Y344" i="29"/>
  <c r="Z344" i="29"/>
  <c r="AA344" i="29"/>
  <c r="S345" i="29"/>
  <c r="T345" i="29"/>
  <c r="W345" i="29"/>
  <c r="X345" i="29"/>
  <c r="Y345" i="29"/>
  <c r="Z345" i="29"/>
  <c r="AA345" i="29"/>
  <c r="S346" i="29"/>
  <c r="T346" i="29"/>
  <c r="W346" i="29"/>
  <c r="X346" i="29"/>
  <c r="Y346" i="29"/>
  <c r="Z346" i="29"/>
  <c r="AA346" i="29"/>
  <c r="S347" i="29"/>
  <c r="T347" i="29"/>
  <c r="W347" i="29"/>
  <c r="X347" i="29"/>
  <c r="Y347" i="29"/>
  <c r="Z347" i="29"/>
  <c r="AA347" i="29"/>
  <c r="S348" i="29"/>
  <c r="T348" i="29"/>
  <c r="W348" i="29"/>
  <c r="X348" i="29"/>
  <c r="Y348" i="29"/>
  <c r="Z348" i="29"/>
  <c r="AA348" i="29"/>
  <c r="S349" i="29"/>
  <c r="T349" i="29"/>
  <c r="W349" i="29"/>
  <c r="X349" i="29"/>
  <c r="Y349" i="29"/>
  <c r="Z349" i="29"/>
  <c r="AA349" i="29"/>
  <c r="S350" i="29"/>
  <c r="T350" i="29"/>
  <c r="W350" i="29"/>
  <c r="X350" i="29"/>
  <c r="Y350" i="29"/>
  <c r="Z350" i="29"/>
  <c r="AA350" i="29"/>
  <c r="S351" i="29"/>
  <c r="T351" i="29"/>
  <c r="W351" i="29"/>
  <c r="X351" i="29"/>
  <c r="Y351" i="29"/>
  <c r="Z351" i="29"/>
  <c r="AA351" i="29"/>
  <c r="S352" i="29"/>
  <c r="T352" i="29"/>
  <c r="W352" i="29"/>
  <c r="X352" i="29"/>
  <c r="Y352" i="29"/>
  <c r="Z352" i="29"/>
  <c r="AA352" i="29"/>
  <c r="S353" i="29"/>
  <c r="T353" i="29"/>
  <c r="W353" i="29"/>
  <c r="X353" i="29"/>
  <c r="Y353" i="29"/>
  <c r="Z353" i="29"/>
  <c r="AA353" i="29"/>
  <c r="S354" i="29"/>
  <c r="T354" i="29"/>
  <c r="W354" i="29"/>
  <c r="X354" i="29"/>
  <c r="Y354" i="29"/>
  <c r="Z354" i="29"/>
  <c r="AA354" i="29"/>
  <c r="S355" i="29"/>
  <c r="T355" i="29"/>
  <c r="W355" i="29"/>
  <c r="X355" i="29"/>
  <c r="Y355" i="29"/>
  <c r="Z355" i="29"/>
  <c r="AA355" i="29"/>
  <c r="S356" i="29"/>
  <c r="T356" i="29"/>
  <c r="W356" i="29"/>
  <c r="X356" i="29"/>
  <c r="Y356" i="29"/>
  <c r="Z356" i="29"/>
  <c r="AA356" i="29"/>
  <c r="S357" i="29"/>
  <c r="T357" i="29"/>
  <c r="W357" i="29"/>
  <c r="X357" i="29"/>
  <c r="Y357" i="29"/>
  <c r="Z357" i="29"/>
  <c r="AA357" i="29"/>
  <c r="S358" i="29"/>
  <c r="T358" i="29"/>
  <c r="W358" i="29"/>
  <c r="X358" i="29"/>
  <c r="Y358" i="29"/>
  <c r="Z358" i="29"/>
  <c r="AA358" i="29"/>
  <c r="S359" i="29"/>
  <c r="T359" i="29"/>
  <c r="W359" i="29"/>
  <c r="X359" i="29"/>
  <c r="Y359" i="29"/>
  <c r="Z359" i="29"/>
  <c r="AA359" i="29"/>
  <c r="S360" i="29"/>
  <c r="T360" i="29"/>
  <c r="W360" i="29"/>
  <c r="X360" i="29"/>
  <c r="Y360" i="29"/>
  <c r="Z360" i="29"/>
  <c r="AA360" i="29"/>
  <c r="S361" i="29"/>
  <c r="T361" i="29"/>
  <c r="W361" i="29"/>
  <c r="X361" i="29"/>
  <c r="Y361" i="29"/>
  <c r="Z361" i="29"/>
  <c r="AA361" i="29"/>
  <c r="S362" i="29"/>
  <c r="T362" i="29"/>
  <c r="W362" i="29"/>
  <c r="X362" i="29"/>
  <c r="Y362" i="29"/>
  <c r="Z362" i="29"/>
  <c r="AA362" i="29"/>
  <c r="S363" i="29"/>
  <c r="T363" i="29"/>
  <c r="W363" i="29"/>
  <c r="X363" i="29"/>
  <c r="Y363" i="29"/>
  <c r="Z363" i="29"/>
  <c r="AA363" i="29"/>
  <c r="S364" i="29"/>
  <c r="T364" i="29"/>
  <c r="W364" i="29"/>
  <c r="X364" i="29"/>
  <c r="Y364" i="29"/>
  <c r="Z364" i="29"/>
  <c r="AA364" i="29"/>
  <c r="S365" i="29"/>
  <c r="T365" i="29"/>
  <c r="W365" i="29"/>
  <c r="X365" i="29"/>
  <c r="Y365" i="29"/>
  <c r="Z365" i="29"/>
  <c r="AA365" i="29"/>
  <c r="S366" i="29"/>
  <c r="T366" i="29"/>
  <c r="W366" i="29"/>
  <c r="X366" i="29"/>
  <c r="Y366" i="29"/>
  <c r="Z366" i="29"/>
  <c r="AA366" i="29"/>
  <c r="S367" i="29"/>
  <c r="T367" i="29"/>
  <c r="W367" i="29"/>
  <c r="X367" i="29"/>
  <c r="Y367" i="29"/>
  <c r="Z367" i="29"/>
  <c r="AA367" i="29"/>
  <c r="S368" i="29"/>
  <c r="T368" i="29"/>
  <c r="W368" i="29"/>
  <c r="X368" i="29"/>
  <c r="Y368" i="29"/>
  <c r="Z368" i="29"/>
  <c r="AA368" i="29"/>
  <c r="S369" i="29"/>
  <c r="T369" i="29"/>
  <c r="W369" i="29"/>
  <c r="X369" i="29"/>
  <c r="Y369" i="29"/>
  <c r="Z369" i="29"/>
  <c r="AA369" i="29"/>
  <c r="S370" i="29"/>
  <c r="T370" i="29"/>
  <c r="W370" i="29"/>
  <c r="X370" i="29"/>
  <c r="Y370" i="29"/>
  <c r="Z370" i="29"/>
  <c r="AA370" i="29"/>
  <c r="S371" i="29"/>
  <c r="T371" i="29"/>
  <c r="W371" i="29"/>
  <c r="X371" i="29"/>
  <c r="Y371" i="29"/>
  <c r="Z371" i="29"/>
  <c r="AA371" i="29"/>
  <c r="S372" i="29"/>
  <c r="T372" i="29"/>
  <c r="W372" i="29"/>
  <c r="X372" i="29"/>
  <c r="Y372" i="29"/>
  <c r="Z372" i="29"/>
  <c r="AA372" i="29"/>
  <c r="S373" i="29"/>
  <c r="T373" i="29"/>
  <c r="W373" i="29"/>
  <c r="X373" i="29"/>
  <c r="Y373" i="29"/>
  <c r="Z373" i="29"/>
  <c r="AA373" i="29"/>
  <c r="S374" i="29"/>
  <c r="T374" i="29"/>
  <c r="W374" i="29"/>
  <c r="X374" i="29"/>
  <c r="Y374" i="29"/>
  <c r="Z374" i="29"/>
  <c r="AA374" i="29"/>
  <c r="S375" i="29"/>
  <c r="T375" i="29"/>
  <c r="W375" i="29"/>
  <c r="X375" i="29"/>
  <c r="Y375" i="29"/>
  <c r="Z375" i="29"/>
  <c r="AA375" i="29"/>
  <c r="S376" i="29"/>
  <c r="T376" i="29"/>
  <c r="W376" i="29"/>
  <c r="X376" i="29"/>
  <c r="Y376" i="29"/>
  <c r="Z376" i="29"/>
  <c r="AA376" i="29"/>
  <c r="S377" i="29"/>
  <c r="T377" i="29"/>
  <c r="W377" i="29"/>
  <c r="X377" i="29"/>
  <c r="Y377" i="29"/>
  <c r="Z377" i="29"/>
  <c r="AA377" i="29"/>
  <c r="S378" i="29"/>
  <c r="T378" i="29"/>
  <c r="W378" i="29"/>
  <c r="X378" i="29"/>
  <c r="Y378" i="29"/>
  <c r="Z378" i="29"/>
  <c r="AA378" i="29"/>
  <c r="S379" i="29"/>
  <c r="T379" i="29"/>
  <c r="W379" i="29"/>
  <c r="X379" i="29"/>
  <c r="Y379" i="29"/>
  <c r="Z379" i="29"/>
  <c r="AA379" i="29"/>
  <c r="S380" i="29"/>
  <c r="T380" i="29"/>
  <c r="W380" i="29"/>
  <c r="X380" i="29"/>
  <c r="Y380" i="29"/>
  <c r="Z380" i="29"/>
  <c r="AA380" i="29"/>
  <c r="S381" i="29"/>
  <c r="T381" i="29"/>
  <c r="W381" i="29"/>
  <c r="X381" i="29"/>
  <c r="Y381" i="29"/>
  <c r="Z381" i="29"/>
  <c r="AA381" i="29"/>
  <c r="S382" i="29"/>
  <c r="T382" i="29"/>
  <c r="W382" i="29"/>
  <c r="X382" i="29"/>
  <c r="Y382" i="29"/>
  <c r="Z382" i="29"/>
  <c r="AA382" i="29"/>
  <c r="S383" i="29"/>
  <c r="T383" i="29"/>
  <c r="W383" i="29"/>
  <c r="X383" i="29"/>
  <c r="Y383" i="29"/>
  <c r="Z383" i="29"/>
  <c r="AA383" i="29"/>
  <c r="S384" i="29"/>
  <c r="T384" i="29"/>
  <c r="W384" i="29"/>
  <c r="X384" i="29"/>
  <c r="Y384" i="29"/>
  <c r="Z384" i="29"/>
  <c r="AA384" i="29"/>
  <c r="S385" i="29"/>
  <c r="T385" i="29"/>
  <c r="W385" i="29"/>
  <c r="X385" i="29"/>
  <c r="Y385" i="29"/>
  <c r="Z385" i="29"/>
  <c r="AA385" i="29"/>
  <c r="S386" i="29"/>
  <c r="T386" i="29"/>
  <c r="W386" i="29"/>
  <c r="X386" i="29"/>
  <c r="Y386" i="29"/>
  <c r="Z386" i="29"/>
  <c r="AA386" i="29"/>
  <c r="S387" i="29"/>
  <c r="T387" i="29"/>
  <c r="W387" i="29"/>
  <c r="X387" i="29"/>
  <c r="Y387" i="29"/>
  <c r="Z387" i="29"/>
  <c r="AA387" i="29"/>
  <c r="S388" i="29"/>
  <c r="T388" i="29"/>
  <c r="W388" i="29"/>
  <c r="X388" i="29"/>
  <c r="Y388" i="29"/>
  <c r="Z388" i="29"/>
  <c r="AA388" i="29"/>
  <c r="S389" i="29"/>
  <c r="T389" i="29"/>
  <c r="W389" i="29"/>
  <c r="X389" i="29"/>
  <c r="Y389" i="29"/>
  <c r="Z389" i="29"/>
  <c r="AA389" i="29"/>
  <c r="S390" i="29"/>
  <c r="T390" i="29"/>
  <c r="W390" i="29"/>
  <c r="X390" i="29"/>
  <c r="Y390" i="29"/>
  <c r="Z390" i="29"/>
  <c r="AA390" i="29"/>
  <c r="S391" i="29"/>
  <c r="T391" i="29"/>
  <c r="W391" i="29"/>
  <c r="X391" i="29"/>
  <c r="Y391" i="29"/>
  <c r="Z391" i="29"/>
  <c r="AA391" i="29"/>
  <c r="S392" i="29"/>
  <c r="T392" i="29"/>
  <c r="W392" i="29"/>
  <c r="X392" i="29"/>
  <c r="Y392" i="29"/>
  <c r="Z392" i="29"/>
  <c r="AA392" i="29"/>
  <c r="S393" i="29"/>
  <c r="T393" i="29"/>
  <c r="W393" i="29"/>
  <c r="X393" i="29"/>
  <c r="Y393" i="29"/>
  <c r="Z393" i="29"/>
  <c r="AA393" i="29"/>
  <c r="S394" i="29"/>
  <c r="T394" i="29"/>
  <c r="W394" i="29"/>
  <c r="X394" i="29"/>
  <c r="Y394" i="29"/>
  <c r="Z394" i="29"/>
  <c r="AA394" i="29"/>
  <c r="S395" i="29"/>
  <c r="T395" i="29"/>
  <c r="W395" i="29"/>
  <c r="X395" i="29"/>
  <c r="Y395" i="29"/>
  <c r="Z395" i="29"/>
  <c r="AA395" i="29"/>
  <c r="S396" i="29"/>
  <c r="T396" i="29"/>
  <c r="W396" i="29"/>
  <c r="X396" i="29"/>
  <c r="Y396" i="29"/>
  <c r="Z396" i="29"/>
  <c r="AA396" i="29"/>
  <c r="S397" i="29"/>
  <c r="T397" i="29"/>
  <c r="W397" i="29"/>
  <c r="X397" i="29"/>
  <c r="Y397" i="29"/>
  <c r="Z397" i="29"/>
  <c r="AA397" i="29"/>
  <c r="S398" i="29"/>
  <c r="T398" i="29"/>
  <c r="W398" i="29"/>
  <c r="X398" i="29"/>
  <c r="Y398" i="29"/>
  <c r="Z398" i="29"/>
  <c r="AA398" i="29"/>
  <c r="S399" i="29"/>
  <c r="T399" i="29"/>
  <c r="W399" i="29"/>
  <c r="X399" i="29"/>
  <c r="Y399" i="29"/>
  <c r="Z399" i="29"/>
  <c r="AA399" i="29"/>
  <c r="S400" i="29"/>
  <c r="T400" i="29"/>
  <c r="W400" i="29"/>
  <c r="X400" i="29"/>
  <c r="Y400" i="29"/>
  <c r="Z400" i="29"/>
  <c r="AA400" i="29"/>
  <c r="S401" i="29"/>
  <c r="T401" i="29"/>
  <c r="W401" i="29"/>
  <c r="X401" i="29"/>
  <c r="Y401" i="29"/>
  <c r="Z401" i="29"/>
  <c r="AA401" i="29"/>
  <c r="S402" i="29"/>
  <c r="T402" i="29"/>
  <c r="W402" i="29"/>
  <c r="X402" i="29"/>
  <c r="Y402" i="29"/>
  <c r="Z402" i="29"/>
  <c r="AA402" i="29"/>
  <c r="S403" i="29"/>
  <c r="T403" i="29"/>
  <c r="W403" i="29"/>
  <c r="X403" i="29"/>
  <c r="Y403" i="29"/>
  <c r="Z403" i="29"/>
  <c r="AA403" i="29"/>
  <c r="S404" i="29"/>
  <c r="T404" i="29"/>
  <c r="W404" i="29"/>
  <c r="X404" i="29"/>
  <c r="Y404" i="29"/>
  <c r="Z404" i="29"/>
  <c r="AA404" i="29"/>
  <c r="S405" i="29"/>
  <c r="T405" i="29"/>
  <c r="W405" i="29"/>
  <c r="X405" i="29"/>
  <c r="Y405" i="29"/>
  <c r="Z405" i="29"/>
  <c r="AA405" i="29"/>
  <c r="S406" i="29"/>
  <c r="T406" i="29"/>
  <c r="W406" i="29"/>
  <c r="X406" i="29"/>
  <c r="Y406" i="29"/>
  <c r="Z406" i="29"/>
  <c r="AA406" i="29"/>
  <c r="S407" i="29"/>
  <c r="T407" i="29"/>
  <c r="W407" i="29"/>
  <c r="X407" i="29"/>
  <c r="Y407" i="29"/>
  <c r="Z407" i="29"/>
  <c r="AA407" i="29"/>
  <c r="S408" i="29"/>
  <c r="T408" i="29"/>
  <c r="W408" i="29"/>
  <c r="X408" i="29"/>
  <c r="Y408" i="29"/>
  <c r="Z408" i="29"/>
  <c r="AA408" i="29"/>
  <c r="S409" i="29"/>
  <c r="T409" i="29"/>
  <c r="W409" i="29"/>
  <c r="X409" i="29"/>
  <c r="Y409" i="29"/>
  <c r="Z409" i="29"/>
  <c r="AA409" i="29"/>
  <c r="S410" i="29"/>
  <c r="T410" i="29"/>
  <c r="W410" i="29"/>
  <c r="X410" i="29"/>
  <c r="Y410" i="29"/>
  <c r="Z410" i="29"/>
  <c r="AA410" i="29"/>
  <c r="S411" i="29"/>
  <c r="T411" i="29"/>
  <c r="W411" i="29"/>
  <c r="X411" i="29"/>
  <c r="Y411" i="29"/>
  <c r="Z411" i="29"/>
  <c r="AA411" i="29"/>
  <c r="S412" i="29"/>
  <c r="T412" i="29"/>
  <c r="W412" i="29"/>
  <c r="X412" i="29"/>
  <c r="Y412" i="29"/>
  <c r="Z412" i="29"/>
  <c r="AA412" i="29"/>
  <c r="S413" i="29"/>
  <c r="T413" i="29"/>
  <c r="W413" i="29"/>
  <c r="X413" i="29"/>
  <c r="Y413" i="29"/>
  <c r="Z413" i="29"/>
  <c r="AA413" i="29"/>
  <c r="S414" i="29"/>
  <c r="T414" i="29"/>
  <c r="W414" i="29"/>
  <c r="X414" i="29"/>
  <c r="Y414" i="29"/>
  <c r="Z414" i="29"/>
  <c r="AA414" i="29"/>
  <c r="S415" i="29"/>
  <c r="T415" i="29"/>
  <c r="W415" i="29"/>
  <c r="X415" i="29"/>
  <c r="Y415" i="29"/>
  <c r="Z415" i="29"/>
  <c r="AA415" i="29"/>
  <c r="S416" i="29"/>
  <c r="T416" i="29"/>
  <c r="W416" i="29"/>
  <c r="X416" i="29"/>
  <c r="Y416" i="29"/>
  <c r="Z416" i="29"/>
  <c r="AA416" i="29"/>
  <c r="S417" i="29"/>
  <c r="T417" i="29"/>
  <c r="W417" i="29"/>
  <c r="X417" i="29"/>
  <c r="Y417" i="29"/>
  <c r="Z417" i="29"/>
  <c r="AA417" i="29"/>
  <c r="S418" i="29"/>
  <c r="T418" i="29"/>
  <c r="W418" i="29"/>
  <c r="X418" i="29"/>
  <c r="Y418" i="29"/>
  <c r="Z418" i="29"/>
  <c r="AA418" i="29"/>
  <c r="S419" i="29"/>
  <c r="T419" i="29"/>
  <c r="W419" i="29"/>
  <c r="X419" i="29"/>
  <c r="Y419" i="29"/>
  <c r="Z419" i="29"/>
  <c r="AA419" i="29"/>
  <c r="S420" i="29"/>
  <c r="T420" i="29"/>
  <c r="W420" i="29"/>
  <c r="X420" i="29"/>
  <c r="Y420" i="29"/>
  <c r="Z420" i="29"/>
  <c r="AA420" i="29"/>
  <c r="S421" i="29"/>
  <c r="T421" i="29"/>
  <c r="W421" i="29"/>
  <c r="X421" i="29"/>
  <c r="Y421" i="29"/>
  <c r="Z421" i="29"/>
  <c r="AA421" i="29"/>
  <c r="S422" i="29"/>
  <c r="T422" i="29"/>
  <c r="W422" i="29"/>
  <c r="X422" i="29"/>
  <c r="Y422" i="29"/>
  <c r="Z422" i="29"/>
  <c r="AA422" i="29"/>
  <c r="S423" i="29"/>
  <c r="T423" i="29"/>
  <c r="W423" i="29"/>
  <c r="X423" i="29"/>
  <c r="Y423" i="29"/>
  <c r="Z423" i="29"/>
  <c r="AA423" i="29"/>
  <c r="S424" i="29"/>
  <c r="T424" i="29"/>
  <c r="W424" i="29"/>
  <c r="X424" i="29"/>
  <c r="Y424" i="29"/>
  <c r="Z424" i="29"/>
  <c r="AA424" i="29"/>
  <c r="S425" i="29"/>
  <c r="T425" i="29"/>
  <c r="W425" i="29"/>
  <c r="X425" i="29"/>
  <c r="Y425" i="29"/>
  <c r="Z425" i="29"/>
  <c r="AA425" i="29"/>
  <c r="S426" i="29"/>
  <c r="T426" i="29"/>
  <c r="W426" i="29"/>
  <c r="X426" i="29"/>
  <c r="Y426" i="29"/>
  <c r="Z426" i="29"/>
  <c r="AA426" i="29"/>
  <c r="S427" i="29"/>
  <c r="T427" i="29"/>
  <c r="W427" i="29"/>
  <c r="X427" i="29"/>
  <c r="Y427" i="29"/>
  <c r="Z427" i="29"/>
  <c r="AA427" i="29"/>
  <c r="S428" i="29"/>
  <c r="T428" i="29"/>
  <c r="W428" i="29"/>
  <c r="X428" i="29"/>
  <c r="Y428" i="29"/>
  <c r="Z428" i="29"/>
  <c r="AA428" i="29"/>
  <c r="S429" i="29"/>
  <c r="T429" i="29"/>
  <c r="W429" i="29"/>
  <c r="X429" i="29"/>
  <c r="Y429" i="29"/>
  <c r="Z429" i="29"/>
  <c r="AA429" i="29"/>
  <c r="S430" i="29"/>
  <c r="T430" i="29"/>
  <c r="W430" i="29"/>
  <c r="X430" i="29"/>
  <c r="Y430" i="29"/>
  <c r="Z430" i="29"/>
  <c r="AA430" i="29"/>
  <c r="S431" i="29"/>
  <c r="T431" i="29"/>
  <c r="W431" i="29"/>
  <c r="X431" i="29"/>
  <c r="Y431" i="29"/>
  <c r="Z431" i="29"/>
  <c r="AA431" i="29"/>
  <c r="S432" i="29"/>
  <c r="T432" i="29"/>
  <c r="W432" i="29"/>
  <c r="X432" i="29"/>
  <c r="Y432" i="29"/>
  <c r="Z432" i="29"/>
  <c r="AA432" i="29"/>
  <c r="S433" i="29"/>
  <c r="T433" i="29"/>
  <c r="W433" i="29"/>
  <c r="X433" i="29"/>
  <c r="Y433" i="29"/>
  <c r="Z433" i="29"/>
  <c r="AA433" i="29"/>
  <c r="S434" i="29"/>
  <c r="T434" i="29"/>
  <c r="W434" i="29"/>
  <c r="X434" i="29"/>
  <c r="Y434" i="29"/>
  <c r="Z434" i="29"/>
  <c r="AA434" i="29"/>
  <c r="S435" i="29"/>
  <c r="T435" i="29"/>
  <c r="W435" i="29"/>
  <c r="X435" i="29"/>
  <c r="Y435" i="29"/>
  <c r="Z435" i="29"/>
  <c r="AA435" i="29"/>
  <c r="S436" i="29"/>
  <c r="T436" i="29"/>
  <c r="W436" i="29"/>
  <c r="X436" i="29"/>
  <c r="Y436" i="29"/>
  <c r="Z436" i="29"/>
  <c r="AA436" i="29"/>
  <c r="S437" i="29"/>
  <c r="T437" i="29"/>
  <c r="W437" i="29"/>
  <c r="X437" i="29"/>
  <c r="Y437" i="29"/>
  <c r="Z437" i="29"/>
  <c r="AA437" i="29"/>
  <c r="S438" i="29"/>
  <c r="T438" i="29"/>
  <c r="W438" i="29"/>
  <c r="X438" i="29"/>
  <c r="Y438" i="29"/>
  <c r="Z438" i="29"/>
  <c r="AA438" i="29"/>
  <c r="S439" i="29"/>
  <c r="T439" i="29"/>
  <c r="W439" i="29"/>
  <c r="X439" i="29"/>
  <c r="Y439" i="29"/>
  <c r="Z439" i="29"/>
  <c r="AA439" i="29"/>
  <c r="S440" i="29"/>
  <c r="T440" i="29"/>
  <c r="W440" i="29"/>
  <c r="X440" i="29"/>
  <c r="Y440" i="29"/>
  <c r="Z440" i="29"/>
  <c r="AA440" i="29"/>
  <c r="S441" i="29"/>
  <c r="T441" i="29"/>
  <c r="W441" i="29"/>
  <c r="X441" i="29"/>
  <c r="Y441" i="29"/>
  <c r="Z441" i="29"/>
  <c r="AA441" i="29"/>
  <c r="S442" i="29"/>
  <c r="T442" i="29"/>
  <c r="W442" i="29"/>
  <c r="X442" i="29"/>
  <c r="Y442" i="29"/>
  <c r="Z442" i="29"/>
  <c r="AA442" i="29"/>
  <c r="S443" i="29"/>
  <c r="T443" i="29"/>
  <c r="W443" i="29"/>
  <c r="X443" i="29"/>
  <c r="Y443" i="29"/>
  <c r="Z443" i="29"/>
  <c r="AA443" i="29"/>
  <c r="S444" i="29"/>
  <c r="T444" i="29"/>
  <c r="W444" i="29"/>
  <c r="X444" i="29"/>
  <c r="Y444" i="29"/>
  <c r="Z444" i="29"/>
  <c r="AA444" i="29"/>
  <c r="S445" i="29"/>
  <c r="T445" i="29"/>
  <c r="W445" i="29"/>
  <c r="X445" i="29"/>
  <c r="Y445" i="29"/>
  <c r="Z445" i="29"/>
  <c r="AA445" i="29"/>
  <c r="S446" i="29"/>
  <c r="T446" i="29"/>
  <c r="W446" i="29"/>
  <c r="X446" i="29"/>
  <c r="Y446" i="29"/>
  <c r="Z446" i="29"/>
  <c r="AA446" i="29"/>
  <c r="S447" i="29"/>
  <c r="T447" i="29"/>
  <c r="W447" i="29"/>
  <c r="X447" i="29"/>
  <c r="Y447" i="29"/>
  <c r="Z447" i="29"/>
  <c r="AA447" i="29"/>
  <c r="S448" i="29"/>
  <c r="T448" i="29"/>
  <c r="W448" i="29"/>
  <c r="X448" i="29"/>
  <c r="Y448" i="29"/>
  <c r="Z448" i="29"/>
  <c r="AA448" i="29"/>
  <c r="S449" i="29"/>
  <c r="T449" i="29"/>
  <c r="W449" i="29"/>
  <c r="X449" i="29"/>
  <c r="Y449" i="29"/>
  <c r="Z449" i="29"/>
  <c r="AA449" i="29"/>
  <c r="S450" i="29"/>
  <c r="T450" i="29"/>
  <c r="W450" i="29"/>
  <c r="X450" i="29"/>
  <c r="Y450" i="29"/>
  <c r="Z450" i="29"/>
  <c r="AA450" i="29"/>
  <c r="S451" i="29"/>
  <c r="T451" i="29"/>
  <c r="W451" i="29"/>
  <c r="X451" i="29"/>
  <c r="Y451" i="29"/>
  <c r="Z451" i="29"/>
  <c r="AA451" i="29"/>
  <c r="S452" i="29"/>
  <c r="T452" i="29"/>
  <c r="W452" i="29"/>
  <c r="X452" i="29"/>
  <c r="Y452" i="29"/>
  <c r="Z452" i="29"/>
  <c r="AA452" i="29"/>
  <c r="S453" i="29"/>
  <c r="T453" i="29"/>
  <c r="W453" i="29"/>
  <c r="X453" i="29"/>
  <c r="Y453" i="29"/>
  <c r="Z453" i="29"/>
  <c r="AA453" i="29"/>
  <c r="S454" i="29"/>
  <c r="T454" i="29"/>
  <c r="W454" i="29"/>
  <c r="X454" i="29"/>
  <c r="Y454" i="29"/>
  <c r="Z454" i="29"/>
  <c r="AA454" i="29"/>
  <c r="S455" i="29"/>
  <c r="T455" i="29"/>
  <c r="W455" i="29"/>
  <c r="X455" i="29"/>
  <c r="Y455" i="29"/>
  <c r="Z455" i="29"/>
  <c r="AA455" i="29"/>
  <c r="S456" i="29"/>
  <c r="T456" i="29"/>
  <c r="W456" i="29"/>
  <c r="X456" i="29"/>
  <c r="Y456" i="29"/>
  <c r="Z456" i="29"/>
  <c r="AA456" i="29"/>
  <c r="S457" i="29"/>
  <c r="T457" i="29"/>
  <c r="W457" i="29"/>
  <c r="X457" i="29"/>
  <c r="Y457" i="29"/>
  <c r="Z457" i="29"/>
  <c r="AA457" i="29"/>
  <c r="S458" i="29"/>
  <c r="T458" i="29"/>
  <c r="W458" i="29"/>
  <c r="X458" i="29"/>
  <c r="Y458" i="29"/>
  <c r="Z458" i="29"/>
  <c r="AA458" i="29"/>
  <c r="S459" i="29"/>
  <c r="T459" i="29"/>
  <c r="W459" i="29"/>
  <c r="X459" i="29"/>
  <c r="Y459" i="29"/>
  <c r="Z459" i="29"/>
  <c r="AA459" i="29"/>
  <c r="S460" i="29"/>
  <c r="T460" i="29"/>
  <c r="W460" i="29"/>
  <c r="X460" i="29"/>
  <c r="Y460" i="29"/>
  <c r="Z460" i="29"/>
  <c r="AA460" i="29"/>
  <c r="S461" i="29"/>
  <c r="T461" i="29"/>
  <c r="W461" i="29"/>
  <c r="X461" i="29"/>
  <c r="Y461" i="29"/>
  <c r="Z461" i="29"/>
  <c r="AA461" i="29"/>
  <c r="S462" i="29"/>
  <c r="T462" i="29"/>
  <c r="W462" i="29"/>
  <c r="X462" i="29"/>
  <c r="Y462" i="29"/>
  <c r="Z462" i="29"/>
  <c r="AA462" i="29"/>
  <c r="S463" i="29"/>
  <c r="T463" i="29"/>
  <c r="W463" i="29"/>
  <c r="X463" i="29"/>
  <c r="Y463" i="29"/>
  <c r="Z463" i="29"/>
  <c r="AA463" i="29"/>
  <c r="S464" i="29"/>
  <c r="T464" i="29"/>
  <c r="W464" i="29"/>
  <c r="X464" i="29"/>
  <c r="Y464" i="29"/>
  <c r="Z464" i="29"/>
  <c r="AA464" i="29"/>
  <c r="S465" i="29"/>
  <c r="T465" i="29"/>
  <c r="W465" i="29"/>
  <c r="X465" i="29"/>
  <c r="Y465" i="29"/>
  <c r="Z465" i="29"/>
  <c r="AA465" i="29"/>
  <c r="S466" i="29"/>
  <c r="T466" i="29"/>
  <c r="W466" i="29"/>
  <c r="X466" i="29"/>
  <c r="Y466" i="29"/>
  <c r="Z466" i="29"/>
  <c r="AA466" i="29"/>
  <c r="S467" i="29"/>
  <c r="T467" i="29"/>
  <c r="W467" i="29"/>
  <c r="X467" i="29"/>
  <c r="Y467" i="29"/>
  <c r="Z467" i="29"/>
  <c r="AA467" i="29"/>
  <c r="S468" i="29"/>
  <c r="T468" i="29"/>
  <c r="W468" i="29"/>
  <c r="X468" i="29"/>
  <c r="Y468" i="29"/>
  <c r="Z468" i="29"/>
  <c r="AA468" i="29"/>
  <c r="S469" i="29"/>
  <c r="T469" i="29"/>
  <c r="W469" i="29"/>
  <c r="X469" i="29"/>
  <c r="Y469" i="29"/>
  <c r="Z469" i="29"/>
  <c r="AA469" i="29"/>
  <c r="S470" i="29"/>
  <c r="T470" i="29"/>
  <c r="W470" i="29"/>
  <c r="X470" i="29"/>
  <c r="Y470" i="29"/>
  <c r="Z470" i="29"/>
  <c r="AA470" i="29"/>
  <c r="S471" i="29"/>
  <c r="T471" i="29"/>
  <c r="W471" i="29"/>
  <c r="X471" i="29"/>
  <c r="Y471" i="29"/>
  <c r="Z471" i="29"/>
  <c r="AA471" i="29"/>
  <c r="S472" i="29"/>
  <c r="T472" i="29"/>
  <c r="W472" i="29"/>
  <c r="X472" i="29"/>
  <c r="Y472" i="29"/>
  <c r="Z472" i="29"/>
  <c r="AA472" i="29"/>
  <c r="S473" i="29"/>
  <c r="T473" i="29"/>
  <c r="W473" i="29"/>
  <c r="X473" i="29"/>
  <c r="Y473" i="29"/>
  <c r="Z473" i="29"/>
  <c r="AA473" i="29"/>
  <c r="S474" i="29"/>
  <c r="T474" i="29"/>
  <c r="W474" i="29"/>
  <c r="X474" i="29"/>
  <c r="Y474" i="29"/>
  <c r="Z474" i="29"/>
  <c r="AA474" i="29"/>
  <c r="S475" i="29"/>
  <c r="T475" i="29"/>
  <c r="W475" i="29"/>
  <c r="X475" i="29"/>
  <c r="Y475" i="29"/>
  <c r="Z475" i="29"/>
  <c r="AA475" i="29"/>
  <c r="S476" i="29"/>
  <c r="T476" i="29"/>
  <c r="W476" i="29"/>
  <c r="X476" i="29"/>
  <c r="Y476" i="29"/>
  <c r="Z476" i="29"/>
  <c r="AA476" i="29"/>
  <c r="S477" i="29"/>
  <c r="T477" i="29"/>
  <c r="W477" i="29"/>
  <c r="X477" i="29"/>
  <c r="Y477" i="29"/>
  <c r="Z477" i="29"/>
  <c r="AA477" i="29"/>
  <c r="S478" i="29"/>
  <c r="T478" i="29"/>
  <c r="W478" i="29"/>
  <c r="X478" i="29"/>
  <c r="Y478" i="29"/>
  <c r="Z478" i="29"/>
  <c r="AA478" i="29"/>
  <c r="S479" i="29"/>
  <c r="T479" i="29"/>
  <c r="W479" i="29"/>
  <c r="X479" i="29"/>
  <c r="Y479" i="29"/>
  <c r="Z479" i="29"/>
  <c r="AA479" i="29"/>
  <c r="S480" i="29"/>
  <c r="T480" i="29"/>
  <c r="W480" i="29"/>
  <c r="X480" i="29"/>
  <c r="Y480" i="29"/>
  <c r="Z480" i="29"/>
  <c r="AA480" i="29"/>
  <c r="S481" i="29"/>
  <c r="T481" i="29"/>
  <c r="W481" i="29"/>
  <c r="X481" i="29"/>
  <c r="Y481" i="29"/>
  <c r="Z481" i="29"/>
  <c r="AA481" i="29"/>
  <c r="S482" i="29"/>
  <c r="T482" i="29"/>
  <c r="W482" i="29"/>
  <c r="X482" i="29"/>
  <c r="Y482" i="29"/>
  <c r="Z482" i="29"/>
  <c r="AA482" i="29"/>
  <c r="S483" i="29"/>
  <c r="T483" i="29"/>
  <c r="W483" i="29"/>
  <c r="X483" i="29"/>
  <c r="Y483" i="29"/>
  <c r="Z483" i="29"/>
  <c r="AA483" i="29"/>
  <c r="S484" i="29"/>
  <c r="T484" i="29"/>
  <c r="W484" i="29"/>
  <c r="X484" i="29"/>
  <c r="Y484" i="29"/>
  <c r="Z484" i="29"/>
  <c r="AA484" i="29"/>
  <c r="S485" i="29"/>
  <c r="T485" i="29"/>
  <c r="W485" i="29"/>
  <c r="X485" i="29"/>
  <c r="Y485" i="29"/>
  <c r="Z485" i="29"/>
  <c r="AA485" i="29"/>
  <c r="S486" i="29"/>
  <c r="T486" i="29"/>
  <c r="W486" i="29"/>
  <c r="X486" i="29"/>
  <c r="Y486" i="29"/>
  <c r="Z486" i="29"/>
  <c r="AA486" i="29"/>
  <c r="S487" i="29"/>
  <c r="T487" i="29"/>
  <c r="W487" i="29"/>
  <c r="X487" i="29"/>
  <c r="Y487" i="29"/>
  <c r="Z487" i="29"/>
  <c r="AA487" i="29"/>
  <c r="S488" i="29"/>
  <c r="T488" i="29"/>
  <c r="W488" i="29"/>
  <c r="X488" i="29"/>
  <c r="Y488" i="29"/>
  <c r="Z488" i="29"/>
  <c r="AA488" i="29"/>
  <c r="S489" i="29"/>
  <c r="T489" i="29"/>
  <c r="W489" i="29"/>
  <c r="X489" i="29"/>
  <c r="Y489" i="29"/>
  <c r="Z489" i="29"/>
  <c r="AA489" i="29"/>
  <c r="S490" i="29"/>
  <c r="T490" i="29"/>
  <c r="W490" i="29"/>
  <c r="X490" i="29"/>
  <c r="Y490" i="29"/>
  <c r="Z490" i="29"/>
  <c r="AA490" i="29"/>
  <c r="S491" i="29"/>
  <c r="T491" i="29"/>
  <c r="W491" i="29"/>
  <c r="X491" i="29"/>
  <c r="Y491" i="29"/>
  <c r="Z491" i="29"/>
  <c r="AA491" i="29"/>
  <c r="S492" i="29"/>
  <c r="T492" i="29"/>
  <c r="W492" i="29"/>
  <c r="X492" i="29"/>
  <c r="Y492" i="29"/>
  <c r="Z492" i="29"/>
  <c r="AA492" i="29"/>
  <c r="S493" i="29"/>
  <c r="T493" i="29"/>
  <c r="W493" i="29"/>
  <c r="X493" i="29"/>
  <c r="Y493" i="29"/>
  <c r="Z493" i="29"/>
  <c r="AA493" i="29"/>
  <c r="S494" i="29"/>
  <c r="T494" i="29"/>
  <c r="W494" i="29"/>
  <c r="X494" i="29"/>
  <c r="Y494" i="29"/>
  <c r="Z494" i="29"/>
  <c r="AA494" i="29"/>
  <c r="S495" i="29"/>
  <c r="T495" i="29"/>
  <c r="W495" i="29"/>
  <c r="X495" i="29"/>
  <c r="Y495" i="29"/>
  <c r="Z495" i="29"/>
  <c r="AA495" i="29"/>
  <c r="S496" i="29"/>
  <c r="T496" i="29"/>
  <c r="W496" i="29"/>
  <c r="X496" i="29"/>
  <c r="Y496" i="29"/>
  <c r="Z496" i="29"/>
  <c r="AA496" i="29"/>
  <c r="S497" i="29"/>
  <c r="T497" i="29"/>
  <c r="W497" i="29"/>
  <c r="X497" i="29"/>
  <c r="Y497" i="29"/>
  <c r="Z497" i="29"/>
  <c r="AA497" i="29"/>
  <c r="S498" i="29"/>
  <c r="T498" i="29"/>
  <c r="W498" i="29"/>
  <c r="X498" i="29"/>
  <c r="Y498" i="29"/>
  <c r="Z498" i="29"/>
  <c r="AA498" i="29"/>
  <c r="S499" i="29"/>
  <c r="T499" i="29"/>
  <c r="W499" i="29"/>
  <c r="X499" i="29"/>
  <c r="Y499" i="29"/>
  <c r="Z499" i="29"/>
  <c r="AA499" i="29"/>
  <c r="S500" i="29"/>
  <c r="T500" i="29"/>
  <c r="W500" i="29"/>
  <c r="X500" i="29"/>
  <c r="Y500" i="29"/>
  <c r="Z500" i="29"/>
  <c r="AA500" i="29"/>
  <c r="S501" i="29"/>
  <c r="T501" i="29"/>
  <c r="W501" i="29"/>
  <c r="X501" i="29"/>
  <c r="Y501" i="29"/>
  <c r="Z501" i="29"/>
  <c r="AA501" i="29"/>
  <c r="S502" i="29"/>
  <c r="T502" i="29"/>
  <c r="W502" i="29"/>
  <c r="X502" i="29"/>
  <c r="Y502" i="29"/>
  <c r="Z502" i="29"/>
  <c r="AA502" i="29"/>
  <c r="S503" i="29"/>
  <c r="T503" i="29"/>
  <c r="W503" i="29"/>
  <c r="X503" i="29"/>
  <c r="Y503" i="29"/>
  <c r="Z503" i="29"/>
  <c r="AA503" i="29"/>
  <c r="S504" i="29"/>
  <c r="T504" i="29"/>
  <c r="W504" i="29"/>
  <c r="X504" i="29"/>
  <c r="Y504" i="29"/>
  <c r="Z504" i="29"/>
  <c r="AA504" i="29"/>
  <c r="S505" i="29"/>
  <c r="T505" i="29"/>
  <c r="W505" i="29"/>
  <c r="X505" i="29"/>
  <c r="Y505" i="29"/>
  <c r="Z505" i="29"/>
  <c r="AA505" i="29"/>
  <c r="S506" i="29"/>
  <c r="T506" i="29"/>
  <c r="W506" i="29"/>
  <c r="X506" i="29"/>
  <c r="Y506" i="29"/>
  <c r="Z506" i="29"/>
  <c r="AA506" i="29"/>
  <c r="S507" i="29"/>
  <c r="T507" i="29"/>
  <c r="W507" i="29"/>
  <c r="X507" i="29"/>
  <c r="Y507" i="29"/>
  <c r="Z507" i="29"/>
  <c r="AA507" i="29"/>
  <c r="S508" i="29"/>
  <c r="T508" i="29"/>
  <c r="W508" i="29"/>
  <c r="X508" i="29"/>
  <c r="Y508" i="29"/>
  <c r="Z508" i="29"/>
  <c r="AA508" i="29"/>
  <c r="S509" i="29"/>
  <c r="T509" i="29"/>
  <c r="W509" i="29"/>
  <c r="X509" i="29"/>
  <c r="Y509" i="29"/>
  <c r="Z509" i="29"/>
  <c r="AA509" i="29"/>
  <c r="S510" i="29"/>
  <c r="T510" i="29"/>
  <c r="W510" i="29"/>
  <c r="X510" i="29"/>
  <c r="Y510" i="29"/>
  <c r="Z510" i="29"/>
  <c r="AA510" i="29"/>
  <c r="S511" i="29"/>
  <c r="T511" i="29"/>
  <c r="W511" i="29"/>
  <c r="X511" i="29"/>
  <c r="Y511" i="29"/>
  <c r="Z511" i="29"/>
  <c r="AA511" i="29"/>
  <c r="S512" i="29"/>
  <c r="T512" i="29"/>
  <c r="W512" i="29"/>
  <c r="X512" i="29"/>
  <c r="Y512" i="29"/>
  <c r="Z512" i="29"/>
  <c r="AA512" i="29"/>
  <c r="S513" i="29"/>
  <c r="T513" i="29"/>
  <c r="W513" i="29"/>
  <c r="X513" i="29"/>
  <c r="Y513" i="29"/>
  <c r="Z513" i="29"/>
  <c r="AA513" i="29"/>
  <c r="S514" i="29"/>
  <c r="T514" i="29"/>
  <c r="W514" i="29"/>
  <c r="X514" i="29"/>
  <c r="Y514" i="29"/>
  <c r="Z514" i="29"/>
  <c r="AA514" i="29"/>
  <c r="S515" i="29"/>
  <c r="T515" i="29"/>
  <c r="W515" i="29"/>
  <c r="X515" i="29"/>
  <c r="Y515" i="29"/>
  <c r="Z515" i="29"/>
  <c r="AA515" i="29"/>
  <c r="S516" i="29"/>
  <c r="T516" i="29"/>
  <c r="W516" i="29"/>
  <c r="X516" i="29"/>
  <c r="Y516" i="29"/>
  <c r="Z516" i="29"/>
  <c r="AA516" i="29"/>
  <c r="S517" i="29"/>
  <c r="T517" i="29"/>
  <c r="W517" i="29"/>
  <c r="X517" i="29"/>
  <c r="Y517" i="29"/>
  <c r="Z517" i="29"/>
  <c r="AA517" i="29"/>
  <c r="S518" i="29"/>
  <c r="T518" i="29"/>
  <c r="W518" i="29"/>
  <c r="X518" i="29"/>
  <c r="Y518" i="29"/>
  <c r="Z518" i="29"/>
  <c r="AA518" i="29"/>
  <c r="S519" i="29"/>
  <c r="T519" i="29"/>
  <c r="W519" i="29"/>
  <c r="X519" i="29"/>
  <c r="Y519" i="29"/>
  <c r="Z519" i="29"/>
  <c r="AA519" i="29"/>
  <c r="S520" i="29"/>
  <c r="T520" i="29"/>
  <c r="W520" i="29"/>
  <c r="X520" i="29"/>
  <c r="Y520" i="29"/>
  <c r="Z520" i="29"/>
  <c r="AA520" i="29"/>
  <c r="S521" i="29"/>
  <c r="T521" i="29"/>
  <c r="W521" i="29"/>
  <c r="X521" i="29"/>
  <c r="Y521" i="29"/>
  <c r="Z521" i="29"/>
  <c r="AA521" i="29"/>
  <c r="S522" i="29"/>
  <c r="T522" i="29"/>
  <c r="W522" i="29"/>
  <c r="X522" i="29"/>
  <c r="Y522" i="29"/>
  <c r="Z522" i="29"/>
  <c r="AA522" i="29"/>
  <c r="S523" i="29"/>
  <c r="T523" i="29"/>
  <c r="W523" i="29"/>
  <c r="X523" i="29"/>
  <c r="Y523" i="29"/>
  <c r="Z523" i="29"/>
  <c r="AA523" i="29"/>
  <c r="S524" i="29"/>
  <c r="T524" i="29"/>
  <c r="W524" i="29"/>
  <c r="X524" i="29"/>
  <c r="Y524" i="29"/>
  <c r="Z524" i="29"/>
  <c r="AA524" i="29"/>
  <c r="S525" i="29"/>
  <c r="T525" i="29"/>
  <c r="W525" i="29"/>
  <c r="X525" i="29"/>
  <c r="Y525" i="29"/>
  <c r="Z525" i="29"/>
  <c r="AA525" i="29"/>
  <c r="S526" i="29"/>
  <c r="T526" i="29"/>
  <c r="W526" i="29"/>
  <c r="X526" i="29"/>
  <c r="Y526" i="29"/>
  <c r="Z526" i="29"/>
  <c r="AA526" i="29"/>
  <c r="S527" i="29"/>
  <c r="T527" i="29"/>
  <c r="W527" i="29"/>
  <c r="X527" i="29"/>
  <c r="Y527" i="29"/>
  <c r="Z527" i="29"/>
  <c r="AA527" i="29"/>
  <c r="S528" i="29"/>
  <c r="T528" i="29"/>
  <c r="W528" i="29"/>
  <c r="X528" i="29"/>
  <c r="Y528" i="29"/>
  <c r="Z528" i="29"/>
  <c r="AA528" i="29"/>
  <c r="S529" i="29"/>
  <c r="T529" i="29"/>
  <c r="W529" i="29"/>
  <c r="X529" i="29"/>
  <c r="Y529" i="29"/>
  <c r="Z529" i="29"/>
  <c r="AA529" i="29"/>
  <c r="S530" i="29"/>
  <c r="T530" i="29"/>
  <c r="W530" i="29"/>
  <c r="X530" i="29"/>
  <c r="Y530" i="29"/>
  <c r="Z530" i="29"/>
  <c r="AA530" i="29"/>
  <c r="S531" i="29"/>
  <c r="T531" i="29"/>
  <c r="W531" i="29"/>
  <c r="X531" i="29"/>
  <c r="Y531" i="29"/>
  <c r="Z531" i="29"/>
  <c r="AA531" i="29"/>
  <c r="S532" i="29"/>
  <c r="T532" i="29"/>
  <c r="W532" i="29"/>
  <c r="X532" i="29"/>
  <c r="Y532" i="29"/>
  <c r="Z532" i="29"/>
  <c r="AA532" i="29"/>
  <c r="S533" i="29"/>
  <c r="T533" i="29"/>
  <c r="W533" i="29"/>
  <c r="X533" i="29"/>
  <c r="Y533" i="29"/>
  <c r="Z533" i="29"/>
  <c r="AA533" i="29"/>
  <c r="S534" i="29"/>
  <c r="T534" i="29"/>
  <c r="W534" i="29"/>
  <c r="X534" i="29"/>
  <c r="Y534" i="29"/>
  <c r="Z534" i="29"/>
  <c r="AA534" i="29"/>
  <c r="S535" i="29"/>
  <c r="T535" i="29"/>
  <c r="W535" i="29"/>
  <c r="X535" i="29"/>
  <c r="Y535" i="29"/>
  <c r="Z535" i="29"/>
  <c r="AA535" i="29"/>
  <c r="S536" i="29"/>
  <c r="T536" i="29"/>
  <c r="W536" i="29"/>
  <c r="X536" i="29"/>
  <c r="Y536" i="29"/>
  <c r="Z536" i="29"/>
  <c r="AA536" i="29"/>
  <c r="S537" i="29"/>
  <c r="T537" i="29"/>
  <c r="W537" i="29"/>
  <c r="X537" i="29"/>
  <c r="Y537" i="29"/>
  <c r="Z537" i="29"/>
  <c r="AA537" i="29"/>
  <c r="S538" i="29"/>
  <c r="T538" i="29"/>
  <c r="W538" i="29"/>
  <c r="X538" i="29"/>
  <c r="Y538" i="29"/>
  <c r="Z538" i="29"/>
  <c r="AA538" i="29"/>
  <c r="S539" i="29"/>
  <c r="T539" i="29"/>
  <c r="W539" i="29"/>
  <c r="X539" i="29"/>
  <c r="Y539" i="29"/>
  <c r="Z539" i="29"/>
  <c r="AA539" i="29"/>
  <c r="S540" i="29"/>
  <c r="T540" i="29"/>
  <c r="W540" i="29"/>
  <c r="X540" i="29"/>
  <c r="Y540" i="29"/>
  <c r="Z540" i="29"/>
  <c r="AA540" i="29"/>
  <c r="S541" i="29"/>
  <c r="T541" i="29"/>
  <c r="W541" i="29"/>
  <c r="X541" i="29"/>
  <c r="Y541" i="29"/>
  <c r="Z541" i="29"/>
  <c r="AA541" i="29"/>
  <c r="S542" i="29"/>
  <c r="T542" i="29"/>
  <c r="W542" i="29"/>
  <c r="X542" i="29"/>
  <c r="Y542" i="29"/>
  <c r="Z542" i="29"/>
  <c r="AA542" i="29"/>
  <c r="S543" i="29"/>
  <c r="T543" i="29"/>
  <c r="W543" i="29"/>
  <c r="X543" i="29"/>
  <c r="Y543" i="29"/>
  <c r="Z543" i="29"/>
  <c r="AA543" i="29"/>
  <c r="S544" i="29"/>
  <c r="T544" i="29"/>
  <c r="W544" i="29"/>
  <c r="X544" i="29"/>
  <c r="Y544" i="29"/>
  <c r="Z544" i="29"/>
  <c r="AA544" i="29"/>
  <c r="S545" i="29"/>
  <c r="T545" i="29"/>
  <c r="W545" i="29"/>
  <c r="X545" i="29"/>
  <c r="Y545" i="29"/>
  <c r="Z545" i="29"/>
  <c r="AA545" i="29"/>
  <c r="S546" i="29"/>
  <c r="T546" i="29"/>
  <c r="W546" i="29"/>
  <c r="X546" i="29"/>
  <c r="Y546" i="29"/>
  <c r="Z546" i="29"/>
  <c r="AA546" i="29"/>
  <c r="S547" i="29"/>
  <c r="T547" i="29"/>
  <c r="W547" i="29"/>
  <c r="X547" i="29"/>
  <c r="Y547" i="29"/>
  <c r="Z547" i="29"/>
  <c r="AA547" i="29"/>
  <c r="S548" i="29"/>
  <c r="T548" i="29"/>
  <c r="W548" i="29"/>
  <c r="X548" i="29"/>
  <c r="Y548" i="29"/>
  <c r="Z548" i="29"/>
  <c r="AA548" i="29"/>
  <c r="S549" i="29"/>
  <c r="T549" i="29"/>
  <c r="W549" i="29"/>
  <c r="X549" i="29"/>
  <c r="Y549" i="29"/>
  <c r="Z549" i="29"/>
  <c r="AA549" i="29"/>
  <c r="S550" i="29"/>
  <c r="T550" i="29"/>
  <c r="W550" i="29"/>
  <c r="X550" i="29"/>
  <c r="Y550" i="29"/>
  <c r="Z550" i="29"/>
  <c r="AA550" i="29"/>
  <c r="S551" i="29"/>
  <c r="T551" i="29"/>
  <c r="W551" i="29"/>
  <c r="X551" i="29"/>
  <c r="Y551" i="29"/>
  <c r="Z551" i="29"/>
  <c r="AA551" i="29"/>
  <c r="S552" i="29"/>
  <c r="T552" i="29"/>
  <c r="W552" i="29"/>
  <c r="X552" i="29"/>
  <c r="Y552" i="29"/>
  <c r="Z552" i="29"/>
  <c r="AA552" i="29"/>
  <c r="S553" i="29"/>
  <c r="T553" i="29"/>
  <c r="W553" i="29"/>
  <c r="X553" i="29"/>
  <c r="Y553" i="29"/>
  <c r="Z553" i="29"/>
  <c r="AA553" i="29"/>
  <c r="S554" i="29"/>
  <c r="T554" i="29"/>
  <c r="W554" i="29"/>
  <c r="X554" i="29"/>
  <c r="Y554" i="29"/>
  <c r="Z554" i="29"/>
  <c r="AA554" i="29"/>
  <c r="S555" i="29"/>
  <c r="T555" i="29"/>
  <c r="W555" i="29"/>
  <c r="X555" i="29"/>
  <c r="Y555" i="29"/>
  <c r="Z555" i="29"/>
  <c r="AA555" i="29"/>
  <c r="S556" i="29"/>
  <c r="T556" i="29"/>
  <c r="W556" i="29"/>
  <c r="X556" i="29"/>
  <c r="Y556" i="29"/>
  <c r="Z556" i="29"/>
  <c r="AA556" i="29"/>
  <c r="S557" i="29"/>
  <c r="T557" i="29"/>
  <c r="W557" i="29"/>
  <c r="X557" i="29"/>
  <c r="Y557" i="29"/>
  <c r="Z557" i="29"/>
  <c r="AA557" i="29"/>
  <c r="S558" i="29"/>
  <c r="T558" i="29"/>
  <c r="W558" i="29"/>
  <c r="X558" i="29"/>
  <c r="Y558" i="29"/>
  <c r="Z558" i="29"/>
  <c r="AA558" i="29"/>
  <c r="S559" i="29"/>
  <c r="T559" i="29"/>
  <c r="W559" i="29"/>
  <c r="X559" i="29"/>
  <c r="Y559" i="29"/>
  <c r="Z559" i="29"/>
  <c r="AA559" i="29"/>
  <c r="S560" i="29"/>
  <c r="T560" i="29"/>
  <c r="W560" i="29"/>
  <c r="X560" i="29"/>
  <c r="Y560" i="29"/>
  <c r="Z560" i="29"/>
  <c r="AA560" i="29"/>
  <c r="S561" i="29"/>
  <c r="T561" i="29"/>
  <c r="W561" i="29"/>
  <c r="X561" i="29"/>
  <c r="Y561" i="29"/>
  <c r="Z561" i="29"/>
  <c r="AA561" i="29"/>
  <c r="S562" i="29"/>
  <c r="T562" i="29"/>
  <c r="W562" i="29"/>
  <c r="X562" i="29"/>
  <c r="Y562" i="29"/>
  <c r="Z562" i="29"/>
  <c r="AA562" i="29"/>
  <c r="S563" i="29"/>
  <c r="T563" i="29"/>
  <c r="W563" i="29"/>
  <c r="X563" i="29"/>
  <c r="Y563" i="29"/>
  <c r="Z563" i="29"/>
  <c r="AA563" i="29"/>
  <c r="S564" i="29"/>
  <c r="T564" i="29"/>
  <c r="W564" i="29"/>
  <c r="X564" i="29"/>
  <c r="Y564" i="29"/>
  <c r="Z564" i="29"/>
  <c r="AA564" i="29"/>
  <c r="S565" i="29"/>
  <c r="T565" i="29"/>
  <c r="W565" i="29"/>
  <c r="X565" i="29"/>
  <c r="Y565" i="29"/>
  <c r="Z565" i="29"/>
  <c r="AA565" i="29"/>
  <c r="S566" i="29"/>
  <c r="T566" i="29"/>
  <c r="W566" i="29"/>
  <c r="X566" i="29"/>
  <c r="Y566" i="29"/>
  <c r="Z566" i="29"/>
  <c r="AA566" i="29"/>
  <c r="S567" i="29"/>
  <c r="T567" i="29"/>
  <c r="W567" i="29"/>
  <c r="X567" i="29"/>
  <c r="Y567" i="29"/>
  <c r="Z567" i="29"/>
  <c r="AA567" i="29"/>
  <c r="S568" i="29"/>
  <c r="T568" i="29"/>
  <c r="W568" i="29"/>
  <c r="X568" i="29"/>
  <c r="Y568" i="29"/>
  <c r="Z568" i="29"/>
  <c r="AA568" i="29"/>
  <c r="S569" i="29"/>
  <c r="T569" i="29"/>
  <c r="W569" i="29"/>
  <c r="X569" i="29"/>
  <c r="Y569" i="29"/>
  <c r="Z569" i="29"/>
  <c r="AA569" i="29"/>
  <c r="S570" i="29"/>
  <c r="T570" i="29"/>
  <c r="W570" i="29"/>
  <c r="X570" i="29"/>
  <c r="Y570" i="29"/>
  <c r="Z570" i="29"/>
  <c r="AA570" i="29"/>
  <c r="S571" i="29"/>
  <c r="T571" i="29"/>
  <c r="W571" i="29"/>
  <c r="X571" i="29"/>
  <c r="Y571" i="29"/>
  <c r="Z571" i="29"/>
  <c r="AA571" i="29"/>
  <c r="S572" i="29"/>
  <c r="T572" i="29"/>
  <c r="W572" i="29"/>
  <c r="X572" i="29"/>
  <c r="Y572" i="29"/>
  <c r="Z572" i="29"/>
  <c r="AA572" i="29"/>
  <c r="S573" i="29"/>
  <c r="T573" i="29"/>
  <c r="W573" i="29"/>
  <c r="X573" i="29"/>
  <c r="Y573" i="29"/>
  <c r="Z573" i="29"/>
  <c r="AA573" i="29"/>
  <c r="S574" i="29"/>
  <c r="T574" i="29"/>
  <c r="W574" i="29"/>
  <c r="X574" i="29"/>
  <c r="Y574" i="29"/>
  <c r="Z574" i="29"/>
  <c r="AA574" i="29"/>
  <c r="S575" i="29"/>
  <c r="T575" i="29"/>
  <c r="W575" i="29"/>
  <c r="X575" i="29"/>
  <c r="Y575" i="29"/>
  <c r="Z575" i="29"/>
  <c r="AA575" i="29"/>
  <c r="S576" i="29"/>
  <c r="T576" i="29"/>
  <c r="W576" i="29"/>
  <c r="X576" i="29"/>
  <c r="Y576" i="29"/>
  <c r="Z576" i="29"/>
  <c r="AA576" i="29"/>
  <c r="S577" i="29"/>
  <c r="T577" i="29"/>
  <c r="W577" i="29"/>
  <c r="X577" i="29"/>
  <c r="Y577" i="29"/>
  <c r="Z577" i="29"/>
  <c r="AA577" i="29"/>
  <c r="S578" i="29"/>
  <c r="T578" i="29"/>
  <c r="W578" i="29"/>
  <c r="X578" i="29"/>
  <c r="Y578" i="29"/>
  <c r="Z578" i="29"/>
  <c r="AA578" i="29"/>
  <c r="S579" i="29"/>
  <c r="T579" i="29"/>
  <c r="W579" i="29"/>
  <c r="X579" i="29"/>
  <c r="Y579" i="29"/>
  <c r="Z579" i="29"/>
  <c r="AA579" i="29"/>
  <c r="S580" i="29"/>
  <c r="T580" i="29"/>
  <c r="W580" i="29"/>
  <c r="X580" i="29"/>
  <c r="Y580" i="29"/>
  <c r="Z580" i="29"/>
  <c r="AA580" i="29"/>
  <c r="S581" i="29"/>
  <c r="T581" i="29"/>
  <c r="W581" i="29"/>
  <c r="X581" i="29"/>
  <c r="Y581" i="29"/>
  <c r="Z581" i="29"/>
  <c r="AA581" i="29"/>
  <c r="S582" i="29"/>
  <c r="T582" i="29"/>
  <c r="W582" i="29"/>
  <c r="X582" i="29"/>
  <c r="Y582" i="29"/>
  <c r="Z582" i="29"/>
  <c r="AA582" i="29"/>
  <c r="S583" i="29"/>
  <c r="T583" i="29"/>
  <c r="W583" i="29"/>
  <c r="X583" i="29"/>
  <c r="Y583" i="29"/>
  <c r="Z583" i="29"/>
  <c r="AA583" i="29"/>
  <c r="S584" i="29"/>
  <c r="T584" i="29"/>
  <c r="W584" i="29"/>
  <c r="X584" i="29"/>
  <c r="Y584" i="29"/>
  <c r="Z584" i="29"/>
  <c r="AA584" i="29"/>
  <c r="S585" i="29"/>
  <c r="T585" i="29"/>
  <c r="W585" i="29"/>
  <c r="X585" i="29"/>
  <c r="Y585" i="29"/>
  <c r="Z585" i="29"/>
  <c r="AA585" i="29"/>
  <c r="S586" i="29"/>
  <c r="T586" i="29"/>
  <c r="W586" i="29"/>
  <c r="X586" i="29"/>
  <c r="Y586" i="29"/>
  <c r="Z586" i="29"/>
  <c r="AA586" i="29"/>
  <c r="S587" i="29"/>
  <c r="T587" i="29"/>
  <c r="W587" i="29"/>
  <c r="X587" i="29"/>
  <c r="Y587" i="29"/>
  <c r="Z587" i="29"/>
  <c r="AA587" i="29"/>
  <c r="S588" i="29"/>
  <c r="T588" i="29"/>
  <c r="W588" i="29"/>
  <c r="X588" i="29"/>
  <c r="Y588" i="29"/>
  <c r="Z588" i="29"/>
  <c r="AA588" i="29"/>
  <c r="S589" i="29"/>
  <c r="T589" i="29"/>
  <c r="W589" i="29"/>
  <c r="X589" i="29"/>
  <c r="Y589" i="29"/>
  <c r="Z589" i="29"/>
  <c r="AA589" i="29"/>
  <c r="S590" i="29"/>
  <c r="T590" i="29"/>
  <c r="W590" i="29"/>
  <c r="X590" i="29"/>
  <c r="Y590" i="29"/>
  <c r="Z590" i="29"/>
  <c r="AA590" i="29"/>
  <c r="S591" i="29"/>
  <c r="T591" i="29"/>
  <c r="W591" i="29"/>
  <c r="X591" i="29"/>
  <c r="Y591" i="29"/>
  <c r="Z591" i="29"/>
  <c r="AA591" i="29"/>
  <c r="S592" i="29"/>
  <c r="T592" i="29"/>
  <c r="W592" i="29"/>
  <c r="X592" i="29"/>
  <c r="Y592" i="29"/>
  <c r="Z592" i="29"/>
  <c r="AA592" i="29"/>
  <c r="S593" i="29"/>
  <c r="T593" i="29"/>
  <c r="W593" i="29"/>
  <c r="X593" i="29"/>
  <c r="Y593" i="29"/>
  <c r="Z593" i="29"/>
  <c r="AA593" i="29"/>
  <c r="S594" i="29"/>
  <c r="T594" i="29"/>
  <c r="W594" i="29"/>
  <c r="X594" i="29"/>
  <c r="Y594" i="29"/>
  <c r="Z594" i="29"/>
  <c r="AA594" i="29"/>
  <c r="S595" i="29"/>
  <c r="T595" i="29"/>
  <c r="W595" i="29"/>
  <c r="X595" i="29"/>
  <c r="Y595" i="29"/>
  <c r="Z595" i="29"/>
  <c r="AA595" i="29"/>
  <c r="S596" i="29"/>
  <c r="T596" i="29"/>
  <c r="W596" i="29"/>
  <c r="X596" i="29"/>
  <c r="Y596" i="29"/>
  <c r="Z596" i="29"/>
  <c r="AA596" i="29"/>
  <c r="S597" i="29"/>
  <c r="T597" i="29"/>
  <c r="W597" i="29"/>
  <c r="X597" i="29"/>
  <c r="Y597" i="29"/>
  <c r="Z597" i="29"/>
  <c r="AA597" i="29"/>
  <c r="S598" i="29"/>
  <c r="T598" i="29"/>
  <c r="W598" i="29"/>
  <c r="X598" i="29"/>
  <c r="Y598" i="29"/>
  <c r="Z598" i="29"/>
  <c r="AA598" i="29"/>
  <c r="S599" i="29"/>
  <c r="T599" i="29"/>
  <c r="W599" i="29"/>
  <c r="X599" i="29"/>
  <c r="Y599" i="29"/>
  <c r="Z599" i="29"/>
  <c r="AA599" i="29"/>
  <c r="S600" i="29"/>
  <c r="T600" i="29"/>
  <c r="W600" i="29"/>
  <c r="X600" i="29"/>
  <c r="Y600" i="29"/>
  <c r="Z600" i="29"/>
  <c r="AA600" i="29"/>
  <c r="S601" i="29"/>
  <c r="T601" i="29"/>
  <c r="W601" i="29"/>
  <c r="X601" i="29"/>
  <c r="Y601" i="29"/>
  <c r="Z601" i="29"/>
  <c r="AA601" i="29"/>
  <c r="S602" i="29"/>
  <c r="T602" i="29"/>
  <c r="W602" i="29"/>
  <c r="X602" i="29"/>
  <c r="Y602" i="29"/>
  <c r="Z602" i="29"/>
  <c r="AA602" i="29"/>
  <c r="S603" i="29"/>
  <c r="T603" i="29"/>
  <c r="W603" i="29"/>
  <c r="X603" i="29"/>
  <c r="Y603" i="29"/>
  <c r="Z603" i="29"/>
  <c r="AA603" i="29"/>
  <c r="S604" i="29"/>
  <c r="T604" i="29"/>
  <c r="W604" i="29"/>
  <c r="X604" i="29"/>
  <c r="Y604" i="29"/>
  <c r="Z604" i="29"/>
  <c r="AA604" i="29"/>
  <c r="S605" i="29"/>
  <c r="T605" i="29"/>
  <c r="W605" i="29"/>
  <c r="X605" i="29"/>
  <c r="Y605" i="29"/>
  <c r="Z605" i="29"/>
  <c r="AA605" i="29"/>
  <c r="S606" i="29"/>
  <c r="T606" i="29"/>
  <c r="W606" i="29"/>
  <c r="X606" i="29"/>
  <c r="Y606" i="29"/>
  <c r="Z606" i="29"/>
  <c r="AA606" i="29"/>
  <c r="S607" i="29"/>
  <c r="T607" i="29"/>
  <c r="W607" i="29"/>
  <c r="X607" i="29"/>
  <c r="Y607" i="29"/>
  <c r="Z607" i="29"/>
  <c r="AA607" i="29"/>
  <c r="S608" i="29"/>
  <c r="T608" i="29"/>
  <c r="W608" i="29"/>
  <c r="X608" i="29"/>
  <c r="Y608" i="29"/>
  <c r="Z608" i="29"/>
  <c r="AA608" i="29"/>
  <c r="S609" i="29"/>
  <c r="T609" i="29"/>
  <c r="W609" i="29"/>
  <c r="X609" i="29"/>
  <c r="Y609" i="29"/>
  <c r="Z609" i="29"/>
  <c r="AA609" i="29"/>
  <c r="S610" i="29"/>
  <c r="T610" i="29"/>
  <c r="W610" i="29"/>
  <c r="X610" i="29"/>
  <c r="Y610" i="29"/>
  <c r="Z610" i="29"/>
  <c r="AA610" i="29"/>
  <c r="S611" i="29"/>
  <c r="T611" i="29"/>
  <c r="W611" i="29"/>
  <c r="X611" i="29"/>
  <c r="Y611" i="29"/>
  <c r="Z611" i="29"/>
  <c r="AA611" i="29"/>
  <c r="S612" i="29"/>
  <c r="T612" i="29"/>
  <c r="W612" i="29"/>
  <c r="X612" i="29"/>
  <c r="Y612" i="29"/>
  <c r="Z612" i="29"/>
  <c r="AA612" i="29"/>
  <c r="S613" i="29"/>
  <c r="T613" i="29"/>
  <c r="W613" i="29"/>
  <c r="X613" i="29"/>
  <c r="Y613" i="29"/>
  <c r="Z613" i="29"/>
  <c r="AA613" i="29"/>
  <c r="S614" i="29"/>
  <c r="T614" i="29"/>
  <c r="W614" i="29"/>
  <c r="X614" i="29"/>
  <c r="Y614" i="29"/>
  <c r="Z614" i="29"/>
  <c r="AA614" i="29"/>
  <c r="S615" i="29"/>
  <c r="T615" i="29"/>
  <c r="W615" i="29"/>
  <c r="X615" i="29"/>
  <c r="Y615" i="29"/>
  <c r="Z615" i="29"/>
  <c r="AA615" i="29"/>
  <c r="S616" i="29"/>
  <c r="T616" i="29"/>
  <c r="W616" i="29"/>
  <c r="X616" i="29"/>
  <c r="Y616" i="29"/>
  <c r="Z616" i="29"/>
  <c r="AA616" i="29"/>
  <c r="S617" i="29"/>
  <c r="T617" i="29"/>
  <c r="W617" i="29"/>
  <c r="X617" i="29"/>
  <c r="Y617" i="29"/>
  <c r="Z617" i="29"/>
  <c r="AA617" i="29"/>
  <c r="S618" i="29"/>
  <c r="T618" i="29"/>
  <c r="W618" i="29"/>
  <c r="X618" i="29"/>
  <c r="Y618" i="29"/>
  <c r="Z618" i="29"/>
  <c r="AA618" i="29"/>
  <c r="S619" i="29"/>
  <c r="T619" i="29"/>
  <c r="W619" i="29"/>
  <c r="X619" i="29"/>
  <c r="Y619" i="29"/>
  <c r="Z619" i="29"/>
  <c r="AA619" i="29"/>
  <c r="S620" i="29"/>
  <c r="T620" i="29"/>
  <c r="W620" i="29"/>
  <c r="X620" i="29"/>
  <c r="Y620" i="29"/>
  <c r="Z620" i="29"/>
  <c r="AA620" i="29"/>
  <c r="S621" i="29"/>
  <c r="T621" i="29"/>
  <c r="W621" i="29"/>
  <c r="X621" i="29"/>
  <c r="Y621" i="29"/>
  <c r="Z621" i="29"/>
  <c r="AA621" i="29"/>
  <c r="S622" i="29"/>
  <c r="T622" i="29"/>
  <c r="W622" i="29"/>
  <c r="X622" i="29"/>
  <c r="Y622" i="29"/>
  <c r="Z622" i="29"/>
  <c r="AA622" i="29"/>
  <c r="S623" i="29"/>
  <c r="T623" i="29"/>
  <c r="W623" i="29"/>
  <c r="X623" i="29"/>
  <c r="Y623" i="29"/>
  <c r="Z623" i="29"/>
  <c r="AA623" i="29"/>
  <c r="S624" i="29"/>
  <c r="T624" i="29"/>
  <c r="W624" i="29"/>
  <c r="X624" i="29"/>
  <c r="Y624" i="29"/>
  <c r="Z624" i="29"/>
  <c r="AA624" i="29"/>
  <c r="S625" i="29"/>
  <c r="T625" i="29"/>
  <c r="W625" i="29"/>
  <c r="X625" i="29"/>
  <c r="Y625" i="29"/>
  <c r="Z625" i="29"/>
  <c r="AA625" i="29"/>
  <c r="S626" i="29"/>
  <c r="T626" i="29"/>
  <c r="W626" i="29"/>
  <c r="X626" i="29"/>
  <c r="Y626" i="29"/>
  <c r="Z626" i="29"/>
  <c r="AA626" i="29"/>
  <c r="S627" i="29"/>
  <c r="T627" i="29"/>
  <c r="W627" i="29"/>
  <c r="X627" i="29"/>
  <c r="Y627" i="29"/>
  <c r="Z627" i="29"/>
  <c r="AA627" i="29"/>
  <c r="S628" i="29"/>
  <c r="T628" i="29"/>
  <c r="W628" i="29"/>
  <c r="X628" i="29"/>
  <c r="Y628" i="29"/>
  <c r="Z628" i="29"/>
  <c r="AA628" i="29"/>
  <c r="S629" i="29"/>
  <c r="T629" i="29"/>
  <c r="W629" i="29"/>
  <c r="X629" i="29"/>
  <c r="Y629" i="29"/>
  <c r="Z629" i="29"/>
  <c r="AA629" i="29"/>
  <c r="S630" i="29"/>
  <c r="T630" i="29"/>
  <c r="W630" i="29"/>
  <c r="X630" i="29"/>
  <c r="Y630" i="29"/>
  <c r="Z630" i="29"/>
  <c r="AA630" i="29"/>
  <c r="S631" i="29"/>
  <c r="T631" i="29"/>
  <c r="W631" i="29"/>
  <c r="X631" i="29"/>
  <c r="Y631" i="29"/>
  <c r="Z631" i="29"/>
  <c r="AA631" i="29"/>
  <c r="S632" i="29"/>
  <c r="T632" i="29"/>
  <c r="W632" i="29"/>
  <c r="X632" i="29"/>
  <c r="Y632" i="29"/>
  <c r="Z632" i="29"/>
  <c r="AA632" i="29"/>
  <c r="S633" i="29"/>
  <c r="T633" i="29"/>
  <c r="W633" i="29"/>
  <c r="X633" i="29"/>
  <c r="Y633" i="29"/>
  <c r="Z633" i="29"/>
  <c r="AA633" i="29"/>
  <c r="S634" i="29"/>
  <c r="T634" i="29"/>
  <c r="W634" i="29"/>
  <c r="X634" i="29"/>
  <c r="Y634" i="29"/>
  <c r="Z634" i="29"/>
  <c r="AA634" i="29"/>
  <c r="S635" i="29"/>
  <c r="T635" i="29"/>
  <c r="W635" i="29"/>
  <c r="X635" i="29"/>
  <c r="Y635" i="29"/>
  <c r="Z635" i="29"/>
  <c r="AA635" i="29"/>
  <c r="S636" i="29"/>
  <c r="T636" i="29"/>
  <c r="W636" i="29"/>
  <c r="X636" i="29"/>
  <c r="Y636" i="29"/>
  <c r="Z636" i="29"/>
  <c r="AA636" i="29"/>
  <c r="S637" i="29"/>
  <c r="T637" i="29"/>
  <c r="W637" i="29"/>
  <c r="X637" i="29"/>
  <c r="Y637" i="29"/>
  <c r="Z637" i="29"/>
  <c r="AA637" i="29"/>
  <c r="S638" i="29"/>
  <c r="T638" i="29"/>
  <c r="W638" i="29"/>
  <c r="X638" i="29"/>
  <c r="Y638" i="29"/>
  <c r="Z638" i="29"/>
  <c r="AA638" i="29"/>
  <c r="S639" i="29"/>
  <c r="T639" i="29"/>
  <c r="W639" i="29"/>
  <c r="X639" i="29"/>
  <c r="Y639" i="29"/>
  <c r="Z639" i="29"/>
  <c r="AA639" i="29"/>
  <c r="S640" i="29"/>
  <c r="T640" i="29"/>
  <c r="W640" i="29"/>
  <c r="X640" i="29"/>
  <c r="Y640" i="29"/>
  <c r="Z640" i="29"/>
  <c r="AA640" i="29"/>
  <c r="S641" i="29"/>
  <c r="T641" i="29"/>
  <c r="W641" i="29"/>
  <c r="X641" i="29"/>
  <c r="Y641" i="29"/>
  <c r="Z641" i="29"/>
  <c r="AA641" i="29"/>
  <c r="S642" i="29"/>
  <c r="T642" i="29"/>
  <c r="W642" i="29"/>
  <c r="X642" i="29"/>
  <c r="Y642" i="29"/>
  <c r="Z642" i="29"/>
  <c r="AA642" i="29"/>
  <c r="S643" i="29"/>
  <c r="T643" i="29"/>
  <c r="W643" i="29"/>
  <c r="X643" i="29"/>
  <c r="Y643" i="29"/>
  <c r="Z643" i="29"/>
  <c r="AA643" i="29"/>
  <c r="S644" i="29"/>
  <c r="T644" i="29"/>
  <c r="W644" i="29"/>
  <c r="X644" i="29"/>
  <c r="Y644" i="29"/>
  <c r="Z644" i="29"/>
  <c r="AA644" i="29"/>
  <c r="S645" i="29"/>
  <c r="T645" i="29"/>
  <c r="W645" i="29"/>
  <c r="X645" i="29"/>
  <c r="Y645" i="29"/>
  <c r="Z645" i="29"/>
  <c r="AA645" i="29"/>
  <c r="S646" i="29"/>
  <c r="T646" i="29"/>
  <c r="W646" i="29"/>
  <c r="X646" i="29"/>
  <c r="Y646" i="29"/>
  <c r="Z646" i="29"/>
  <c r="AA646" i="29"/>
  <c r="S647" i="29"/>
  <c r="T647" i="29"/>
  <c r="W647" i="29"/>
  <c r="X647" i="29"/>
  <c r="Y647" i="29"/>
  <c r="Z647" i="29"/>
  <c r="AA647" i="29"/>
  <c r="S648" i="29"/>
  <c r="T648" i="29"/>
  <c r="W648" i="29"/>
  <c r="X648" i="29"/>
  <c r="Y648" i="29"/>
  <c r="Z648" i="29"/>
  <c r="AA648" i="29"/>
  <c r="S649" i="29"/>
  <c r="T649" i="29"/>
  <c r="W649" i="29"/>
  <c r="X649" i="29"/>
  <c r="Y649" i="29"/>
  <c r="Z649" i="29"/>
  <c r="AA649" i="29"/>
  <c r="S650" i="29"/>
  <c r="T650" i="29"/>
  <c r="W650" i="29"/>
  <c r="X650" i="29"/>
  <c r="Y650" i="29"/>
  <c r="Z650" i="29"/>
  <c r="AA650" i="29"/>
  <c r="S651" i="29"/>
  <c r="T651" i="29"/>
  <c r="W651" i="29"/>
  <c r="X651" i="29"/>
  <c r="Y651" i="29"/>
  <c r="Z651" i="29"/>
  <c r="AA651" i="29"/>
  <c r="S652" i="29"/>
  <c r="T652" i="29"/>
  <c r="W652" i="29"/>
  <c r="X652" i="29"/>
  <c r="Y652" i="29"/>
  <c r="Z652" i="29"/>
  <c r="AA652" i="29"/>
  <c r="S653" i="29"/>
  <c r="T653" i="29"/>
  <c r="W653" i="29"/>
  <c r="X653" i="29"/>
  <c r="Y653" i="29"/>
  <c r="Z653" i="29"/>
  <c r="AA653" i="29"/>
  <c r="S654" i="29"/>
  <c r="T654" i="29"/>
  <c r="W654" i="29"/>
  <c r="X654" i="29"/>
  <c r="Y654" i="29"/>
  <c r="Z654" i="29"/>
  <c r="AA654" i="29"/>
  <c r="S655" i="29"/>
  <c r="T655" i="29"/>
  <c r="W655" i="29"/>
  <c r="X655" i="29"/>
  <c r="Y655" i="29"/>
  <c r="Z655" i="29"/>
  <c r="AA655" i="29"/>
  <c r="S656" i="29"/>
  <c r="T656" i="29"/>
  <c r="W656" i="29"/>
  <c r="X656" i="29"/>
  <c r="Y656" i="29"/>
  <c r="Z656" i="29"/>
  <c r="AA656" i="29"/>
  <c r="S657" i="29"/>
  <c r="T657" i="29"/>
  <c r="W657" i="29"/>
  <c r="X657" i="29"/>
  <c r="Y657" i="29"/>
  <c r="Z657" i="29"/>
  <c r="AA657" i="29"/>
  <c r="S658" i="29"/>
  <c r="T658" i="29"/>
  <c r="W658" i="29"/>
  <c r="X658" i="29"/>
  <c r="Y658" i="29"/>
  <c r="Z658" i="29"/>
  <c r="AA658" i="29"/>
  <c r="S659" i="29"/>
  <c r="T659" i="29"/>
  <c r="W659" i="29"/>
  <c r="X659" i="29"/>
  <c r="Y659" i="29"/>
  <c r="Z659" i="29"/>
  <c r="AA659" i="29"/>
  <c r="S660" i="29"/>
  <c r="T660" i="29"/>
  <c r="W660" i="29"/>
  <c r="X660" i="29"/>
  <c r="Y660" i="29"/>
  <c r="Z660" i="29"/>
  <c r="AA660" i="29"/>
  <c r="S661" i="29"/>
  <c r="T661" i="29"/>
  <c r="W661" i="29"/>
  <c r="X661" i="29"/>
  <c r="Y661" i="29"/>
  <c r="Z661" i="29"/>
  <c r="AA661" i="29"/>
  <c r="S662" i="29"/>
  <c r="T662" i="29"/>
  <c r="W662" i="29"/>
  <c r="X662" i="29"/>
  <c r="Y662" i="29"/>
  <c r="Z662" i="29"/>
  <c r="AA662" i="29"/>
  <c r="S663" i="29"/>
  <c r="T663" i="29"/>
  <c r="W663" i="29"/>
  <c r="X663" i="29"/>
  <c r="Y663" i="29"/>
  <c r="Z663" i="29"/>
  <c r="AA663" i="29"/>
  <c r="S664" i="29"/>
  <c r="T664" i="29"/>
  <c r="W664" i="29"/>
  <c r="X664" i="29"/>
  <c r="Y664" i="29"/>
  <c r="Z664" i="29"/>
  <c r="AA664" i="29"/>
  <c r="S665" i="29"/>
  <c r="T665" i="29"/>
  <c r="W665" i="29"/>
  <c r="X665" i="29"/>
  <c r="Y665" i="29"/>
  <c r="Z665" i="29"/>
  <c r="AA665" i="29"/>
  <c r="S666" i="29"/>
  <c r="T666" i="29"/>
  <c r="W666" i="29"/>
  <c r="X666" i="29"/>
  <c r="Y666" i="29"/>
  <c r="Z666" i="29"/>
  <c r="AA666" i="29"/>
  <c r="S667" i="29"/>
  <c r="T667" i="29"/>
  <c r="W667" i="29"/>
  <c r="X667" i="29"/>
  <c r="Y667" i="29"/>
  <c r="Z667" i="29"/>
  <c r="AA667" i="29"/>
  <c r="S668" i="29"/>
  <c r="T668" i="29"/>
  <c r="W668" i="29"/>
  <c r="X668" i="29"/>
  <c r="Y668" i="29"/>
  <c r="Z668" i="29"/>
  <c r="AA668" i="29"/>
  <c r="S669" i="29"/>
  <c r="T669" i="29"/>
  <c r="W669" i="29"/>
  <c r="X669" i="29"/>
  <c r="Y669" i="29"/>
  <c r="Z669" i="29"/>
  <c r="AA669" i="29"/>
  <c r="S670" i="29"/>
  <c r="T670" i="29"/>
  <c r="W670" i="29"/>
  <c r="X670" i="29"/>
  <c r="Y670" i="29"/>
  <c r="Z670" i="29"/>
  <c r="AA670" i="29"/>
  <c r="S671" i="29"/>
  <c r="T671" i="29"/>
  <c r="W671" i="29"/>
  <c r="X671" i="29"/>
  <c r="Y671" i="29"/>
  <c r="Z671" i="29"/>
  <c r="AA671" i="29"/>
  <c r="S672" i="29"/>
  <c r="T672" i="29"/>
  <c r="W672" i="29"/>
  <c r="X672" i="29"/>
  <c r="Y672" i="29"/>
  <c r="Z672" i="29"/>
  <c r="AA672" i="29"/>
  <c r="S673" i="29"/>
  <c r="T673" i="29"/>
  <c r="W673" i="29"/>
  <c r="X673" i="29"/>
  <c r="Y673" i="29"/>
  <c r="Z673" i="29"/>
  <c r="AA673" i="29"/>
  <c r="S674" i="29"/>
  <c r="T674" i="29"/>
  <c r="W674" i="29"/>
  <c r="X674" i="29"/>
  <c r="Y674" i="29"/>
  <c r="Z674" i="29"/>
  <c r="AA674" i="29"/>
  <c r="S675" i="29"/>
  <c r="T675" i="29"/>
  <c r="W675" i="29"/>
  <c r="X675" i="29"/>
  <c r="Y675" i="29"/>
  <c r="Z675" i="29"/>
  <c r="AA675" i="29"/>
  <c r="S676" i="29"/>
  <c r="T676" i="29"/>
  <c r="W676" i="29"/>
  <c r="X676" i="29"/>
  <c r="Y676" i="29"/>
  <c r="Z676" i="29"/>
  <c r="AA676" i="29"/>
  <c r="S677" i="29"/>
  <c r="T677" i="29"/>
  <c r="W677" i="29"/>
  <c r="X677" i="29"/>
  <c r="Y677" i="29"/>
  <c r="Z677" i="29"/>
  <c r="AA677" i="29"/>
  <c r="S678" i="29"/>
  <c r="T678" i="29"/>
  <c r="W678" i="29"/>
  <c r="X678" i="29"/>
  <c r="Y678" i="29"/>
  <c r="Z678" i="29"/>
  <c r="AA678" i="29"/>
  <c r="S679" i="29"/>
  <c r="T679" i="29"/>
  <c r="W679" i="29"/>
  <c r="X679" i="29"/>
  <c r="Y679" i="29"/>
  <c r="Z679" i="29"/>
  <c r="AA679" i="29"/>
  <c r="S680" i="29"/>
  <c r="T680" i="29"/>
  <c r="W680" i="29"/>
  <c r="X680" i="29"/>
  <c r="Y680" i="29"/>
  <c r="Z680" i="29"/>
  <c r="AA680" i="29"/>
  <c r="S681" i="29"/>
  <c r="T681" i="29"/>
  <c r="W681" i="29"/>
  <c r="X681" i="29"/>
  <c r="Y681" i="29"/>
  <c r="Z681" i="29"/>
  <c r="AA681" i="29"/>
  <c r="S682" i="29"/>
  <c r="T682" i="29"/>
  <c r="W682" i="29"/>
  <c r="X682" i="29"/>
  <c r="Y682" i="29"/>
  <c r="Z682" i="29"/>
  <c r="AA682" i="29"/>
  <c r="S683" i="29"/>
  <c r="T683" i="29"/>
  <c r="W683" i="29"/>
  <c r="X683" i="29"/>
  <c r="Y683" i="29"/>
  <c r="Z683" i="29"/>
  <c r="AA683" i="29"/>
  <c r="S684" i="29"/>
  <c r="T684" i="29"/>
  <c r="W684" i="29"/>
  <c r="X684" i="29"/>
  <c r="Y684" i="29"/>
  <c r="Z684" i="29"/>
  <c r="AA684" i="29"/>
  <c r="S685" i="29"/>
  <c r="T685" i="29"/>
  <c r="W685" i="29"/>
  <c r="X685" i="29"/>
  <c r="Y685" i="29"/>
  <c r="Z685" i="29"/>
  <c r="AA685" i="29"/>
  <c r="S686" i="29"/>
  <c r="T686" i="29"/>
  <c r="W686" i="29"/>
  <c r="X686" i="29"/>
  <c r="Y686" i="29"/>
  <c r="Z686" i="29"/>
  <c r="AA686" i="29"/>
  <c r="S687" i="29"/>
  <c r="T687" i="29"/>
  <c r="W687" i="29"/>
  <c r="X687" i="29"/>
  <c r="Y687" i="29"/>
  <c r="Z687" i="29"/>
  <c r="AA687" i="29"/>
  <c r="S688" i="29"/>
  <c r="T688" i="29"/>
  <c r="W688" i="29"/>
  <c r="X688" i="29"/>
  <c r="Y688" i="29"/>
  <c r="Z688" i="29"/>
  <c r="AA688" i="29"/>
  <c r="S689" i="29"/>
  <c r="T689" i="29"/>
  <c r="W689" i="29"/>
  <c r="X689" i="29"/>
  <c r="Y689" i="29"/>
  <c r="Z689" i="29"/>
  <c r="AA689" i="29"/>
  <c r="S690" i="29"/>
  <c r="T690" i="29"/>
  <c r="W690" i="29"/>
  <c r="X690" i="29"/>
  <c r="Y690" i="29"/>
  <c r="Z690" i="29"/>
  <c r="AA690" i="29"/>
  <c r="S691" i="29"/>
  <c r="T691" i="29"/>
  <c r="W691" i="29"/>
  <c r="X691" i="29"/>
  <c r="Y691" i="29"/>
  <c r="Z691" i="29"/>
  <c r="AA691" i="29"/>
  <c r="S692" i="29"/>
  <c r="T692" i="29"/>
  <c r="W692" i="29"/>
  <c r="X692" i="29"/>
  <c r="Y692" i="29"/>
  <c r="Z692" i="29"/>
  <c r="AA692" i="29"/>
  <c r="S693" i="29"/>
  <c r="T693" i="29"/>
  <c r="W693" i="29"/>
  <c r="X693" i="29"/>
  <c r="Y693" i="29"/>
  <c r="Z693" i="29"/>
  <c r="AA693" i="29"/>
  <c r="S694" i="29"/>
  <c r="T694" i="29"/>
  <c r="W694" i="29"/>
  <c r="X694" i="29"/>
  <c r="Y694" i="29"/>
  <c r="Z694" i="29"/>
  <c r="AA694" i="29"/>
  <c r="S695" i="29"/>
  <c r="T695" i="29"/>
  <c r="W695" i="29"/>
  <c r="X695" i="29"/>
  <c r="Y695" i="29"/>
  <c r="Z695" i="29"/>
  <c r="AA695" i="29"/>
  <c r="S696" i="29"/>
  <c r="T696" i="29"/>
  <c r="W696" i="29"/>
  <c r="X696" i="29"/>
  <c r="Y696" i="29"/>
  <c r="Z696" i="29"/>
  <c r="AA696" i="29"/>
  <c r="S697" i="29"/>
  <c r="T697" i="29"/>
  <c r="W697" i="29"/>
  <c r="X697" i="29"/>
  <c r="Y697" i="29"/>
  <c r="Z697" i="29"/>
  <c r="AA697" i="29"/>
  <c r="S698" i="29"/>
  <c r="T698" i="29"/>
  <c r="W698" i="29"/>
  <c r="X698" i="29"/>
  <c r="Y698" i="29"/>
  <c r="Z698" i="29"/>
  <c r="AA698" i="29"/>
  <c r="S699" i="29"/>
  <c r="T699" i="29"/>
  <c r="W699" i="29"/>
  <c r="X699" i="29"/>
  <c r="Y699" i="29"/>
  <c r="Z699" i="29"/>
  <c r="AA699" i="29"/>
  <c r="S700" i="29"/>
  <c r="T700" i="29"/>
  <c r="W700" i="29"/>
  <c r="X700" i="29"/>
  <c r="Y700" i="29"/>
  <c r="Z700" i="29"/>
  <c r="AA700" i="29"/>
  <c r="S701" i="29"/>
  <c r="T701" i="29"/>
  <c r="W701" i="29"/>
  <c r="X701" i="29"/>
  <c r="Y701" i="29"/>
  <c r="Z701" i="29"/>
  <c r="AA701" i="29"/>
  <c r="S702" i="29"/>
  <c r="T702" i="29"/>
  <c r="W702" i="29"/>
  <c r="X702" i="29"/>
  <c r="Y702" i="29"/>
  <c r="Z702" i="29"/>
  <c r="AA702" i="29"/>
  <c r="S703" i="29"/>
  <c r="T703" i="29"/>
  <c r="W703" i="29"/>
  <c r="X703" i="29"/>
  <c r="Y703" i="29"/>
  <c r="Z703" i="29"/>
  <c r="AA703" i="29"/>
  <c r="S704" i="29"/>
  <c r="T704" i="29"/>
  <c r="W704" i="29"/>
  <c r="X704" i="29"/>
  <c r="Y704" i="29"/>
  <c r="Z704" i="29"/>
  <c r="AA704" i="29"/>
  <c r="S705" i="29"/>
  <c r="T705" i="29"/>
  <c r="W705" i="29"/>
  <c r="X705" i="29"/>
  <c r="Y705" i="29"/>
  <c r="Z705" i="29"/>
  <c r="AA705" i="29"/>
  <c r="S706" i="29"/>
  <c r="T706" i="29"/>
  <c r="W706" i="29"/>
  <c r="X706" i="29"/>
  <c r="Y706" i="29"/>
  <c r="Z706" i="29"/>
  <c r="AA706" i="29"/>
  <c r="S707" i="29"/>
  <c r="T707" i="29"/>
  <c r="W707" i="29"/>
  <c r="X707" i="29"/>
  <c r="Y707" i="29"/>
  <c r="Z707" i="29"/>
  <c r="AA707" i="29"/>
  <c r="S708" i="29"/>
  <c r="T708" i="29"/>
  <c r="W708" i="29"/>
  <c r="X708" i="29"/>
  <c r="Y708" i="29"/>
  <c r="Z708" i="29"/>
  <c r="AA708" i="29"/>
  <c r="S709" i="29"/>
  <c r="T709" i="29"/>
  <c r="W709" i="29"/>
  <c r="X709" i="29"/>
  <c r="Y709" i="29"/>
  <c r="Z709" i="29"/>
  <c r="AA709" i="29"/>
  <c r="S710" i="29"/>
  <c r="T710" i="29"/>
  <c r="W710" i="29"/>
  <c r="X710" i="29"/>
  <c r="Y710" i="29"/>
  <c r="Z710" i="29"/>
  <c r="AA710" i="29"/>
  <c r="S711" i="29"/>
  <c r="T711" i="29"/>
  <c r="W711" i="29"/>
  <c r="X711" i="29"/>
  <c r="Y711" i="29"/>
  <c r="Z711" i="29"/>
  <c r="AA711" i="29"/>
  <c r="S712" i="29"/>
  <c r="T712" i="29"/>
  <c r="W712" i="29"/>
  <c r="X712" i="29"/>
  <c r="Y712" i="29"/>
  <c r="Z712" i="29"/>
  <c r="AA712" i="29"/>
  <c r="S713" i="29"/>
  <c r="T713" i="29"/>
  <c r="W713" i="29"/>
  <c r="X713" i="29"/>
  <c r="Y713" i="29"/>
  <c r="Z713" i="29"/>
  <c r="AA713" i="29"/>
  <c r="S714" i="29"/>
  <c r="T714" i="29"/>
  <c r="W714" i="29"/>
  <c r="X714" i="29"/>
  <c r="Y714" i="29"/>
  <c r="Z714" i="29"/>
  <c r="AA714" i="29"/>
  <c r="S715" i="29"/>
  <c r="T715" i="29"/>
  <c r="W715" i="29"/>
  <c r="X715" i="29"/>
  <c r="Y715" i="29"/>
  <c r="Z715" i="29"/>
  <c r="AA715" i="29"/>
  <c r="S716" i="29"/>
  <c r="T716" i="29"/>
  <c r="W716" i="29"/>
  <c r="X716" i="29"/>
  <c r="Y716" i="29"/>
  <c r="Z716" i="29"/>
  <c r="AA716" i="29"/>
  <c r="S717" i="29"/>
  <c r="T717" i="29"/>
  <c r="W717" i="29"/>
  <c r="X717" i="29"/>
  <c r="Y717" i="29"/>
  <c r="Z717" i="29"/>
  <c r="AA717" i="29"/>
  <c r="S718" i="29"/>
  <c r="T718" i="29"/>
  <c r="W718" i="29"/>
  <c r="X718" i="29"/>
  <c r="Y718" i="29"/>
  <c r="Z718" i="29"/>
  <c r="AA718" i="29"/>
  <c r="S719" i="29"/>
  <c r="T719" i="29"/>
  <c r="W719" i="29"/>
  <c r="X719" i="29"/>
  <c r="Y719" i="29"/>
  <c r="Z719" i="29"/>
  <c r="AA719" i="29"/>
  <c r="S720" i="29"/>
  <c r="T720" i="29"/>
  <c r="W720" i="29"/>
  <c r="X720" i="29"/>
  <c r="Y720" i="29"/>
  <c r="Z720" i="29"/>
  <c r="AA720" i="29"/>
  <c r="S721" i="29"/>
  <c r="T721" i="29"/>
  <c r="W721" i="29"/>
  <c r="X721" i="29"/>
  <c r="Y721" i="29"/>
  <c r="Z721" i="29"/>
  <c r="AA721" i="29"/>
  <c r="S722" i="29"/>
  <c r="T722" i="29"/>
  <c r="W722" i="29"/>
  <c r="X722" i="29"/>
  <c r="Y722" i="29"/>
  <c r="Z722" i="29"/>
  <c r="AA722" i="29"/>
  <c r="S723" i="29"/>
  <c r="T723" i="29"/>
  <c r="W723" i="29"/>
  <c r="X723" i="29"/>
  <c r="Y723" i="29"/>
  <c r="Z723" i="29"/>
  <c r="AA723" i="29"/>
  <c r="S724" i="29"/>
  <c r="T724" i="29"/>
  <c r="W724" i="29"/>
  <c r="X724" i="29"/>
  <c r="Y724" i="29"/>
  <c r="Z724" i="29"/>
  <c r="AA724" i="29"/>
  <c r="S725" i="29"/>
  <c r="T725" i="29"/>
  <c r="W725" i="29"/>
  <c r="X725" i="29"/>
  <c r="Y725" i="29"/>
  <c r="Z725" i="29"/>
  <c r="AA725" i="29"/>
  <c r="S726" i="29"/>
  <c r="T726" i="29"/>
  <c r="W726" i="29"/>
  <c r="X726" i="29"/>
  <c r="Y726" i="29"/>
  <c r="Z726" i="29"/>
  <c r="AA726" i="29"/>
  <c r="S727" i="29"/>
  <c r="T727" i="29"/>
  <c r="W727" i="29"/>
  <c r="X727" i="29"/>
  <c r="Y727" i="29"/>
  <c r="Z727" i="29"/>
  <c r="AA727" i="29"/>
  <c r="S728" i="29"/>
  <c r="T728" i="29"/>
  <c r="W728" i="29"/>
  <c r="X728" i="29"/>
  <c r="Y728" i="29"/>
  <c r="Z728" i="29"/>
  <c r="AA728" i="29"/>
  <c r="S729" i="29"/>
  <c r="T729" i="29"/>
  <c r="W729" i="29"/>
  <c r="X729" i="29"/>
  <c r="Y729" i="29"/>
  <c r="Z729" i="29"/>
  <c r="AA729" i="29"/>
  <c r="S730" i="29"/>
  <c r="T730" i="29"/>
  <c r="W730" i="29"/>
  <c r="X730" i="29"/>
  <c r="Y730" i="29"/>
  <c r="Z730" i="29"/>
  <c r="AA730" i="29"/>
  <c r="S731" i="29"/>
  <c r="T731" i="29"/>
  <c r="W731" i="29"/>
  <c r="X731" i="29"/>
  <c r="Y731" i="29"/>
  <c r="Z731" i="29"/>
  <c r="AA731" i="29"/>
  <c r="S732" i="29"/>
  <c r="T732" i="29"/>
  <c r="W732" i="29"/>
  <c r="X732" i="29"/>
  <c r="Y732" i="29"/>
  <c r="Z732" i="29"/>
  <c r="AA732" i="29"/>
  <c r="S733" i="29"/>
  <c r="T733" i="29"/>
  <c r="W733" i="29"/>
  <c r="X733" i="29"/>
  <c r="Y733" i="29"/>
  <c r="Z733" i="29"/>
  <c r="AA733" i="29"/>
  <c r="S734" i="29"/>
  <c r="T734" i="29"/>
  <c r="W734" i="29"/>
  <c r="X734" i="29"/>
  <c r="Y734" i="29"/>
  <c r="Z734" i="29"/>
  <c r="AA734" i="29"/>
  <c r="S735" i="29"/>
  <c r="T735" i="29"/>
  <c r="W735" i="29"/>
  <c r="X735" i="29"/>
  <c r="Y735" i="29"/>
  <c r="Z735" i="29"/>
  <c r="AA735" i="29"/>
  <c r="S736" i="29"/>
  <c r="T736" i="29"/>
  <c r="W736" i="29"/>
  <c r="X736" i="29"/>
  <c r="Y736" i="29"/>
  <c r="Z736" i="29"/>
  <c r="AA736" i="29"/>
  <c r="S737" i="29"/>
  <c r="T737" i="29"/>
  <c r="W737" i="29"/>
  <c r="X737" i="29"/>
  <c r="Y737" i="29"/>
  <c r="Z737" i="29"/>
  <c r="AA737" i="29"/>
  <c r="S738" i="29"/>
  <c r="T738" i="29"/>
  <c r="W738" i="29"/>
  <c r="X738" i="29"/>
  <c r="Y738" i="29"/>
  <c r="Z738" i="29"/>
  <c r="AA738" i="29"/>
  <c r="S739" i="29"/>
  <c r="T739" i="29"/>
  <c r="W739" i="29"/>
  <c r="X739" i="29"/>
  <c r="Y739" i="29"/>
  <c r="Z739" i="29"/>
  <c r="AA739" i="29"/>
  <c r="S740" i="29"/>
  <c r="T740" i="29"/>
  <c r="W740" i="29"/>
  <c r="X740" i="29"/>
  <c r="Y740" i="29"/>
  <c r="Z740" i="29"/>
  <c r="AA740" i="29"/>
  <c r="S741" i="29"/>
  <c r="T741" i="29"/>
  <c r="W741" i="29"/>
  <c r="X741" i="29"/>
  <c r="Y741" i="29"/>
  <c r="Z741" i="29"/>
  <c r="AA741" i="29"/>
  <c r="S742" i="29"/>
  <c r="T742" i="29"/>
  <c r="W742" i="29"/>
  <c r="X742" i="29"/>
  <c r="Y742" i="29"/>
  <c r="Z742" i="29"/>
  <c r="AA742" i="29"/>
  <c r="S743" i="29"/>
  <c r="T743" i="29"/>
  <c r="W743" i="29"/>
  <c r="X743" i="29"/>
  <c r="Y743" i="29"/>
  <c r="Z743" i="29"/>
  <c r="AA743" i="29"/>
  <c r="S744" i="29"/>
  <c r="T744" i="29"/>
  <c r="W744" i="29"/>
  <c r="X744" i="29"/>
  <c r="Y744" i="29"/>
  <c r="Z744" i="29"/>
  <c r="AA744" i="29"/>
  <c r="S745" i="29"/>
  <c r="T745" i="29"/>
  <c r="W745" i="29"/>
  <c r="X745" i="29"/>
  <c r="Y745" i="29"/>
  <c r="Z745" i="29"/>
  <c r="AA745" i="29"/>
  <c r="S746" i="29"/>
  <c r="T746" i="29"/>
  <c r="W746" i="29"/>
  <c r="X746" i="29"/>
  <c r="Y746" i="29"/>
  <c r="Z746" i="29"/>
  <c r="AA746" i="29"/>
  <c r="S747" i="29"/>
  <c r="T747" i="29"/>
  <c r="W747" i="29"/>
  <c r="X747" i="29"/>
  <c r="Y747" i="29"/>
  <c r="Z747" i="29"/>
  <c r="AA747" i="29"/>
  <c r="S748" i="29"/>
  <c r="T748" i="29"/>
  <c r="W748" i="29"/>
  <c r="X748" i="29"/>
  <c r="Y748" i="29"/>
  <c r="Z748" i="29"/>
  <c r="AA748" i="29"/>
  <c r="S749" i="29"/>
  <c r="T749" i="29"/>
  <c r="W749" i="29"/>
  <c r="X749" i="29"/>
  <c r="Y749" i="29"/>
  <c r="Z749" i="29"/>
  <c r="AA749" i="29"/>
  <c r="S750" i="29"/>
  <c r="T750" i="29"/>
  <c r="W750" i="29"/>
  <c r="X750" i="29"/>
  <c r="Y750" i="29"/>
  <c r="Z750" i="29"/>
  <c r="AA750" i="29"/>
  <c r="S751" i="29"/>
  <c r="T751" i="29"/>
  <c r="W751" i="29"/>
  <c r="X751" i="29"/>
  <c r="Y751" i="29"/>
  <c r="Z751" i="29"/>
  <c r="AA751" i="29"/>
  <c r="S752" i="29"/>
  <c r="T752" i="29"/>
  <c r="W752" i="29"/>
  <c r="X752" i="29"/>
  <c r="Y752" i="29"/>
  <c r="Z752" i="29"/>
  <c r="AA752" i="29"/>
  <c r="S753" i="29"/>
  <c r="T753" i="29"/>
  <c r="W753" i="29"/>
  <c r="X753" i="29"/>
  <c r="Y753" i="29"/>
  <c r="Z753" i="29"/>
  <c r="AA753" i="29"/>
  <c r="S754" i="29"/>
  <c r="T754" i="29"/>
  <c r="W754" i="29"/>
  <c r="X754" i="29"/>
  <c r="Y754" i="29"/>
  <c r="Z754" i="29"/>
  <c r="AA754" i="29"/>
  <c r="S755" i="29"/>
  <c r="T755" i="29"/>
  <c r="W755" i="29"/>
  <c r="X755" i="29"/>
  <c r="Y755" i="29"/>
  <c r="Z755" i="29"/>
  <c r="AA755" i="29"/>
  <c r="S756" i="29"/>
  <c r="T756" i="29"/>
  <c r="W756" i="29"/>
  <c r="X756" i="29"/>
  <c r="Y756" i="29"/>
  <c r="Z756" i="29"/>
  <c r="AA756" i="29"/>
  <c r="S757" i="29"/>
  <c r="T757" i="29"/>
  <c r="W757" i="29"/>
  <c r="X757" i="29"/>
  <c r="Y757" i="29"/>
  <c r="Z757" i="29"/>
  <c r="AA757" i="29"/>
  <c r="S758" i="29"/>
  <c r="T758" i="29"/>
  <c r="W758" i="29"/>
  <c r="X758" i="29"/>
  <c r="Y758" i="29"/>
  <c r="Z758" i="29"/>
  <c r="AA758" i="29"/>
  <c r="S759" i="29"/>
  <c r="T759" i="29"/>
  <c r="W759" i="29"/>
  <c r="X759" i="29"/>
  <c r="Y759" i="29"/>
  <c r="Z759" i="29"/>
  <c r="AA759" i="29"/>
  <c r="S760" i="29"/>
  <c r="T760" i="29"/>
  <c r="W760" i="29"/>
  <c r="X760" i="29"/>
  <c r="Y760" i="29"/>
  <c r="Z760" i="29"/>
  <c r="AA760" i="29"/>
  <c r="S761" i="29"/>
  <c r="T761" i="29"/>
  <c r="W761" i="29"/>
  <c r="X761" i="29"/>
  <c r="Y761" i="29"/>
  <c r="Z761" i="29"/>
  <c r="AA761" i="29"/>
  <c r="S762" i="29"/>
  <c r="T762" i="29"/>
  <c r="W762" i="29"/>
  <c r="X762" i="29"/>
  <c r="Y762" i="29"/>
  <c r="Z762" i="29"/>
  <c r="AA762" i="29"/>
  <c r="S763" i="29"/>
  <c r="T763" i="29"/>
  <c r="W763" i="29"/>
  <c r="X763" i="29"/>
  <c r="Y763" i="29"/>
  <c r="Z763" i="29"/>
  <c r="AA763" i="29"/>
  <c r="S764" i="29"/>
  <c r="T764" i="29"/>
  <c r="W764" i="29"/>
  <c r="X764" i="29"/>
  <c r="Y764" i="29"/>
  <c r="Z764" i="29"/>
  <c r="AA764" i="29"/>
  <c r="S765" i="29"/>
  <c r="T765" i="29"/>
  <c r="W765" i="29"/>
  <c r="X765" i="29"/>
  <c r="Y765" i="29"/>
  <c r="Z765" i="29"/>
  <c r="AA765" i="29"/>
  <c r="S766" i="29"/>
  <c r="T766" i="29"/>
  <c r="W766" i="29"/>
  <c r="X766" i="29"/>
  <c r="Y766" i="29"/>
  <c r="Z766" i="29"/>
  <c r="AA766" i="29"/>
  <c r="S767" i="29"/>
  <c r="T767" i="29"/>
  <c r="W767" i="29"/>
  <c r="X767" i="29"/>
  <c r="Y767" i="29"/>
  <c r="Z767" i="29"/>
  <c r="AA767" i="29"/>
  <c r="S768" i="29"/>
  <c r="T768" i="29"/>
  <c r="W768" i="29"/>
  <c r="X768" i="29"/>
  <c r="Y768" i="29"/>
  <c r="Z768" i="29"/>
  <c r="AA768" i="29"/>
  <c r="S769" i="29"/>
  <c r="T769" i="29"/>
  <c r="W769" i="29"/>
  <c r="X769" i="29"/>
  <c r="Y769" i="29"/>
  <c r="Z769" i="29"/>
  <c r="AA769" i="29"/>
  <c r="S770" i="29"/>
  <c r="T770" i="29"/>
  <c r="W770" i="29"/>
  <c r="X770" i="29"/>
  <c r="Y770" i="29"/>
  <c r="Z770" i="29"/>
  <c r="AA770" i="29"/>
  <c r="S771" i="29"/>
  <c r="T771" i="29"/>
  <c r="W771" i="29"/>
  <c r="X771" i="29"/>
  <c r="Y771" i="29"/>
  <c r="Z771" i="29"/>
  <c r="AA771" i="29"/>
  <c r="S772" i="29"/>
  <c r="T772" i="29"/>
  <c r="W772" i="29"/>
  <c r="X772" i="29"/>
  <c r="Y772" i="29"/>
  <c r="Z772" i="29"/>
  <c r="AA772" i="29"/>
  <c r="S773" i="29"/>
  <c r="T773" i="29"/>
  <c r="W773" i="29"/>
  <c r="X773" i="29"/>
  <c r="Y773" i="29"/>
  <c r="Z773" i="29"/>
  <c r="AA773" i="29"/>
  <c r="S774" i="29"/>
  <c r="T774" i="29"/>
  <c r="W774" i="29"/>
  <c r="X774" i="29"/>
  <c r="Y774" i="29"/>
  <c r="Z774" i="29"/>
  <c r="AA774" i="29"/>
  <c r="S775" i="29"/>
  <c r="T775" i="29"/>
  <c r="W775" i="29"/>
  <c r="X775" i="29"/>
  <c r="Y775" i="29"/>
  <c r="Z775" i="29"/>
  <c r="AA775" i="29"/>
  <c r="S776" i="29"/>
  <c r="T776" i="29"/>
  <c r="W776" i="29"/>
  <c r="X776" i="29"/>
  <c r="Y776" i="29"/>
  <c r="Z776" i="29"/>
  <c r="AA776" i="29"/>
  <c r="S777" i="29"/>
  <c r="T777" i="29"/>
  <c r="W777" i="29"/>
  <c r="X777" i="29"/>
  <c r="Y777" i="29"/>
  <c r="Z777" i="29"/>
  <c r="AA777" i="29"/>
  <c r="S778" i="29"/>
  <c r="T778" i="29"/>
  <c r="W778" i="29"/>
  <c r="X778" i="29"/>
  <c r="Y778" i="29"/>
  <c r="Z778" i="29"/>
  <c r="AA778" i="29"/>
  <c r="S779" i="29"/>
  <c r="T779" i="29"/>
  <c r="W779" i="29"/>
  <c r="X779" i="29"/>
  <c r="Y779" i="29"/>
  <c r="Z779" i="29"/>
  <c r="AA779" i="29"/>
  <c r="S780" i="29"/>
  <c r="T780" i="29"/>
  <c r="W780" i="29"/>
  <c r="X780" i="29"/>
  <c r="Y780" i="29"/>
  <c r="Z780" i="29"/>
  <c r="AA780" i="29"/>
  <c r="S781" i="29"/>
  <c r="T781" i="29"/>
  <c r="W781" i="29"/>
  <c r="X781" i="29"/>
  <c r="Y781" i="29"/>
  <c r="Z781" i="29"/>
  <c r="AA781" i="29"/>
  <c r="S782" i="29"/>
  <c r="T782" i="29"/>
  <c r="W782" i="29"/>
  <c r="X782" i="29"/>
  <c r="Y782" i="29"/>
  <c r="Z782" i="29"/>
  <c r="AA782" i="29"/>
  <c r="S783" i="29"/>
  <c r="T783" i="29"/>
  <c r="W783" i="29"/>
  <c r="X783" i="29"/>
  <c r="Y783" i="29"/>
  <c r="Z783" i="29"/>
  <c r="AA783" i="29"/>
  <c r="S784" i="29"/>
  <c r="T784" i="29"/>
  <c r="W784" i="29"/>
  <c r="X784" i="29"/>
  <c r="Y784" i="29"/>
  <c r="Z784" i="29"/>
  <c r="AA784" i="29"/>
  <c r="S785" i="29"/>
  <c r="T785" i="29"/>
  <c r="W785" i="29"/>
  <c r="X785" i="29"/>
  <c r="Y785" i="29"/>
  <c r="Z785" i="29"/>
  <c r="AA785" i="29"/>
  <c r="S786" i="29"/>
  <c r="T786" i="29"/>
  <c r="W786" i="29"/>
  <c r="X786" i="29"/>
  <c r="Y786" i="29"/>
  <c r="Z786" i="29"/>
  <c r="AA786" i="29"/>
  <c r="S787" i="29"/>
  <c r="T787" i="29"/>
  <c r="W787" i="29"/>
  <c r="X787" i="29"/>
  <c r="Y787" i="29"/>
  <c r="Z787" i="29"/>
  <c r="AA787" i="29"/>
  <c r="S788" i="29"/>
  <c r="T788" i="29"/>
  <c r="W788" i="29"/>
  <c r="X788" i="29"/>
  <c r="Y788" i="29"/>
  <c r="Z788" i="29"/>
  <c r="AA788" i="29"/>
  <c r="S789" i="29"/>
  <c r="T789" i="29"/>
  <c r="W789" i="29"/>
  <c r="X789" i="29"/>
  <c r="Y789" i="29"/>
  <c r="Z789" i="29"/>
  <c r="AA789" i="29"/>
  <c r="S790" i="29"/>
  <c r="T790" i="29"/>
  <c r="W790" i="29"/>
  <c r="X790" i="29"/>
  <c r="Y790" i="29"/>
  <c r="Z790" i="29"/>
  <c r="AA790" i="29"/>
  <c r="S791" i="29"/>
  <c r="T791" i="29"/>
  <c r="W791" i="29"/>
  <c r="X791" i="29"/>
  <c r="Y791" i="29"/>
  <c r="Z791" i="29"/>
  <c r="AA791" i="29"/>
  <c r="S792" i="29"/>
  <c r="T792" i="29"/>
  <c r="W792" i="29"/>
  <c r="X792" i="29"/>
  <c r="Y792" i="29"/>
  <c r="Z792" i="29"/>
  <c r="AA792" i="29"/>
  <c r="S793" i="29"/>
  <c r="T793" i="29"/>
  <c r="W793" i="29"/>
  <c r="X793" i="29"/>
  <c r="Y793" i="29"/>
  <c r="Z793" i="29"/>
  <c r="AA793" i="29"/>
  <c r="S794" i="29"/>
  <c r="T794" i="29"/>
  <c r="W794" i="29"/>
  <c r="X794" i="29"/>
  <c r="Y794" i="29"/>
  <c r="Z794" i="29"/>
  <c r="AA794" i="29"/>
  <c r="S795" i="29"/>
  <c r="T795" i="29"/>
  <c r="W795" i="29"/>
  <c r="X795" i="29"/>
  <c r="Y795" i="29"/>
  <c r="Z795" i="29"/>
  <c r="AA795" i="29"/>
  <c r="S796" i="29"/>
  <c r="T796" i="29"/>
  <c r="W796" i="29"/>
  <c r="X796" i="29"/>
  <c r="Y796" i="29"/>
  <c r="Z796" i="29"/>
  <c r="AA796" i="29"/>
  <c r="S797" i="29"/>
  <c r="T797" i="29"/>
  <c r="W797" i="29"/>
  <c r="X797" i="29"/>
  <c r="Y797" i="29"/>
  <c r="Z797" i="29"/>
  <c r="AA797" i="29"/>
  <c r="S798" i="29"/>
  <c r="T798" i="29"/>
  <c r="W798" i="29"/>
  <c r="X798" i="29"/>
  <c r="Y798" i="29"/>
  <c r="Z798" i="29"/>
  <c r="AA798" i="29"/>
  <c r="S799" i="29"/>
  <c r="T799" i="29"/>
  <c r="W799" i="29"/>
  <c r="X799" i="29"/>
  <c r="Y799" i="29"/>
  <c r="Z799" i="29"/>
  <c r="AA799" i="29"/>
  <c r="S800" i="29"/>
  <c r="T800" i="29"/>
  <c r="W800" i="29"/>
  <c r="X800" i="29"/>
  <c r="Y800" i="29"/>
  <c r="Z800" i="29"/>
  <c r="AA800" i="29"/>
  <c r="S801" i="29"/>
  <c r="T801" i="29"/>
  <c r="W801" i="29"/>
  <c r="X801" i="29"/>
  <c r="Y801" i="29"/>
  <c r="Z801" i="29"/>
  <c r="AA801" i="29"/>
  <c r="S802" i="29"/>
  <c r="T802" i="29"/>
  <c r="W802" i="29"/>
  <c r="X802" i="29"/>
  <c r="Y802" i="29"/>
  <c r="Z802" i="29"/>
  <c r="AA802" i="29"/>
  <c r="S803" i="29"/>
  <c r="T803" i="29"/>
  <c r="W803" i="29"/>
  <c r="X803" i="29"/>
  <c r="Y803" i="29"/>
  <c r="Z803" i="29"/>
  <c r="AA803" i="29"/>
  <c r="S804" i="29"/>
  <c r="T804" i="29"/>
  <c r="W804" i="29"/>
  <c r="X804" i="29"/>
  <c r="Y804" i="29"/>
  <c r="Z804" i="29"/>
  <c r="AA804" i="29"/>
  <c r="S805" i="29"/>
  <c r="T805" i="29"/>
  <c r="W805" i="29"/>
  <c r="X805" i="29"/>
  <c r="Y805" i="29"/>
  <c r="Z805" i="29"/>
  <c r="AA805" i="29"/>
  <c r="S806" i="29"/>
  <c r="T806" i="29"/>
  <c r="W806" i="29"/>
  <c r="X806" i="29"/>
  <c r="Y806" i="29"/>
  <c r="Z806" i="29"/>
  <c r="AA806" i="29"/>
  <c r="S807" i="29"/>
  <c r="T807" i="29"/>
  <c r="W807" i="29"/>
  <c r="X807" i="29"/>
  <c r="Y807" i="29"/>
  <c r="Z807" i="29"/>
  <c r="AA807" i="29"/>
  <c r="S808" i="29"/>
  <c r="T808" i="29"/>
  <c r="W808" i="29"/>
  <c r="X808" i="29"/>
  <c r="Y808" i="29"/>
  <c r="Z808" i="29"/>
  <c r="AA808" i="29"/>
  <c r="S809" i="29"/>
  <c r="T809" i="29"/>
  <c r="W809" i="29"/>
  <c r="X809" i="29"/>
  <c r="Y809" i="29"/>
  <c r="Z809" i="29"/>
  <c r="AA809" i="29"/>
  <c r="S810" i="29"/>
  <c r="T810" i="29"/>
  <c r="W810" i="29"/>
  <c r="X810" i="29"/>
  <c r="Y810" i="29"/>
  <c r="Z810" i="29"/>
  <c r="AA810" i="29"/>
  <c r="S811" i="29"/>
  <c r="T811" i="29"/>
  <c r="W811" i="29"/>
  <c r="X811" i="29"/>
  <c r="Y811" i="29"/>
  <c r="Z811" i="29"/>
  <c r="AA811" i="29"/>
  <c r="S812" i="29"/>
  <c r="T812" i="29"/>
  <c r="W812" i="29"/>
  <c r="X812" i="29"/>
  <c r="Y812" i="29"/>
  <c r="Z812" i="29"/>
  <c r="AA812" i="29"/>
  <c r="S813" i="29"/>
  <c r="T813" i="29"/>
  <c r="W813" i="29"/>
  <c r="X813" i="29"/>
  <c r="Y813" i="29"/>
  <c r="Z813" i="29"/>
  <c r="AA813" i="29"/>
  <c r="S814" i="29"/>
  <c r="T814" i="29"/>
  <c r="W814" i="29"/>
  <c r="X814" i="29"/>
  <c r="Y814" i="29"/>
  <c r="Z814" i="29"/>
  <c r="AA814" i="29"/>
  <c r="S815" i="29"/>
  <c r="T815" i="29"/>
  <c r="W815" i="29"/>
  <c r="X815" i="29"/>
  <c r="Y815" i="29"/>
  <c r="Z815" i="29"/>
  <c r="AA815" i="29"/>
  <c r="S816" i="29"/>
  <c r="T816" i="29"/>
  <c r="W816" i="29"/>
  <c r="X816" i="29"/>
  <c r="Y816" i="29"/>
  <c r="Z816" i="29"/>
  <c r="AA816" i="29"/>
  <c r="S817" i="29"/>
  <c r="T817" i="29"/>
  <c r="W817" i="29"/>
  <c r="X817" i="29"/>
  <c r="Y817" i="29"/>
  <c r="Z817" i="29"/>
  <c r="AA817" i="29"/>
  <c r="S818" i="29"/>
  <c r="T818" i="29"/>
  <c r="W818" i="29"/>
  <c r="X818" i="29"/>
  <c r="Y818" i="29"/>
  <c r="Z818" i="29"/>
  <c r="AA818" i="29"/>
  <c r="S819" i="29"/>
  <c r="T819" i="29"/>
  <c r="W819" i="29"/>
  <c r="X819" i="29"/>
  <c r="Y819" i="29"/>
  <c r="Z819" i="29"/>
  <c r="AA819" i="29"/>
  <c r="S820" i="29"/>
  <c r="T820" i="29"/>
  <c r="W820" i="29"/>
  <c r="X820" i="29"/>
  <c r="Y820" i="29"/>
  <c r="Z820" i="29"/>
  <c r="AA820" i="29"/>
  <c r="S821" i="29"/>
  <c r="T821" i="29"/>
  <c r="W821" i="29"/>
  <c r="X821" i="29"/>
  <c r="Y821" i="29"/>
  <c r="Z821" i="29"/>
  <c r="AA821" i="29"/>
  <c r="S822" i="29"/>
  <c r="T822" i="29"/>
  <c r="W822" i="29"/>
  <c r="X822" i="29"/>
  <c r="Y822" i="29"/>
  <c r="Z822" i="29"/>
  <c r="AA822" i="29"/>
  <c r="S823" i="29"/>
  <c r="T823" i="29"/>
  <c r="W823" i="29"/>
  <c r="X823" i="29"/>
  <c r="Y823" i="29"/>
  <c r="Z823" i="29"/>
  <c r="AA823" i="29"/>
  <c r="S824" i="29"/>
  <c r="T824" i="29"/>
  <c r="W824" i="29"/>
  <c r="X824" i="29"/>
  <c r="Y824" i="29"/>
  <c r="Z824" i="29"/>
  <c r="AA824" i="29"/>
  <c r="S825" i="29"/>
  <c r="T825" i="29"/>
  <c r="W825" i="29"/>
  <c r="X825" i="29"/>
  <c r="Y825" i="29"/>
  <c r="Z825" i="29"/>
  <c r="AA825" i="29"/>
  <c r="S826" i="29"/>
  <c r="T826" i="29"/>
  <c r="W826" i="29"/>
  <c r="X826" i="29"/>
  <c r="Y826" i="29"/>
  <c r="Z826" i="29"/>
  <c r="AA826" i="29"/>
  <c r="S827" i="29"/>
  <c r="T827" i="29"/>
  <c r="W827" i="29"/>
  <c r="X827" i="29"/>
  <c r="Y827" i="29"/>
  <c r="Z827" i="29"/>
  <c r="AA827" i="29"/>
  <c r="S828" i="29"/>
  <c r="T828" i="29"/>
  <c r="W828" i="29"/>
  <c r="X828" i="29"/>
  <c r="Y828" i="29"/>
  <c r="Z828" i="29"/>
  <c r="AA828" i="29"/>
  <c r="S829" i="29"/>
  <c r="T829" i="29"/>
  <c r="W829" i="29"/>
  <c r="X829" i="29"/>
  <c r="Y829" i="29"/>
  <c r="Z829" i="29"/>
  <c r="AA829" i="29"/>
  <c r="S830" i="29"/>
  <c r="T830" i="29"/>
  <c r="W830" i="29"/>
  <c r="X830" i="29"/>
  <c r="Y830" i="29"/>
  <c r="Z830" i="29"/>
  <c r="AA830" i="29"/>
  <c r="S831" i="29"/>
  <c r="T831" i="29"/>
  <c r="W831" i="29"/>
  <c r="X831" i="29"/>
  <c r="Y831" i="29"/>
  <c r="Z831" i="29"/>
  <c r="AA831" i="29"/>
  <c r="S832" i="29"/>
  <c r="T832" i="29"/>
  <c r="W832" i="29"/>
  <c r="X832" i="29"/>
  <c r="Y832" i="29"/>
  <c r="Z832" i="29"/>
  <c r="AA832" i="29"/>
  <c r="S833" i="29"/>
  <c r="T833" i="29"/>
  <c r="W833" i="29"/>
  <c r="X833" i="29"/>
  <c r="Y833" i="29"/>
  <c r="Z833" i="29"/>
  <c r="AA833" i="29"/>
  <c r="S834" i="29"/>
  <c r="T834" i="29"/>
  <c r="W834" i="29"/>
  <c r="X834" i="29"/>
  <c r="Y834" i="29"/>
  <c r="Z834" i="29"/>
  <c r="AA834" i="29"/>
  <c r="S835" i="29"/>
  <c r="T835" i="29"/>
  <c r="W835" i="29"/>
  <c r="X835" i="29"/>
  <c r="Y835" i="29"/>
  <c r="Z835" i="29"/>
  <c r="AA835" i="29"/>
  <c r="S836" i="29"/>
  <c r="T836" i="29"/>
  <c r="W836" i="29"/>
  <c r="X836" i="29"/>
  <c r="Y836" i="29"/>
  <c r="Z836" i="29"/>
  <c r="AA836" i="29"/>
  <c r="S837" i="29"/>
  <c r="T837" i="29"/>
  <c r="W837" i="29"/>
  <c r="X837" i="29"/>
  <c r="Y837" i="29"/>
  <c r="Z837" i="29"/>
  <c r="AA837" i="29"/>
  <c r="S838" i="29"/>
  <c r="T838" i="29"/>
  <c r="W838" i="29"/>
  <c r="X838" i="29"/>
  <c r="Y838" i="29"/>
  <c r="Z838" i="29"/>
  <c r="AA838" i="29"/>
  <c r="S839" i="29"/>
  <c r="T839" i="29"/>
  <c r="W839" i="29"/>
  <c r="X839" i="29"/>
  <c r="Y839" i="29"/>
  <c r="Z839" i="29"/>
  <c r="AA839" i="29"/>
  <c r="S840" i="29"/>
  <c r="T840" i="29"/>
  <c r="W840" i="29"/>
  <c r="X840" i="29"/>
  <c r="Y840" i="29"/>
  <c r="Z840" i="29"/>
  <c r="AA840" i="29"/>
  <c r="S841" i="29"/>
  <c r="T841" i="29"/>
  <c r="W841" i="29"/>
  <c r="X841" i="29"/>
  <c r="Y841" i="29"/>
  <c r="Z841" i="29"/>
  <c r="AA841" i="29"/>
  <c r="S842" i="29"/>
  <c r="T842" i="29"/>
  <c r="W842" i="29"/>
  <c r="X842" i="29"/>
  <c r="Y842" i="29"/>
  <c r="Z842" i="29"/>
  <c r="AA842" i="29"/>
  <c r="S843" i="29"/>
  <c r="T843" i="29"/>
  <c r="W843" i="29"/>
  <c r="X843" i="29"/>
  <c r="Y843" i="29"/>
  <c r="Z843" i="29"/>
  <c r="AA843" i="29"/>
  <c r="S844" i="29"/>
  <c r="T844" i="29"/>
  <c r="W844" i="29"/>
  <c r="X844" i="29"/>
  <c r="Y844" i="29"/>
  <c r="Z844" i="29"/>
  <c r="AA844" i="29"/>
  <c r="S845" i="29"/>
  <c r="T845" i="29"/>
  <c r="W845" i="29"/>
  <c r="X845" i="29"/>
  <c r="Y845" i="29"/>
  <c r="Z845" i="29"/>
  <c r="AA845" i="29"/>
  <c r="S846" i="29"/>
  <c r="T846" i="29"/>
  <c r="W846" i="29"/>
  <c r="X846" i="29"/>
  <c r="Y846" i="29"/>
  <c r="Z846" i="29"/>
  <c r="AA846" i="29"/>
  <c r="S847" i="29"/>
  <c r="T847" i="29"/>
  <c r="W847" i="29"/>
  <c r="X847" i="29"/>
  <c r="Y847" i="29"/>
  <c r="Z847" i="29"/>
  <c r="AA847" i="29"/>
  <c r="S848" i="29"/>
  <c r="T848" i="29"/>
  <c r="W848" i="29"/>
  <c r="X848" i="29"/>
  <c r="Y848" i="29"/>
  <c r="Z848" i="29"/>
  <c r="AA848" i="29"/>
  <c r="S849" i="29"/>
  <c r="T849" i="29"/>
  <c r="W849" i="29"/>
  <c r="X849" i="29"/>
  <c r="Y849" i="29"/>
  <c r="Z849" i="29"/>
  <c r="AA849" i="29"/>
  <c r="S850" i="29"/>
  <c r="T850" i="29"/>
  <c r="W850" i="29"/>
  <c r="X850" i="29"/>
  <c r="Y850" i="29"/>
  <c r="Z850" i="29"/>
  <c r="AA850" i="29"/>
  <c r="S851" i="29"/>
  <c r="T851" i="29"/>
  <c r="W851" i="29"/>
  <c r="X851" i="29"/>
  <c r="Y851" i="29"/>
  <c r="Z851" i="29"/>
  <c r="AA851" i="29"/>
  <c r="S852" i="29"/>
  <c r="T852" i="29"/>
  <c r="W852" i="29"/>
  <c r="X852" i="29"/>
  <c r="Y852" i="29"/>
  <c r="Z852" i="29"/>
  <c r="AA852" i="29"/>
  <c r="S853" i="29"/>
  <c r="T853" i="29"/>
  <c r="W853" i="29"/>
  <c r="X853" i="29"/>
  <c r="Y853" i="29"/>
  <c r="Z853" i="29"/>
  <c r="AA853" i="29"/>
  <c r="S854" i="29"/>
  <c r="T854" i="29"/>
  <c r="W854" i="29"/>
  <c r="X854" i="29"/>
  <c r="Y854" i="29"/>
  <c r="Z854" i="29"/>
  <c r="AA854" i="29"/>
  <c r="S855" i="29"/>
  <c r="T855" i="29"/>
  <c r="W855" i="29"/>
  <c r="X855" i="29"/>
  <c r="Y855" i="29"/>
  <c r="Z855" i="29"/>
  <c r="AA855" i="29"/>
  <c r="S856" i="29"/>
  <c r="T856" i="29"/>
  <c r="W856" i="29"/>
  <c r="X856" i="29"/>
  <c r="Y856" i="29"/>
  <c r="Z856" i="29"/>
  <c r="AA856" i="29"/>
  <c r="S857" i="29"/>
  <c r="T857" i="29"/>
  <c r="W857" i="29"/>
  <c r="X857" i="29"/>
  <c r="Y857" i="29"/>
  <c r="Z857" i="29"/>
  <c r="AA857" i="29"/>
  <c r="S858" i="29"/>
  <c r="T858" i="29"/>
  <c r="W858" i="29"/>
  <c r="X858" i="29"/>
  <c r="Y858" i="29"/>
  <c r="Z858" i="29"/>
  <c r="AA858" i="29"/>
  <c r="S859" i="29"/>
  <c r="T859" i="29"/>
  <c r="W859" i="29"/>
  <c r="X859" i="29"/>
  <c r="Y859" i="29"/>
  <c r="Z859" i="29"/>
  <c r="AA859" i="29"/>
  <c r="S860" i="29"/>
  <c r="T860" i="29"/>
  <c r="W860" i="29"/>
  <c r="X860" i="29"/>
  <c r="Y860" i="29"/>
  <c r="Z860" i="29"/>
  <c r="AA860" i="29"/>
  <c r="S861" i="29"/>
  <c r="T861" i="29"/>
  <c r="W861" i="29"/>
  <c r="X861" i="29"/>
  <c r="Y861" i="29"/>
  <c r="Z861" i="29"/>
  <c r="AA861" i="29"/>
  <c r="S862" i="29"/>
  <c r="T862" i="29"/>
  <c r="W862" i="29"/>
  <c r="X862" i="29"/>
  <c r="Y862" i="29"/>
  <c r="Z862" i="29"/>
  <c r="AA862" i="29"/>
  <c r="S863" i="29"/>
  <c r="T863" i="29"/>
  <c r="W863" i="29"/>
  <c r="X863" i="29"/>
  <c r="Y863" i="29"/>
  <c r="Z863" i="29"/>
  <c r="AA863" i="29"/>
  <c r="S864" i="29"/>
  <c r="T864" i="29"/>
  <c r="W864" i="29"/>
  <c r="X864" i="29"/>
  <c r="Y864" i="29"/>
  <c r="Z864" i="29"/>
  <c r="AA864" i="29"/>
  <c r="S865" i="29"/>
  <c r="T865" i="29"/>
  <c r="W865" i="29"/>
  <c r="X865" i="29"/>
  <c r="Y865" i="29"/>
  <c r="Z865" i="29"/>
  <c r="AA865" i="29"/>
  <c r="S866" i="29"/>
  <c r="T866" i="29"/>
  <c r="W866" i="29"/>
  <c r="X866" i="29"/>
  <c r="Y866" i="29"/>
  <c r="Z866" i="29"/>
  <c r="AA866" i="29"/>
  <c r="S867" i="29"/>
  <c r="T867" i="29"/>
  <c r="W867" i="29"/>
  <c r="X867" i="29"/>
  <c r="Y867" i="29"/>
  <c r="Z867" i="29"/>
  <c r="AA867" i="29"/>
  <c r="S868" i="29"/>
  <c r="T868" i="29"/>
  <c r="W868" i="29"/>
  <c r="X868" i="29"/>
  <c r="Y868" i="29"/>
  <c r="Z868" i="29"/>
  <c r="AA868" i="29"/>
  <c r="S869" i="29"/>
  <c r="T869" i="29"/>
  <c r="W869" i="29"/>
  <c r="X869" i="29"/>
  <c r="Y869" i="29"/>
  <c r="Z869" i="29"/>
  <c r="AA869" i="29"/>
  <c r="S870" i="29"/>
  <c r="T870" i="29"/>
  <c r="W870" i="29"/>
  <c r="X870" i="29"/>
  <c r="Y870" i="29"/>
  <c r="Z870" i="29"/>
  <c r="AA870" i="29"/>
  <c r="S871" i="29"/>
  <c r="T871" i="29"/>
  <c r="W871" i="29"/>
  <c r="X871" i="29"/>
  <c r="Y871" i="29"/>
  <c r="Z871" i="29"/>
  <c r="AA871" i="29"/>
  <c r="S872" i="29"/>
  <c r="T872" i="29"/>
  <c r="W872" i="29"/>
  <c r="X872" i="29"/>
  <c r="Y872" i="29"/>
  <c r="Z872" i="29"/>
  <c r="AA872" i="29"/>
  <c r="S873" i="29"/>
  <c r="T873" i="29"/>
  <c r="W873" i="29"/>
  <c r="X873" i="29"/>
  <c r="Y873" i="29"/>
  <c r="Z873" i="29"/>
  <c r="AA873" i="29"/>
  <c r="S874" i="29"/>
  <c r="T874" i="29"/>
  <c r="W874" i="29"/>
  <c r="X874" i="29"/>
  <c r="Y874" i="29"/>
  <c r="Z874" i="29"/>
  <c r="AA874" i="29"/>
  <c r="S875" i="29"/>
  <c r="T875" i="29"/>
  <c r="W875" i="29"/>
  <c r="X875" i="29"/>
  <c r="Y875" i="29"/>
  <c r="Z875" i="29"/>
  <c r="AA875" i="29"/>
  <c r="S876" i="29"/>
  <c r="T876" i="29"/>
  <c r="W876" i="29"/>
  <c r="X876" i="29"/>
  <c r="Y876" i="29"/>
  <c r="Z876" i="29"/>
  <c r="AA876" i="29"/>
  <c r="S877" i="29"/>
  <c r="T877" i="29"/>
  <c r="W877" i="29"/>
  <c r="X877" i="29"/>
  <c r="Y877" i="29"/>
  <c r="Z877" i="29"/>
  <c r="AA877" i="29"/>
  <c r="S878" i="29"/>
  <c r="T878" i="29"/>
  <c r="W878" i="29"/>
  <c r="X878" i="29"/>
  <c r="Y878" i="29"/>
  <c r="Z878" i="29"/>
  <c r="AA878" i="29"/>
  <c r="S879" i="29"/>
  <c r="T879" i="29"/>
  <c r="W879" i="29"/>
  <c r="X879" i="29"/>
  <c r="Y879" i="29"/>
  <c r="Z879" i="29"/>
  <c r="AA879" i="29"/>
  <c r="S880" i="29"/>
  <c r="T880" i="29"/>
  <c r="W880" i="29"/>
  <c r="X880" i="29"/>
  <c r="Y880" i="29"/>
  <c r="Z880" i="29"/>
  <c r="AA880" i="29"/>
  <c r="S881" i="29"/>
  <c r="T881" i="29"/>
  <c r="W881" i="29"/>
  <c r="X881" i="29"/>
  <c r="Y881" i="29"/>
  <c r="Z881" i="29"/>
  <c r="AA881" i="29"/>
  <c r="S882" i="29"/>
  <c r="T882" i="29"/>
  <c r="W882" i="29"/>
  <c r="X882" i="29"/>
  <c r="Y882" i="29"/>
  <c r="Z882" i="29"/>
  <c r="AA882" i="29"/>
  <c r="S883" i="29"/>
  <c r="T883" i="29"/>
  <c r="W883" i="29"/>
  <c r="X883" i="29"/>
  <c r="Y883" i="29"/>
  <c r="Z883" i="29"/>
  <c r="AA883" i="29"/>
  <c r="S884" i="29"/>
  <c r="T884" i="29"/>
  <c r="W884" i="29"/>
  <c r="X884" i="29"/>
  <c r="Y884" i="29"/>
  <c r="Z884" i="29"/>
  <c r="AA884" i="29"/>
  <c r="S885" i="29"/>
  <c r="T885" i="29"/>
  <c r="W885" i="29"/>
  <c r="X885" i="29"/>
  <c r="Y885" i="29"/>
  <c r="Z885" i="29"/>
  <c r="AA885" i="29"/>
  <c r="S886" i="29"/>
  <c r="T886" i="29"/>
  <c r="W886" i="29"/>
  <c r="X886" i="29"/>
  <c r="Y886" i="29"/>
  <c r="Z886" i="29"/>
  <c r="AA886" i="29"/>
  <c r="S887" i="29"/>
  <c r="T887" i="29"/>
  <c r="W887" i="29"/>
  <c r="X887" i="29"/>
  <c r="Y887" i="29"/>
  <c r="Z887" i="29"/>
  <c r="AA887" i="29"/>
  <c r="S888" i="29"/>
  <c r="T888" i="29"/>
  <c r="W888" i="29"/>
  <c r="X888" i="29"/>
  <c r="Y888" i="29"/>
  <c r="Z888" i="29"/>
  <c r="AA888" i="29"/>
  <c r="S889" i="29"/>
  <c r="T889" i="29"/>
  <c r="W889" i="29"/>
  <c r="X889" i="29"/>
  <c r="Y889" i="29"/>
  <c r="Z889" i="29"/>
  <c r="AA889" i="29"/>
  <c r="S890" i="29"/>
  <c r="T890" i="29"/>
  <c r="W890" i="29"/>
  <c r="X890" i="29"/>
  <c r="Y890" i="29"/>
  <c r="Z890" i="29"/>
  <c r="AA890" i="29"/>
  <c r="S891" i="29"/>
  <c r="T891" i="29"/>
  <c r="W891" i="29"/>
  <c r="X891" i="29"/>
  <c r="Y891" i="29"/>
  <c r="Z891" i="29"/>
  <c r="AA891" i="29"/>
  <c r="S892" i="29"/>
  <c r="T892" i="29"/>
  <c r="W892" i="29"/>
  <c r="X892" i="29"/>
  <c r="Y892" i="29"/>
  <c r="Z892" i="29"/>
  <c r="AA892" i="29"/>
  <c r="S893" i="29"/>
  <c r="T893" i="29"/>
  <c r="W893" i="29"/>
  <c r="X893" i="29"/>
  <c r="Y893" i="29"/>
  <c r="Z893" i="29"/>
  <c r="AA893" i="29"/>
  <c r="S894" i="29"/>
  <c r="T894" i="29"/>
  <c r="W894" i="29"/>
  <c r="X894" i="29"/>
  <c r="Y894" i="29"/>
  <c r="Z894" i="29"/>
  <c r="AA894" i="29"/>
  <c r="S895" i="29"/>
  <c r="T895" i="29"/>
  <c r="W895" i="29"/>
  <c r="X895" i="29"/>
  <c r="Y895" i="29"/>
  <c r="Z895" i="29"/>
  <c r="AA895" i="29"/>
  <c r="S896" i="29"/>
  <c r="T896" i="29"/>
  <c r="W896" i="29"/>
  <c r="X896" i="29"/>
  <c r="Y896" i="29"/>
  <c r="Z896" i="29"/>
  <c r="AA896" i="29"/>
  <c r="S897" i="29"/>
  <c r="T897" i="29"/>
  <c r="W897" i="29"/>
  <c r="X897" i="29"/>
  <c r="Y897" i="29"/>
  <c r="Z897" i="29"/>
  <c r="AA897" i="29"/>
  <c r="S898" i="29"/>
  <c r="T898" i="29"/>
  <c r="W898" i="29"/>
  <c r="X898" i="29"/>
  <c r="Y898" i="29"/>
  <c r="Z898" i="29"/>
  <c r="AA898" i="29"/>
  <c r="S899" i="29"/>
  <c r="T899" i="29"/>
  <c r="W899" i="29"/>
  <c r="X899" i="29"/>
  <c r="Y899" i="29"/>
  <c r="Z899" i="29"/>
  <c r="AA899" i="29"/>
  <c r="S900" i="29"/>
  <c r="T900" i="29"/>
  <c r="W900" i="29"/>
  <c r="X900" i="29"/>
  <c r="Y900" i="29"/>
  <c r="Z900" i="29"/>
  <c r="AA900" i="29"/>
  <c r="S901" i="29"/>
  <c r="T901" i="29"/>
  <c r="W901" i="29"/>
  <c r="X901" i="29"/>
  <c r="Y901" i="29"/>
  <c r="Z901" i="29"/>
  <c r="AA901" i="29"/>
  <c r="S902" i="29"/>
  <c r="T902" i="29"/>
  <c r="W902" i="29"/>
  <c r="X902" i="29"/>
  <c r="Y902" i="29"/>
  <c r="Z902" i="29"/>
  <c r="AA902" i="29"/>
  <c r="S903" i="29"/>
  <c r="T903" i="29"/>
  <c r="W903" i="29"/>
  <c r="X903" i="29"/>
  <c r="Y903" i="29"/>
  <c r="Z903" i="29"/>
  <c r="AA903" i="29"/>
  <c r="S904" i="29"/>
  <c r="T904" i="29"/>
  <c r="W904" i="29"/>
  <c r="X904" i="29"/>
  <c r="Y904" i="29"/>
  <c r="Z904" i="29"/>
  <c r="AA904" i="29"/>
  <c r="S905" i="29"/>
  <c r="T905" i="29"/>
  <c r="W905" i="29"/>
  <c r="X905" i="29"/>
  <c r="Y905" i="29"/>
  <c r="Z905" i="29"/>
  <c r="AA905" i="29"/>
  <c r="S906" i="29"/>
  <c r="T906" i="29"/>
  <c r="W906" i="29"/>
  <c r="X906" i="29"/>
  <c r="Y906" i="29"/>
  <c r="Z906" i="29"/>
  <c r="AA906" i="29"/>
  <c r="S907" i="29"/>
  <c r="T907" i="29"/>
  <c r="W907" i="29"/>
  <c r="X907" i="29"/>
  <c r="Y907" i="29"/>
  <c r="Z907" i="29"/>
  <c r="AA907" i="29"/>
  <c r="S908" i="29"/>
  <c r="T908" i="29"/>
  <c r="W908" i="29"/>
  <c r="X908" i="29"/>
  <c r="Y908" i="29"/>
  <c r="Z908" i="29"/>
  <c r="AA908" i="29"/>
  <c r="S909" i="29"/>
  <c r="T909" i="29"/>
  <c r="W909" i="29"/>
  <c r="X909" i="29"/>
  <c r="Y909" i="29"/>
  <c r="Z909" i="29"/>
  <c r="AA909" i="29"/>
  <c r="S910" i="29"/>
  <c r="T910" i="29"/>
  <c r="W910" i="29"/>
  <c r="X910" i="29"/>
  <c r="Y910" i="29"/>
  <c r="Z910" i="29"/>
  <c r="AA910" i="29"/>
  <c r="S911" i="29"/>
  <c r="T911" i="29"/>
  <c r="W911" i="29"/>
  <c r="X911" i="29"/>
  <c r="Y911" i="29"/>
  <c r="Z911" i="29"/>
  <c r="AA911" i="29"/>
  <c r="S912" i="29"/>
  <c r="T912" i="29"/>
  <c r="W912" i="29"/>
  <c r="X912" i="29"/>
  <c r="Y912" i="29"/>
  <c r="Z912" i="29"/>
  <c r="AA912" i="29"/>
  <c r="S913" i="29"/>
  <c r="T913" i="29"/>
  <c r="W913" i="29"/>
  <c r="X913" i="29"/>
  <c r="Y913" i="29"/>
  <c r="Z913" i="29"/>
  <c r="AA913" i="29"/>
  <c r="S914" i="29"/>
  <c r="T914" i="29"/>
  <c r="W914" i="29"/>
  <c r="X914" i="29"/>
  <c r="Y914" i="29"/>
  <c r="Z914" i="29"/>
  <c r="AA914" i="29"/>
  <c r="S915" i="29"/>
  <c r="T915" i="29"/>
  <c r="W915" i="29"/>
  <c r="X915" i="29"/>
  <c r="Y915" i="29"/>
  <c r="Z915" i="29"/>
  <c r="AA915" i="29"/>
  <c r="S916" i="29"/>
  <c r="T916" i="29"/>
  <c r="W916" i="29"/>
  <c r="X916" i="29"/>
  <c r="Y916" i="29"/>
  <c r="Z916" i="29"/>
  <c r="AA916" i="29"/>
  <c r="S917" i="29"/>
  <c r="T917" i="29"/>
  <c r="W917" i="29"/>
  <c r="X917" i="29"/>
  <c r="Y917" i="29"/>
  <c r="Z917" i="29"/>
  <c r="AA917" i="29"/>
  <c r="Y4" i="29" l="1"/>
  <c r="W4" i="29"/>
  <c r="S4" i="29" l="1"/>
  <c r="T4" i="29"/>
  <c r="X4" i="29"/>
  <c r="Z4" i="29"/>
  <c r="AA4" i="29"/>
  <c r="N2" i="30" l="1"/>
  <c r="U259" i="29"/>
  <c r="U340" i="29"/>
  <c r="V201" i="29"/>
  <c r="V134" i="29"/>
  <c r="V337" i="29"/>
  <c r="U744" i="29"/>
  <c r="V192" i="29"/>
  <c r="U420" i="29"/>
  <c r="U404" i="29"/>
  <c r="V214" i="29"/>
  <c r="V353" i="29"/>
  <c r="U556" i="29"/>
  <c r="U344" i="29"/>
  <c r="V668" i="29"/>
  <c r="V802" i="29"/>
  <c r="U186" i="29"/>
  <c r="U96" i="29"/>
  <c r="V200" i="29"/>
  <c r="V377" i="29"/>
  <c r="V246" i="29"/>
  <c r="U134" i="29"/>
  <c r="U61" i="29"/>
  <c r="U643" i="29"/>
  <c r="V88" i="29"/>
  <c r="V8" i="29"/>
  <c r="V390" i="29"/>
  <c r="V144" i="29"/>
  <c r="U860" i="29"/>
  <c r="U191" i="29"/>
  <c r="U469" i="29"/>
  <c r="U795" i="29"/>
  <c r="U752" i="29"/>
  <c r="U292" i="29"/>
  <c r="U215" i="29"/>
  <c r="V231" i="29"/>
  <c r="U351" i="29"/>
  <c r="U628" i="29"/>
  <c r="V165" i="29"/>
  <c r="U503" i="29"/>
  <c r="U255" i="29"/>
  <c r="V577" i="29"/>
  <c r="U149" i="29"/>
  <c r="U514" i="29"/>
  <c r="U123" i="29"/>
  <c r="U874" i="29"/>
  <c r="U881" i="29"/>
  <c r="U120" i="29"/>
  <c r="U183" i="29"/>
  <c r="U675" i="29"/>
  <c r="V157" i="29"/>
  <c r="U210" i="29"/>
  <c r="V421" i="29"/>
  <c r="V792" i="29"/>
  <c r="U69" i="29"/>
  <c r="U214" i="29"/>
  <c r="U472" i="29"/>
  <c r="U780" i="29"/>
  <c r="V228" i="29"/>
  <c r="V203" i="29"/>
  <c r="V406" i="29"/>
  <c r="U73" i="29"/>
  <c r="V767" i="29"/>
  <c r="U197" i="29"/>
  <c r="U482" i="29"/>
  <c r="V454" i="29"/>
  <c r="V41" i="29"/>
  <c r="U883" i="29"/>
  <c r="U710" i="29"/>
  <c r="U836" i="29"/>
  <c r="V864" i="29"/>
  <c r="U380" i="29"/>
  <c r="V166" i="29"/>
  <c r="U175" i="29"/>
  <c r="U641" i="29"/>
  <c r="V490" i="29"/>
  <c r="U816" i="29"/>
  <c r="U748" i="29"/>
  <c r="U14" i="29"/>
  <c r="U494" i="29"/>
  <c r="V181" i="29"/>
  <c r="U302" i="29"/>
  <c r="U372" i="29"/>
  <c r="V258" i="29"/>
  <c r="V461" i="29"/>
  <c r="U812" i="29"/>
  <c r="U763" i="29"/>
  <c r="V747" i="29"/>
  <c r="U865" i="29"/>
  <c r="U474" i="29"/>
  <c r="U884" i="29"/>
  <c r="U736" i="29"/>
  <c r="U778" i="29"/>
  <c r="U19" i="29"/>
  <c r="U164" i="29"/>
  <c r="V89" i="29"/>
  <c r="U466" i="29"/>
  <c r="U459" i="29"/>
  <c r="U632" i="29"/>
  <c r="U396" i="29"/>
  <c r="V500" i="29"/>
  <c r="U228" i="29"/>
  <c r="V102" i="29"/>
  <c r="V49" i="29"/>
  <c r="U317" i="29"/>
  <c r="U168" i="29"/>
  <c r="V550" i="29"/>
  <c r="U650" i="29"/>
  <c r="V13" i="29"/>
  <c r="U742" i="29"/>
  <c r="V271" i="29"/>
  <c r="U311" i="29"/>
  <c r="H146" i="29"/>
  <c r="U20" i="29"/>
  <c r="V486" i="29"/>
  <c r="V432" i="29"/>
  <c r="U569" i="29"/>
  <c r="V674" i="29"/>
  <c r="V475" i="29"/>
  <c r="V369" i="29"/>
  <c r="U59" i="29"/>
  <c r="V410" i="29"/>
  <c r="V761" i="29"/>
  <c r="V210" i="29"/>
  <c r="V477" i="29"/>
  <c r="V508" i="29"/>
  <c r="U397" i="29"/>
  <c r="U914" i="29"/>
  <c r="U48" i="29"/>
  <c r="U442" i="29"/>
  <c r="V169" i="29"/>
  <c r="U520" i="29"/>
  <c r="U308" i="29"/>
  <c r="V118" i="29"/>
  <c r="U6" i="29"/>
  <c r="U716" i="29"/>
  <c r="U572" i="29"/>
  <c r="U731" i="29"/>
  <c r="V882" i="29"/>
  <c r="V386" i="29"/>
  <c r="V431" i="29"/>
  <c r="V346" i="29"/>
  <c r="V193" i="29"/>
  <c r="V464" i="29"/>
  <c r="U352" i="29"/>
  <c r="V361" i="29"/>
  <c r="V345" i="29"/>
  <c r="U696" i="29"/>
  <c r="U155" i="29"/>
  <c r="V294" i="29"/>
  <c r="V497" i="29"/>
  <c r="U33" i="29"/>
  <c r="U400" i="29"/>
  <c r="V183" i="29"/>
  <c r="V7" i="29"/>
  <c r="U24" i="29"/>
  <c r="U761" i="29"/>
  <c r="V50" i="29"/>
  <c r="V630" i="29"/>
  <c r="V438" i="29"/>
  <c r="V563" i="29"/>
  <c r="U253" i="29"/>
  <c r="V562" i="29"/>
  <c r="U87" i="29"/>
  <c r="U312" i="29"/>
  <c r="U205" i="29"/>
  <c r="U10" i="29"/>
  <c r="U332" i="29"/>
  <c r="U768" i="29"/>
  <c r="V649" i="29"/>
  <c r="V775" i="29"/>
  <c r="V617" i="29"/>
  <c r="V520" i="29"/>
  <c r="U720" i="29"/>
  <c r="V141" i="29"/>
  <c r="U148" i="29"/>
  <c r="U376" i="29"/>
  <c r="V237" i="29"/>
  <c r="U880" i="29"/>
  <c r="V370" i="29"/>
  <c r="U510" i="29"/>
  <c r="V205" i="29"/>
  <c r="U600" i="29"/>
  <c r="U108" i="29"/>
  <c r="V659" i="29"/>
  <c r="V705" i="29"/>
  <c r="V846" i="29"/>
  <c r="V536" i="29"/>
  <c r="U532" i="29"/>
  <c r="U704" i="29"/>
  <c r="U395" i="29"/>
  <c r="V850" i="29"/>
  <c r="V17" i="29"/>
  <c r="V329" i="29"/>
  <c r="V326" i="29"/>
  <c r="U236" i="29"/>
  <c r="V289" i="29"/>
  <c r="V30" i="29"/>
  <c r="V265" i="29"/>
  <c r="U193" i="29"/>
  <c r="U652" i="29"/>
  <c r="V100" i="29"/>
  <c r="V146" i="29"/>
  <c r="U382" i="29"/>
  <c r="U233" i="29"/>
  <c r="V138" i="29"/>
  <c r="U427" i="29"/>
  <c r="V483" i="29"/>
  <c r="U438" i="29"/>
  <c r="V770" i="29"/>
  <c r="U273" i="29"/>
  <c r="V360" i="29"/>
  <c r="U167" i="29"/>
  <c r="V714" i="29"/>
  <c r="U799" i="29"/>
  <c r="V98" i="29"/>
  <c r="V301" i="29"/>
  <c r="V332" i="29"/>
  <c r="U747" i="29"/>
  <c r="V525" i="29"/>
  <c r="U275" i="29"/>
  <c r="V652" i="29"/>
  <c r="V57" i="29"/>
  <c r="U153" i="29"/>
  <c r="U132" i="29"/>
  <c r="U417" i="29"/>
  <c r="V209" i="29"/>
  <c r="V263" i="29"/>
  <c r="V336" i="29"/>
  <c r="V579" i="29"/>
  <c r="U808" i="29"/>
  <c r="U580" i="29"/>
  <c r="V433" i="29"/>
  <c r="V347" i="29"/>
  <c r="U615" i="29"/>
  <c r="G233" i="29"/>
  <c r="U722" i="29"/>
  <c r="V916" i="29"/>
  <c r="U900" i="29"/>
  <c r="V627" i="29"/>
  <c r="U461" i="29"/>
  <c r="V824" i="29"/>
  <c r="V452" i="29"/>
  <c r="U295" i="29"/>
  <c r="V428" i="29"/>
  <c r="U316" i="29"/>
  <c r="U266" i="29"/>
  <c r="U58" i="29"/>
  <c r="V560" i="29"/>
  <c r="U226" i="29"/>
  <c r="U135" i="29"/>
  <c r="V73" i="29"/>
  <c r="U680" i="29"/>
  <c r="V476" i="29"/>
  <c r="U287" i="29"/>
  <c r="U672" i="29"/>
  <c r="U455" i="29"/>
  <c r="V394" i="29"/>
  <c r="V541" i="29"/>
  <c r="U280" i="29"/>
  <c r="U536" i="29"/>
  <c r="U300" i="29"/>
  <c r="U506" i="29"/>
  <c r="U485" i="29"/>
  <c r="U117" i="29"/>
  <c r="U293" i="29"/>
  <c r="V22" i="29"/>
  <c r="V249" i="29"/>
  <c r="U856" i="29"/>
  <c r="U364" i="29"/>
  <c r="U124" i="29"/>
  <c r="U694" i="29"/>
  <c r="U157" i="29"/>
  <c r="U267" i="29"/>
  <c r="U825" i="29"/>
  <c r="V21" i="29"/>
  <c r="U71" i="29"/>
  <c r="U243" i="29"/>
  <c r="U489" i="29"/>
  <c r="U681" i="29"/>
  <c r="V117" i="29"/>
  <c r="U521" i="29"/>
  <c r="U480" i="29"/>
  <c r="V481" i="29"/>
  <c r="U296" i="29"/>
  <c r="U796" i="29"/>
  <c r="U432" i="29"/>
  <c r="U772" i="29"/>
  <c r="U52" i="29"/>
  <c r="V619" i="29"/>
  <c r="V537" i="29"/>
  <c r="V281" i="29"/>
  <c r="U384" i="29"/>
  <c r="V488" i="29"/>
  <c r="U441" i="29"/>
  <c r="U310" i="29"/>
  <c r="U770" i="29"/>
  <c r="U604" i="29"/>
  <c r="U433" i="29"/>
  <c r="U564" i="29"/>
  <c r="U72" i="29"/>
  <c r="U171" i="29"/>
  <c r="V109" i="29"/>
  <c r="U435" i="29"/>
  <c r="U268" i="29"/>
  <c r="U896" i="29"/>
  <c r="V594" i="29"/>
  <c r="U471" i="29"/>
  <c r="V610" i="29"/>
  <c r="U349" i="29"/>
  <c r="U785" i="29"/>
  <c r="U195" i="29"/>
  <c r="V499" i="29"/>
  <c r="U612" i="29"/>
  <c r="U502" i="29"/>
  <c r="U156" i="29"/>
  <c r="V404" i="29"/>
  <c r="U325" i="29"/>
  <c r="V580" i="29"/>
  <c r="U443" i="29"/>
  <c r="V592" i="29"/>
  <c r="U373" i="29"/>
  <c r="V517" i="29"/>
  <c r="U333" i="29"/>
  <c r="V71" i="29"/>
  <c r="V338" i="29"/>
  <c r="V753" i="29"/>
  <c r="U25" i="29"/>
  <c r="V196" i="29"/>
  <c r="U99" i="29"/>
  <c r="U869" i="29"/>
  <c r="U105" i="29"/>
  <c r="U640" i="29"/>
  <c r="U223" i="29"/>
  <c r="V38" i="29"/>
  <c r="V809" i="29"/>
  <c r="U745" i="29"/>
  <c r="U12" i="29"/>
  <c r="V469" i="29"/>
  <c r="U74" i="29"/>
  <c r="U784" i="29"/>
  <c r="U50" i="29"/>
  <c r="V466" i="29"/>
  <c r="V284" i="29"/>
  <c r="V380" i="29"/>
  <c r="V300" i="29"/>
  <c r="U303" i="29"/>
  <c r="V436" i="29"/>
  <c r="U279" i="29"/>
  <c r="V120" i="29"/>
  <c r="U629" i="29"/>
  <c r="U88" i="29"/>
  <c r="U408" i="29"/>
  <c r="V893" i="29"/>
  <c r="V608" i="29"/>
  <c r="U49" i="29"/>
  <c r="V414" i="29"/>
  <c r="U41" i="29"/>
  <c r="U277" i="29"/>
  <c r="V168" i="29"/>
  <c r="V152" i="29"/>
  <c r="U322" i="29"/>
  <c r="U242" i="29"/>
  <c r="U387" i="29"/>
  <c r="V252" i="29"/>
  <c r="U872" i="29"/>
  <c r="V697" i="29"/>
  <c r="V510" i="29"/>
  <c r="U651" i="29"/>
  <c r="V750" i="29"/>
  <c r="V690" i="29"/>
  <c r="U353" i="29"/>
  <c r="U204" i="29"/>
  <c r="U217" i="29"/>
  <c r="V137" i="29"/>
  <c r="V344" i="29"/>
  <c r="V264" i="29"/>
  <c r="V182" i="29"/>
  <c r="U418" i="29"/>
  <c r="U224" i="29"/>
  <c r="U678" i="29"/>
  <c r="U189" i="29"/>
  <c r="U527" i="29"/>
  <c r="U307" i="29"/>
  <c r="U854" i="29"/>
  <c r="V883" i="29"/>
  <c r="V877" i="29"/>
  <c r="V385" i="29"/>
  <c r="V895" i="29"/>
  <c r="U481" i="29"/>
  <c r="U254" i="29"/>
  <c r="U439" i="29"/>
  <c r="U200" i="29"/>
  <c r="V125" i="29"/>
  <c r="V142" i="29"/>
  <c r="U451" i="29"/>
  <c r="U334" i="29"/>
  <c r="V93" i="29"/>
  <c r="V492" i="29"/>
  <c r="V220" i="29"/>
  <c r="U639" i="29"/>
  <c r="V760" i="29"/>
  <c r="U450" i="29"/>
  <c r="U379" i="29"/>
  <c r="V914" i="29"/>
  <c r="U257" i="29"/>
  <c r="V20" i="29"/>
  <c r="V132" i="29"/>
  <c r="U398" i="29"/>
  <c r="U126" i="29"/>
  <c r="U399" i="29"/>
  <c r="U232" i="29"/>
  <c r="U486" i="29"/>
  <c r="U278" i="29"/>
  <c r="U321" i="29"/>
  <c r="U446" i="29"/>
  <c r="V626" i="29"/>
  <c r="U142" i="29"/>
  <c r="U463" i="29"/>
  <c r="V297" i="29"/>
  <c r="U309" i="29"/>
  <c r="U178" i="29"/>
  <c r="U436" i="29"/>
  <c r="V412" i="29"/>
  <c r="U301" i="29"/>
  <c r="V730" i="29"/>
  <c r="U407" i="29"/>
  <c r="U66" i="29"/>
  <c r="V493" i="29"/>
  <c r="U29" i="29"/>
  <c r="U122" i="29"/>
  <c r="U411" i="29"/>
  <c r="V446" i="29"/>
  <c r="V143" i="29"/>
  <c r="V904" i="29"/>
  <c r="V335" i="29"/>
  <c r="U40" i="29"/>
  <c r="V759" i="29"/>
  <c r="V321" i="29"/>
  <c r="U498" i="29"/>
  <c r="U187" i="29"/>
  <c r="V32" i="29"/>
  <c r="V273" i="29"/>
  <c r="V334" i="29"/>
  <c r="V441" i="29"/>
  <c r="V241" i="29"/>
  <c r="U534" i="29"/>
  <c r="U65" i="29"/>
  <c r="U190" i="29"/>
  <c r="V162" i="29"/>
  <c r="U101" i="29"/>
  <c r="U688" i="29"/>
  <c r="U484" i="29"/>
  <c r="U146" i="29"/>
  <c r="U130" i="29"/>
  <c r="U129" i="29"/>
  <c r="U84" i="29"/>
  <c r="U127" i="29"/>
  <c r="U561" i="29"/>
  <c r="V270" i="29"/>
  <c r="U541" i="29"/>
  <c r="U517" i="29"/>
  <c r="V823" i="29"/>
  <c r="V218" i="29"/>
  <c r="V762" i="29"/>
  <c r="U51" i="29"/>
  <c r="V276" i="29"/>
  <c r="V388" i="29"/>
  <c r="V434" i="29"/>
  <c r="V445" i="29"/>
  <c r="U776" i="29"/>
  <c r="V806" i="29"/>
  <c r="U111" i="29"/>
  <c r="U375" i="29"/>
  <c r="V474" i="29"/>
  <c r="U779" i="29"/>
  <c r="V53" i="29"/>
  <c r="U393" i="29"/>
  <c r="V221" i="29"/>
  <c r="U490" i="29"/>
  <c r="V149" i="29"/>
  <c r="V571" i="29"/>
  <c r="V511" i="29"/>
  <c r="V372" i="29"/>
  <c r="U103" i="29"/>
  <c r="V364" i="29"/>
  <c r="U93" i="29"/>
  <c r="U496" i="29"/>
  <c r="U369" i="29"/>
  <c r="V76" i="29"/>
  <c r="U271" i="29"/>
  <c r="U665" i="29"/>
  <c r="V357" i="29"/>
  <c r="U54" i="29"/>
  <c r="V720" i="29"/>
  <c r="V719" i="29"/>
  <c r="V896" i="29"/>
  <c r="V105" i="29"/>
  <c r="U80" i="29"/>
  <c r="V376" i="29"/>
  <c r="U265" i="29"/>
  <c r="V422" i="29"/>
  <c r="V873" i="29"/>
  <c r="V368" i="29"/>
  <c r="V876" i="29"/>
  <c r="V456" i="29"/>
  <c r="V184" i="29"/>
  <c r="V502" i="29"/>
  <c r="V448" i="29"/>
  <c r="U131" i="29"/>
  <c r="U28" i="29"/>
  <c r="U897" i="29"/>
  <c r="V616" i="29"/>
  <c r="V288" i="29"/>
  <c r="V80" i="29"/>
  <c r="V286" i="29"/>
  <c r="V72" i="29"/>
  <c r="U660" i="29"/>
  <c r="U119" i="29"/>
  <c r="U77" i="29"/>
  <c r="U313" i="29"/>
  <c r="U285" i="29"/>
  <c r="U378" i="29"/>
  <c r="U261" i="29"/>
  <c r="U452" i="29"/>
  <c r="U431" i="29"/>
  <c r="V639" i="29"/>
  <c r="V529" i="29"/>
  <c r="U318" i="29"/>
  <c r="U247" i="29"/>
  <c r="U708" i="29"/>
  <c r="V28" i="29"/>
  <c r="U844" i="29"/>
  <c r="U252" i="29"/>
  <c r="U179" i="29"/>
  <c r="U21" i="29"/>
  <c r="U852" i="29"/>
  <c r="U86" i="29"/>
  <c r="V362" i="29"/>
  <c r="U173" i="29"/>
  <c r="U792" i="29"/>
  <c r="V48" i="29"/>
  <c r="V745" i="29"/>
  <c r="U180" i="29"/>
  <c r="U98" i="29"/>
  <c r="U140" i="29"/>
  <c r="V59" i="29"/>
  <c r="V114" i="29"/>
  <c r="U166" i="29"/>
  <c r="U788" i="29"/>
  <c r="V298" i="29"/>
  <c r="V373" i="29"/>
  <c r="V274" i="29"/>
  <c r="U501" i="29"/>
  <c r="V392" i="29"/>
  <c r="U152" i="29"/>
  <c r="V819" i="29"/>
  <c r="V857" i="29"/>
  <c r="V267" i="29"/>
  <c r="V84" i="29"/>
  <c r="V322" i="29"/>
  <c r="V269" i="29"/>
  <c r="U409" i="29"/>
  <c r="U878" i="29"/>
  <c r="V314" i="29"/>
  <c r="U909" i="29"/>
  <c r="V234" i="29"/>
  <c r="V803" i="29"/>
  <c r="V69" i="29"/>
  <c r="V666" i="29"/>
  <c r="V45" i="29"/>
  <c r="U491" i="29"/>
  <c r="V700" i="29"/>
  <c r="U497" i="29"/>
  <c r="V74" i="29"/>
  <c r="U724" i="29"/>
  <c r="V409" i="29"/>
  <c r="V840" i="29"/>
  <c r="V328" i="29"/>
  <c r="U523" i="29"/>
  <c r="V672" i="29"/>
  <c r="V518" i="29"/>
  <c r="V399" i="29"/>
  <c r="U487" i="29"/>
  <c r="U738" i="29"/>
  <c r="V135" i="29"/>
  <c r="U269" i="29"/>
  <c r="V94" i="29"/>
  <c r="U637" i="29"/>
  <c r="U531" i="29"/>
  <c r="V805" i="29"/>
  <c r="U853" i="29"/>
  <c r="V319" i="29"/>
  <c r="U402" i="29"/>
  <c r="U563" i="29"/>
  <c r="U568" i="29"/>
  <c r="U725" i="29"/>
  <c r="V185" i="29"/>
  <c r="U495" i="29"/>
  <c r="U648" i="29"/>
  <c r="U454" i="29"/>
  <c r="U44" i="29"/>
  <c r="V14" i="29"/>
  <c r="V78" i="29"/>
  <c r="V654" i="29"/>
  <c r="U315" i="29"/>
  <c r="V408" i="29"/>
  <c r="V765" i="29"/>
  <c r="V838" i="29"/>
  <c r="V70" i="29"/>
  <c r="V63" i="29"/>
  <c r="V107" i="29"/>
  <c r="V637" i="29"/>
  <c r="V378" i="29"/>
  <c r="V471" i="29"/>
  <c r="U824" i="29"/>
  <c r="V213" i="29"/>
  <c r="U348" i="29"/>
  <c r="U297" i="29"/>
  <c r="V383" i="29"/>
  <c r="U274" i="29"/>
  <c r="V633" i="29"/>
  <c r="U143" i="29"/>
  <c r="V139" i="29"/>
  <c r="U700" i="29"/>
  <c r="U336" i="29"/>
  <c r="U30" i="29"/>
  <c r="V457" i="29"/>
  <c r="U95" i="29"/>
  <c r="U331" i="29"/>
  <c r="U182" i="29"/>
  <c r="U294" i="29"/>
  <c r="U17" i="29"/>
  <c r="U270" i="29"/>
  <c r="U870" i="29"/>
  <c r="V296" i="29"/>
  <c r="U23" i="29"/>
  <c r="U227" i="29"/>
  <c r="V190" i="29"/>
  <c r="V425" i="29"/>
  <c r="U820" i="29"/>
  <c r="U328" i="29"/>
  <c r="V470" i="29"/>
  <c r="U102" i="29"/>
  <c r="V87" i="29"/>
  <c r="V197" i="29"/>
  <c r="U732" i="29"/>
  <c r="V909" i="29"/>
  <c r="U128" i="29"/>
  <c r="V789" i="29"/>
  <c r="U524" i="29"/>
  <c r="U125" i="29"/>
  <c r="V442" i="29"/>
  <c r="U406" i="29"/>
  <c r="V293" i="29"/>
  <c r="V423" i="29"/>
  <c r="U36" i="29"/>
  <c r="V178" i="29"/>
  <c r="V189" i="29"/>
  <c r="U756" i="29"/>
  <c r="V12" i="29"/>
  <c r="U15" i="29"/>
  <c r="V341" i="29"/>
  <c r="V101" i="29"/>
  <c r="U833" i="29"/>
  <c r="V42" i="29"/>
  <c r="V222" i="29"/>
  <c r="V244" i="29"/>
  <c r="U421" i="29"/>
  <c r="U354" i="29"/>
  <c r="U283" i="29"/>
  <c r="V103" i="29"/>
  <c r="V97" i="29"/>
  <c r="U46" i="29"/>
  <c r="U116" i="29"/>
  <c r="U434" i="29"/>
  <c r="U162" i="29"/>
  <c r="U13" i="29"/>
  <c r="U426" i="29"/>
  <c r="V112" i="29"/>
  <c r="V693" i="29"/>
  <c r="U740" i="29"/>
  <c r="U638" i="29"/>
  <c r="V129" i="29"/>
  <c r="V387" i="29"/>
  <c r="U7" i="29"/>
  <c r="V253" i="29"/>
  <c r="V460" i="29"/>
  <c r="V676" i="29"/>
  <c r="V9" i="29"/>
  <c r="U793" i="29"/>
  <c r="U281" i="29"/>
  <c r="U150" i="29"/>
  <c r="U60" i="29"/>
  <c r="U335" i="29"/>
  <c r="U706" i="29"/>
  <c r="V324" i="29"/>
  <c r="U305" i="29"/>
  <c r="U625" i="29"/>
  <c r="V833" i="29"/>
  <c r="U194" i="29"/>
  <c r="U338" i="29"/>
  <c r="U552" i="29"/>
  <c r="U394" i="29"/>
  <c r="V223" i="29"/>
  <c r="U163" i="29"/>
  <c r="V306" i="29"/>
  <c r="G181" i="29"/>
  <c r="V384" i="29"/>
  <c r="V34" i="29"/>
  <c r="V60" i="29"/>
  <c r="U201" i="29"/>
  <c r="U798" i="29"/>
  <c r="U63" i="29"/>
  <c r="V781" i="29"/>
  <c r="U385" i="29"/>
  <c r="U290" i="29"/>
  <c r="U8" i="29"/>
  <c r="V495" i="29"/>
  <c r="U337" i="29"/>
  <c r="U238" i="29"/>
  <c r="V800" i="29"/>
  <c r="U314" i="29"/>
  <c r="U863" i="29"/>
  <c r="U871" i="29"/>
  <c r="V402" i="29"/>
  <c r="U730" i="29"/>
  <c r="U377" i="29"/>
  <c r="V756" i="29"/>
  <c r="U367" i="29"/>
  <c r="V596" i="29"/>
  <c r="U176" i="29"/>
  <c r="V177" i="29"/>
  <c r="U184" i="29"/>
  <c r="V391" i="29"/>
  <c r="V133" i="29"/>
  <c r="U414" i="29"/>
  <c r="U343" i="29"/>
  <c r="V232" i="29"/>
  <c r="V880" i="29"/>
  <c r="U492" i="29"/>
  <c r="V96" i="29"/>
  <c r="V302" i="29"/>
  <c r="V153" i="29"/>
  <c r="V327" i="29"/>
  <c r="U240" i="29"/>
  <c r="V198" i="29"/>
  <c r="U137" i="29"/>
  <c r="V363" i="29"/>
  <c r="V160" i="29"/>
  <c r="V350" i="29"/>
  <c r="U55" i="29"/>
  <c r="U858" i="29"/>
  <c r="V191" i="29"/>
  <c r="V737" i="29"/>
  <c r="V894" i="29"/>
  <c r="V528" i="29"/>
  <c r="U468" i="29"/>
  <c r="U391" i="29"/>
  <c r="U803" i="29"/>
  <c r="U188" i="29"/>
  <c r="V836" i="29"/>
  <c r="U530" i="29"/>
  <c r="V615" i="29"/>
  <c r="U92" i="29"/>
  <c r="V572" i="29"/>
  <c r="U68" i="29"/>
  <c r="U859" i="29"/>
  <c r="U299" i="29"/>
  <c r="V531" i="29"/>
  <c r="V503" i="29"/>
  <c r="U764" i="29"/>
  <c r="U144" i="29"/>
  <c r="U67" i="29"/>
  <c r="U362" i="29"/>
  <c r="U235" i="29"/>
  <c r="U196" i="29"/>
  <c r="V82" i="29"/>
  <c r="V349" i="29"/>
  <c r="V65" i="29"/>
  <c r="V583" i="29"/>
  <c r="U840" i="29"/>
  <c r="V763" i="29"/>
  <c r="U207" i="29"/>
  <c r="V515" i="29"/>
  <c r="U430" i="29"/>
  <c r="U423" i="29"/>
  <c r="U888" i="29"/>
  <c r="V575" i="29"/>
  <c r="U161" i="29"/>
  <c r="V478" i="29"/>
  <c r="V636" i="29"/>
  <c r="U389" i="29"/>
  <c r="V331" i="29"/>
  <c r="U390" i="29"/>
  <c r="U113" i="29"/>
  <c r="U477" i="29"/>
  <c r="V240" i="29"/>
  <c r="V352" i="29"/>
  <c r="U642" i="29"/>
  <c r="V696" i="29"/>
  <c r="U366" i="29"/>
  <c r="V732" i="29"/>
  <c r="U89" i="29"/>
  <c r="V677" i="29"/>
  <c r="U216" i="29"/>
  <c r="U386" i="29"/>
  <c r="U81" i="29"/>
  <c r="U114" i="29"/>
  <c r="U363" i="29"/>
  <c r="V272" i="29"/>
  <c r="U70" i="29"/>
  <c r="V318" i="29"/>
  <c r="U876" i="29"/>
  <c r="V145" i="29"/>
  <c r="U211" i="29"/>
  <c r="V116" i="29"/>
  <c r="V447" i="29"/>
  <c r="V415" i="29"/>
  <c r="V885" i="29"/>
  <c r="U539" i="29"/>
  <c r="V612" i="29"/>
  <c r="U550" i="29"/>
  <c r="U525" i="29"/>
  <c r="U834" i="29"/>
  <c r="V593" i="29"/>
  <c r="V140" i="29"/>
  <c r="H7" i="29"/>
  <c r="U83" i="29"/>
  <c r="U437" i="29"/>
  <c r="U115" i="29"/>
  <c r="V43" i="29"/>
  <c r="V507" i="29"/>
  <c r="U613" i="29"/>
  <c r="V620" i="29"/>
  <c r="V564" i="29"/>
  <c r="U203" i="29"/>
  <c r="V566" i="29"/>
  <c r="V81" i="29"/>
  <c r="U37" i="29"/>
  <c r="U508" i="29"/>
  <c r="U726" i="29"/>
  <c r="U587" i="29"/>
  <c r="V172" i="29"/>
  <c r="U286" i="29"/>
  <c r="U289" i="29"/>
  <c r="U800" i="29"/>
  <c r="U848" i="29"/>
  <c r="V290" i="29"/>
  <c r="U264" i="29"/>
  <c r="V489" i="29"/>
  <c r="U658" i="29"/>
  <c r="V299" i="29"/>
  <c r="H234" i="29"/>
  <c r="U916" i="29"/>
  <c r="V828" i="29"/>
  <c r="V888" i="29"/>
  <c r="U794" i="29"/>
  <c r="V266" i="29"/>
  <c r="V552" i="29"/>
  <c r="V804" i="29"/>
  <c r="V180" i="29"/>
  <c r="U94" i="29"/>
  <c r="U806" i="29"/>
  <c r="V26" i="29"/>
  <c r="V467" i="29"/>
  <c r="U674" i="29"/>
  <c r="U416" i="29"/>
  <c r="V780" i="29"/>
  <c r="V487" i="29"/>
  <c r="V735" i="29"/>
  <c r="U118" i="29"/>
  <c r="V834" i="29"/>
  <c r="U814" i="29"/>
  <c r="D156" i="29"/>
  <c r="E25" i="29"/>
  <c r="D113" i="29"/>
  <c r="H155" i="29"/>
  <c r="U908" i="29"/>
  <c r="V186" i="29"/>
  <c r="V595" i="29"/>
  <c r="V585" i="29"/>
  <c r="U220" i="29"/>
  <c r="V311" i="29"/>
  <c r="V784" i="29"/>
  <c r="U160" i="29"/>
  <c r="U405" i="29"/>
  <c r="V451" i="29"/>
  <c r="V628" i="29"/>
  <c r="H152" i="29"/>
  <c r="V872" i="29"/>
  <c r="V37" i="29"/>
  <c r="V453" i="29"/>
  <c r="V861" i="29"/>
  <c r="U759" i="29"/>
  <c r="U891" i="29"/>
  <c r="V403" i="29"/>
  <c r="U448" i="29"/>
  <c r="U797" i="29"/>
  <c r="U771" i="29"/>
  <c r="V643" i="29"/>
  <c r="G13" i="29"/>
  <c r="V831" i="29"/>
  <c r="U512" i="29"/>
  <c r="U815" i="29"/>
  <c r="V371" i="29"/>
  <c r="V810" i="29"/>
  <c r="U579" i="29"/>
  <c r="V122" i="29"/>
  <c r="U627" i="29"/>
  <c r="V250" i="29"/>
  <c r="V830" i="29"/>
  <c r="U821" i="29"/>
  <c r="U804" i="29"/>
  <c r="U826" i="29"/>
  <c r="U719" i="29"/>
  <c r="U757" i="29"/>
  <c r="H102" i="29"/>
  <c r="V835" i="29"/>
  <c r="U445" i="29"/>
  <c r="U608" i="29"/>
  <c r="V740" i="29"/>
  <c r="U499" i="29"/>
  <c r="U661" i="29"/>
  <c r="U773" i="29"/>
  <c r="E76" i="29"/>
  <c r="E151" i="29"/>
  <c r="H33" i="29"/>
  <c r="U368" i="29"/>
  <c r="V788" i="29"/>
  <c r="G157" i="29"/>
  <c r="D183" i="29"/>
  <c r="H123" i="29"/>
  <c r="H232" i="29"/>
  <c r="E395" i="29"/>
  <c r="E205" i="29"/>
  <c r="D303" i="29"/>
  <c r="H182" i="29"/>
  <c r="V899" i="29"/>
  <c r="F307" i="29"/>
  <c r="G165" i="29"/>
  <c r="U465" i="29"/>
  <c r="E29" i="29"/>
  <c r="E158" i="29"/>
  <c r="F199" i="29"/>
  <c r="U653" i="29"/>
  <c r="E140" i="29"/>
  <c r="V557" i="29"/>
  <c r="H107" i="29"/>
  <c r="V867" i="29"/>
  <c r="U413" i="29"/>
  <c r="V459" i="29"/>
  <c r="U715" i="29"/>
  <c r="V853" i="29"/>
  <c r="V39" i="29"/>
  <c r="V496" i="29"/>
  <c r="V171" i="29"/>
  <c r="U509" i="29"/>
  <c r="U206" i="29"/>
  <c r="V743" i="29"/>
  <c r="U212" i="29"/>
  <c r="U231" i="29"/>
  <c r="U507" i="29"/>
  <c r="V724" i="29"/>
  <c r="V439" i="29"/>
  <c r="V268" i="29"/>
  <c r="V875" i="29"/>
  <c r="V248" i="29"/>
  <c r="V818" i="29"/>
  <c r="V581" i="29"/>
  <c r="F51" i="29"/>
  <c r="V661" i="29"/>
  <c r="V85" i="29"/>
  <c r="V226" i="29"/>
  <c r="V713" i="29"/>
  <c r="U288" i="29"/>
  <c r="V75" i="29"/>
  <c r="U112" i="29"/>
  <c r="V155" i="29"/>
  <c r="U548" i="29"/>
  <c r="V215" i="29"/>
  <c r="V698" i="29"/>
  <c r="U609" i="29"/>
  <c r="V523" i="29"/>
  <c r="U684" i="29"/>
  <c r="U842" i="29"/>
  <c r="V868" i="29"/>
  <c r="D99" i="29"/>
  <c r="H42" i="29"/>
  <c r="E126" i="29"/>
  <c r="D109" i="29"/>
  <c r="V589" i="29"/>
  <c r="U537" i="29"/>
  <c r="V208" i="29"/>
  <c r="V794" i="29"/>
  <c r="V115" i="29"/>
  <c r="V807" i="29"/>
  <c r="U767" i="29"/>
  <c r="U886" i="29"/>
  <c r="U861" i="29"/>
  <c r="V605" i="29"/>
  <c r="U713" i="29"/>
  <c r="V574" i="29"/>
  <c r="D22" i="29"/>
  <c r="V33" i="29"/>
  <c r="U571" i="29"/>
  <c r="V62" i="29"/>
  <c r="U34" i="29"/>
  <c r="E32" i="29"/>
  <c r="U429" i="29"/>
  <c r="H22" i="29"/>
  <c r="U866" i="29"/>
  <c r="V444" i="29"/>
  <c r="U857" i="29"/>
  <c r="U464" i="29"/>
  <c r="D28" i="29"/>
  <c r="U786" i="29"/>
  <c r="U75" i="29"/>
  <c r="V55" i="29"/>
  <c r="U488" i="29"/>
  <c r="V869" i="29"/>
  <c r="V156" i="29"/>
  <c r="V660" i="29"/>
  <c r="V910" i="29"/>
  <c r="V389" i="29"/>
  <c r="V646" i="29"/>
  <c r="U159" i="29"/>
  <c r="U39" i="29"/>
  <c r="V233" i="29"/>
  <c r="V854" i="29"/>
  <c r="U505" i="29"/>
  <c r="D356" i="29"/>
  <c r="V164" i="29"/>
  <c r="U817" i="29"/>
  <c r="V881" i="29"/>
  <c r="U634" i="29"/>
  <c r="V23" i="29"/>
  <c r="V591" i="29"/>
  <c r="H110" i="29"/>
  <c r="F188" i="29"/>
  <c r="G271" i="29"/>
  <c r="H56" i="29"/>
  <c r="U248" i="29"/>
  <c r="V837" i="29"/>
  <c r="D72" i="29"/>
  <c r="U664" i="29"/>
  <c r="F73" i="29"/>
  <c r="H93" i="29"/>
  <c r="E208" i="29"/>
  <c r="H14" i="29"/>
  <c r="U790" i="29"/>
  <c r="H9" i="29"/>
  <c r="E197" i="29"/>
  <c r="E252" i="29"/>
  <c r="U185" i="29"/>
  <c r="D73" i="29"/>
  <c r="V609" i="29"/>
  <c r="E233" i="29"/>
  <c r="G246" i="29"/>
  <c r="E14" i="29"/>
  <c r="F32" i="29"/>
  <c r="U619" i="29"/>
  <c r="U57" i="29"/>
  <c r="U177" i="29"/>
  <c r="U425" i="29"/>
  <c r="V313" i="29"/>
  <c r="U841" i="29"/>
  <c r="V77" i="29"/>
  <c r="U250" i="29"/>
  <c r="U121" i="29"/>
  <c r="V498" i="29"/>
  <c r="V354" i="29"/>
  <c r="V871" i="29"/>
  <c r="U169" i="29"/>
  <c r="V437" i="29"/>
  <c r="F312" i="29"/>
  <c r="U890" i="29"/>
  <c r="V359" i="29"/>
  <c r="U381" i="29"/>
  <c r="V365" i="29"/>
  <c r="V683" i="29"/>
  <c r="F74" i="29"/>
  <c r="V650" i="29"/>
  <c r="V104" i="29"/>
  <c r="V663" i="29"/>
  <c r="V320" i="29"/>
  <c r="U577" i="29"/>
  <c r="U504" i="29"/>
  <c r="V61" i="29"/>
  <c r="U329" i="29"/>
  <c r="U702" i="29"/>
  <c r="U813" i="29"/>
  <c r="V776" i="29"/>
  <c r="U807" i="29"/>
  <c r="U838" i="29"/>
  <c r="V886" i="29"/>
  <c r="U513" i="29"/>
  <c r="V170" i="29"/>
  <c r="H61" i="29"/>
  <c r="D105" i="29"/>
  <c r="E202" i="29"/>
  <c r="G41" i="29"/>
  <c r="H58" i="29"/>
  <c r="V123" i="29"/>
  <c r="U602" i="29"/>
  <c r="V401" i="29"/>
  <c r="V588" i="29"/>
  <c r="G127" i="29"/>
  <c r="V513" i="29"/>
  <c r="H220" i="29"/>
  <c r="V151" i="29"/>
  <c r="G151" i="29"/>
  <c r="U578" i="29"/>
  <c r="V662" i="29"/>
  <c r="G234" i="29"/>
  <c r="V147" i="29"/>
  <c r="U276" i="29"/>
  <c r="U766" i="29"/>
  <c r="V703" i="29"/>
  <c r="V715" i="29"/>
  <c r="V407" i="29"/>
  <c r="V752" i="29"/>
  <c r="V51" i="29"/>
  <c r="V766" i="29"/>
  <c r="U225" i="29"/>
  <c r="V36" i="29"/>
  <c r="V47" i="29"/>
  <c r="U717" i="29"/>
  <c r="U693" i="29"/>
  <c r="V419" i="29"/>
  <c r="U515" i="29"/>
  <c r="V688" i="29"/>
  <c r="V561" i="29"/>
  <c r="U837" i="29"/>
  <c r="V16" i="29"/>
  <c r="V280" i="29"/>
  <c r="D195" i="29"/>
  <c r="V771" i="29"/>
  <c r="V397" i="29"/>
  <c r="V416" i="29"/>
  <c r="U230" i="29"/>
  <c r="U475" i="29"/>
  <c r="U470" i="29"/>
  <c r="V625" i="29"/>
  <c r="V839" i="29"/>
  <c r="V878" i="29"/>
  <c r="U374" i="29"/>
  <c r="U646" i="29"/>
  <c r="U659" i="29"/>
  <c r="H6" i="29"/>
  <c r="G101" i="29"/>
  <c r="H128" i="29"/>
  <c r="E281" i="29"/>
  <c r="U222" i="29"/>
  <c r="U847" i="29"/>
  <c r="V512" i="29"/>
  <c r="U519" i="29"/>
  <c r="G26" i="29"/>
  <c r="V790" i="29"/>
  <c r="H437" i="29"/>
  <c r="U845" i="29"/>
  <c r="F209" i="29"/>
  <c r="D140" i="29"/>
  <c r="G87" i="29"/>
  <c r="E7" i="29"/>
  <c r="U596" i="29"/>
  <c r="U607" i="29"/>
  <c r="E42" i="29"/>
  <c r="G211" i="29"/>
  <c r="V614" i="29"/>
  <c r="U456" i="29"/>
  <c r="U78" i="29"/>
  <c r="V124" i="29"/>
  <c r="U644" i="29"/>
  <c r="U291" i="29"/>
  <c r="U107" i="29"/>
  <c r="V128" i="29"/>
  <c r="U342" i="29"/>
  <c r="U358" i="29"/>
  <c r="V108" i="29"/>
  <c r="U473" i="29"/>
  <c r="V282" i="29"/>
  <c r="V66" i="29"/>
  <c r="U35" i="29"/>
  <c r="U483" i="29"/>
  <c r="V723" i="29"/>
  <c r="V173" i="29"/>
  <c r="U562" i="29"/>
  <c r="V538" i="29"/>
  <c r="G31" i="29"/>
  <c r="U695" i="29"/>
  <c r="U258" i="29"/>
  <c r="V655" i="29"/>
  <c r="U566" i="29"/>
  <c r="U682" i="29"/>
  <c r="U139" i="29"/>
  <c r="V527" i="29"/>
  <c r="U867" i="29"/>
  <c r="V821" i="29"/>
  <c r="H206" i="29"/>
  <c r="U631" i="29"/>
  <c r="D79" i="29"/>
  <c r="V738" i="29"/>
  <c r="V534" i="29"/>
  <c r="V681" i="29"/>
  <c r="V887" i="29"/>
  <c r="D244" i="29"/>
  <c r="G61" i="29"/>
  <c r="U707" i="29"/>
  <c r="F27" i="29"/>
  <c r="U543" i="29"/>
  <c r="U401" i="29"/>
  <c r="V435" i="29"/>
  <c r="V645" i="29"/>
  <c r="V734" i="29"/>
  <c r="V692" i="29"/>
  <c r="V243" i="29"/>
  <c r="U339" i="29"/>
  <c r="U516" i="29"/>
  <c r="V224" i="29"/>
  <c r="V242" i="29"/>
  <c r="U467" i="29"/>
  <c r="V691" i="29"/>
  <c r="V150" i="29"/>
  <c r="U38" i="29"/>
  <c r="U18" i="29"/>
  <c r="U739" i="29"/>
  <c r="E83" i="29"/>
  <c r="U595" i="29"/>
  <c r="V351" i="29"/>
  <c r="V219" i="29"/>
  <c r="U624" i="29"/>
  <c r="V621" i="29"/>
  <c r="V704" i="29"/>
  <c r="U733" i="29"/>
  <c r="U245" i="29"/>
  <c r="V718" i="29"/>
  <c r="V638" i="29"/>
  <c r="V330" i="29"/>
  <c r="E92" i="29"/>
  <c r="U90" i="29"/>
  <c r="D166" i="29"/>
  <c r="V99" i="29"/>
  <c r="V822" i="29"/>
  <c r="V333" i="29"/>
  <c r="U133" i="29"/>
  <c r="V381" i="29"/>
  <c r="U582" i="29"/>
  <c r="U22" i="29"/>
  <c r="V751" i="29"/>
  <c r="U326" i="29"/>
  <c r="V279" i="29"/>
  <c r="U626" i="29"/>
  <c r="V533" i="29"/>
  <c r="U809" i="29"/>
  <c r="V843" i="29"/>
  <c r="U830" i="29"/>
  <c r="F112" i="29"/>
  <c r="F120" i="29"/>
  <c r="G251" i="29"/>
  <c r="D62" i="29"/>
  <c r="U383" i="29"/>
  <c r="U810" i="29"/>
  <c r="D96" i="29"/>
  <c r="E213" i="29"/>
  <c r="V484" i="29"/>
  <c r="D123" i="29"/>
  <c r="H445" i="29"/>
  <c r="E165" i="29"/>
  <c r="D26" i="29"/>
  <c r="D33" i="29"/>
  <c r="F285" i="29"/>
  <c r="D170" i="29"/>
  <c r="V58" i="29"/>
  <c r="U899" i="29"/>
  <c r="F52" i="29"/>
  <c r="U597" i="29"/>
  <c r="U594" i="29"/>
  <c r="G210" i="29"/>
  <c r="D234" i="29"/>
  <c r="U151" i="29"/>
  <c r="U440" i="29"/>
  <c r="U327" i="29"/>
  <c r="V44" i="29"/>
  <c r="V440" i="29"/>
  <c r="V199" i="29"/>
  <c r="U723" i="29"/>
  <c r="U104" i="29"/>
  <c r="U251" i="29"/>
  <c r="V820" i="29"/>
  <c r="V204" i="29"/>
  <c r="U27" i="29"/>
  <c r="U170" i="29"/>
  <c r="V551" i="29"/>
  <c r="V479" i="29"/>
  <c r="V754" i="29"/>
  <c r="V175" i="29"/>
  <c r="V174" i="29"/>
  <c r="U906" i="29"/>
  <c r="V556" i="29"/>
  <c r="E191" i="29"/>
  <c r="V903" i="29"/>
  <c r="V731" i="29"/>
  <c r="V121" i="29"/>
  <c r="V670" i="29"/>
  <c r="U458" i="29"/>
  <c r="V400" i="29"/>
  <c r="V535" i="29"/>
  <c r="U673" i="29"/>
  <c r="U476" i="29"/>
  <c r="V256" i="29"/>
  <c r="V816" i="29"/>
  <c r="V342" i="29"/>
  <c r="V261" i="29"/>
  <c r="U765" i="29"/>
  <c r="V458" i="29"/>
  <c r="U298" i="29"/>
  <c r="V35" i="29"/>
  <c r="E12" i="29"/>
  <c r="U542" i="29"/>
  <c r="U774" i="29"/>
  <c r="U85" i="29"/>
  <c r="U76" i="29"/>
  <c r="U53" i="29"/>
  <c r="U357" i="29"/>
  <c r="V148" i="29"/>
  <c r="E31" i="29"/>
  <c r="V18" i="29"/>
  <c r="V504" i="29"/>
  <c r="V545" i="29"/>
  <c r="V465" i="29"/>
  <c r="V911" i="29"/>
  <c r="V176" i="29"/>
  <c r="V744" i="29"/>
  <c r="V348" i="29"/>
  <c r="U614" i="29"/>
  <c r="U272" i="29"/>
  <c r="U835" i="29"/>
  <c r="V68" i="29"/>
  <c r="U690" i="29"/>
  <c r="U538" i="29"/>
  <c r="U249" i="29"/>
  <c r="V603" i="29"/>
  <c r="V866" i="29"/>
  <c r="V863" i="29"/>
  <c r="U617" i="29"/>
  <c r="V10" i="29"/>
  <c r="U479" i="29"/>
  <c r="V291" i="29"/>
  <c r="U855" i="29"/>
  <c r="D118" i="29"/>
  <c r="U902" i="29"/>
  <c r="U453" i="29"/>
  <c r="V576" i="29"/>
  <c r="V292" i="29"/>
  <c r="U9" i="29"/>
  <c r="V317" i="29"/>
  <c r="U712" i="29"/>
  <c r="U691" i="29"/>
  <c r="U683" i="29"/>
  <c r="V398" i="29"/>
  <c r="V586" i="29"/>
  <c r="V879" i="29"/>
  <c r="V657" i="29"/>
  <c r="V154" i="29"/>
  <c r="V501" i="29"/>
  <c r="V158" i="29"/>
  <c r="E50" i="29"/>
  <c r="F151" i="29"/>
  <c r="H100" i="29"/>
  <c r="H172" i="29"/>
  <c r="V889" i="29"/>
  <c r="V917" i="29"/>
  <c r="U202" i="29"/>
  <c r="H181" i="29"/>
  <c r="V844" i="29"/>
  <c r="V710" i="29"/>
  <c r="G198" i="29"/>
  <c r="D141" i="29"/>
  <c r="V275" i="29"/>
  <c r="H446" i="29"/>
  <c r="D130" i="29"/>
  <c r="U819" i="29"/>
  <c r="F157" i="29"/>
  <c r="V259" i="29"/>
  <c r="U388" i="29"/>
  <c r="U630" i="29"/>
  <c r="D46" i="29"/>
  <c r="H130" i="29"/>
  <c r="G133" i="29"/>
  <c r="G256" i="29"/>
  <c r="V680" i="29"/>
  <c r="G145" i="29"/>
  <c r="E261" i="29"/>
  <c r="V136" i="29"/>
  <c r="U649" i="29"/>
  <c r="V312" i="29"/>
  <c r="V611" i="29"/>
  <c r="V358" i="29"/>
  <c r="U424" i="29"/>
  <c r="U237" i="29"/>
  <c r="U546" i="29"/>
  <c r="U636" i="29"/>
  <c r="U239" i="29"/>
  <c r="V188" i="29"/>
  <c r="U904" i="29"/>
  <c r="V450" i="29"/>
  <c r="V521" i="29"/>
  <c r="V671" i="29"/>
  <c r="V772" i="29"/>
  <c r="U679" i="29"/>
  <c r="V90" i="29"/>
  <c r="U208" i="29"/>
  <c r="V729" i="29"/>
  <c r="U670" i="29"/>
  <c r="V746" i="29"/>
  <c r="V491" i="29"/>
  <c r="V429" i="29"/>
  <c r="U410" i="29"/>
  <c r="U199" i="29"/>
  <c r="V374" i="29"/>
  <c r="V254" i="29"/>
  <c r="V799" i="29"/>
  <c r="U447" i="29"/>
  <c r="H67" i="29"/>
  <c r="U284" i="29"/>
  <c r="V245" i="29"/>
  <c r="U633" i="29"/>
  <c r="V539" i="29"/>
  <c r="U26" i="29"/>
  <c r="U822" i="29"/>
  <c r="U737" i="29"/>
  <c r="V543" i="29"/>
  <c r="H156" i="29"/>
  <c r="F82" i="29"/>
  <c r="U306" i="29"/>
  <c r="V505" i="29"/>
  <c r="V717" i="29"/>
  <c r="V207" i="29"/>
  <c r="V678" i="29"/>
  <c r="V695" i="29"/>
  <c r="U781" i="29"/>
  <c r="V6" i="29"/>
  <c r="U728" i="29"/>
  <c r="V694" i="29"/>
  <c r="U714" i="29"/>
  <c r="V728" i="29"/>
  <c r="V424" i="29"/>
  <c r="U493" i="29"/>
  <c r="V748" i="29"/>
  <c r="V325" i="29"/>
  <c r="V555" i="29"/>
  <c r="V309" i="29"/>
  <c r="U666" i="29"/>
  <c r="V187" i="29"/>
  <c r="U598" i="29"/>
  <c r="U645" i="29"/>
  <c r="V647" i="29"/>
  <c r="V815" i="29"/>
  <c r="U359" i="29"/>
  <c r="U319" i="29"/>
  <c r="V449" i="29"/>
  <c r="V367" i="29"/>
  <c r="U701" i="29"/>
  <c r="F47" i="29"/>
  <c r="V779" i="29"/>
  <c r="V516" i="29"/>
  <c r="V874" i="29"/>
  <c r="U109" i="29"/>
  <c r="U588" i="29"/>
  <c r="U260" i="29"/>
  <c r="U412" i="29"/>
  <c r="V92" i="29"/>
  <c r="V126" i="29"/>
  <c r="V514" i="29"/>
  <c r="V430" i="29"/>
  <c r="U585" i="29"/>
  <c r="U895" i="29"/>
  <c r="U42" i="29"/>
  <c r="V711" i="29"/>
  <c r="V716" i="29"/>
  <c r="U555" i="29"/>
  <c r="G272" i="29"/>
  <c r="D348" i="29"/>
  <c r="D108" i="29"/>
  <c r="V260" i="29"/>
  <c r="F91" i="29"/>
  <c r="U685" i="29"/>
  <c r="D52" i="29"/>
  <c r="F114" i="29"/>
  <c r="V91" i="29"/>
  <c r="F140" i="29"/>
  <c r="D411" i="29"/>
  <c r="D126" i="29"/>
  <c r="E100" i="29"/>
  <c r="D81" i="29"/>
  <c r="U697" i="29"/>
  <c r="G208" i="29"/>
  <c r="U5" i="29"/>
  <c r="V323" i="29"/>
  <c r="G6" i="29"/>
  <c r="F173" i="29"/>
  <c r="V95" i="29"/>
  <c r="D125" i="29"/>
  <c r="E218" i="29"/>
  <c r="G254" i="29"/>
  <c r="D211" i="29"/>
  <c r="H225" i="29"/>
  <c r="H160" i="29"/>
  <c r="U428" i="29"/>
  <c r="V741" i="29"/>
  <c r="E68" i="29"/>
  <c r="F249" i="29"/>
  <c r="H165" i="29"/>
  <c r="E349" i="29"/>
  <c r="U371" i="29"/>
  <c r="V699" i="29"/>
  <c r="V841" i="29"/>
  <c r="D148" i="29"/>
  <c r="U746" i="29"/>
  <c r="E144" i="29"/>
  <c r="U345" i="29"/>
  <c r="V130" i="29"/>
  <c r="U457" i="29"/>
  <c r="U655" i="29"/>
  <c r="V305" i="29"/>
  <c r="V686" i="29"/>
  <c r="V227" i="29"/>
  <c r="U11" i="29"/>
  <c r="U43" i="29"/>
  <c r="V202" i="29"/>
  <c r="V506" i="29"/>
  <c r="U444" i="29"/>
  <c r="U868" i="29"/>
  <c r="V396" i="29"/>
  <c r="U158" i="29"/>
  <c r="V315" i="29"/>
  <c r="E249" i="29"/>
  <c r="U787" i="29"/>
  <c r="U192" i="29"/>
  <c r="V777" i="29"/>
  <c r="V255" i="29"/>
  <c r="V355" i="29"/>
  <c r="U586" i="29"/>
  <c r="U567" i="29"/>
  <c r="U898" i="29"/>
  <c r="U64" i="29"/>
  <c r="V163" i="29"/>
  <c r="V727" i="29"/>
  <c r="U755" i="29"/>
  <c r="U750" i="29"/>
  <c r="V216" i="29"/>
  <c r="V856" i="29"/>
  <c r="V634" i="29"/>
  <c r="U62" i="29"/>
  <c r="U610" i="29"/>
  <c r="U907" i="29"/>
  <c r="U350" i="29"/>
  <c r="G117" i="29"/>
  <c r="F248" i="29"/>
  <c r="E62" i="29"/>
  <c r="U662" i="29"/>
  <c r="V278" i="29"/>
  <c r="U244" i="29"/>
  <c r="V787" i="29"/>
  <c r="V814" i="29"/>
  <c r="U347" i="29"/>
  <c r="U141" i="29"/>
  <c r="U56" i="29"/>
  <c r="V706" i="29"/>
  <c r="V891" i="29"/>
  <c r="V494" i="29"/>
  <c r="V855" i="29"/>
  <c r="V238" i="29"/>
  <c r="V826" i="29"/>
  <c r="V46" i="29"/>
  <c r="V707" i="29"/>
  <c r="V587" i="29"/>
  <c r="U589" i="29"/>
  <c r="U698" i="29"/>
  <c r="V667" i="29"/>
  <c r="U549" i="29"/>
  <c r="U522" i="29"/>
  <c r="U668" i="29"/>
  <c r="V701" i="29"/>
  <c r="H133" i="29"/>
  <c r="V119" i="29"/>
  <c r="U97" i="29"/>
  <c r="V239" i="29"/>
  <c r="V472" i="29"/>
  <c r="V524" i="29"/>
  <c r="V310" i="29"/>
  <c r="V618" i="29"/>
  <c r="V827" i="29"/>
  <c r="V687" i="29"/>
  <c r="U573" i="29"/>
  <c r="V131" i="29"/>
  <c r="V236" i="29"/>
  <c r="U621" i="29"/>
  <c r="U727" i="29"/>
  <c r="V842" i="29"/>
  <c r="U460" i="29"/>
  <c r="U82" i="29"/>
  <c r="U560" i="29"/>
  <c r="V194" i="29"/>
  <c r="V757" i="29"/>
  <c r="U174" i="29"/>
  <c r="U622" i="29"/>
  <c r="H27" i="29"/>
  <c r="E160" i="29"/>
  <c r="U370" i="29"/>
  <c r="V11" i="29"/>
  <c r="D58" i="29"/>
  <c r="V644" i="29"/>
  <c r="G90" i="29"/>
  <c r="U735" i="29"/>
  <c r="G250" i="29"/>
  <c r="D203" i="29"/>
  <c r="G222" i="29"/>
  <c r="V578" i="29"/>
  <c r="E265" i="29"/>
  <c r="U671" i="29"/>
  <c r="V860" i="29"/>
  <c r="G10" i="29"/>
  <c r="D71" i="29"/>
  <c r="U198" i="29"/>
  <c r="U570" i="29"/>
  <c r="G48" i="29"/>
  <c r="F108" i="29"/>
  <c r="U760" i="29"/>
  <c r="H41" i="29"/>
  <c r="D324" i="29"/>
  <c r="G218" i="29"/>
  <c r="H309" i="29"/>
  <c r="E48" i="29"/>
  <c r="U360" i="29"/>
  <c r="V641" i="29"/>
  <c r="H48" i="29"/>
  <c r="D316" i="29"/>
  <c r="H98" i="29"/>
  <c r="V791" i="29"/>
  <c r="D267" i="29"/>
  <c r="E224" i="29"/>
  <c r="F81" i="29"/>
  <c r="V598" i="29"/>
  <c r="H276" i="29"/>
  <c r="F70" i="29"/>
  <c r="H190" i="29"/>
  <c r="U620" i="29"/>
  <c r="H268" i="29"/>
  <c r="E379" i="29"/>
  <c r="U172" i="29"/>
  <c r="U262" i="29"/>
  <c r="F9" i="29"/>
  <c r="H197" i="29"/>
  <c r="U79" i="29"/>
  <c r="U618" i="29"/>
  <c r="G84" i="29"/>
  <c r="U47" i="29"/>
  <c r="V549" i="29"/>
  <c r="G30" i="29"/>
  <c r="U864" i="29"/>
  <c r="U877" i="29"/>
  <c r="G154" i="29"/>
  <c r="V870" i="29"/>
  <c r="D119" i="29"/>
  <c r="U893" i="29"/>
  <c r="E232" i="29"/>
  <c r="U181" i="29"/>
  <c r="D451" i="29"/>
  <c r="V769" i="29"/>
  <c r="F95" i="29"/>
  <c r="V530" i="29"/>
  <c r="U862" i="29"/>
  <c r="G142" i="29"/>
  <c r="V519" i="29"/>
  <c r="D364" i="29"/>
  <c r="G62" i="29"/>
  <c r="V722" i="29"/>
  <c r="E399" i="29"/>
  <c r="V443" i="29"/>
  <c r="U581" i="29"/>
  <c r="H5" i="29"/>
  <c r="E136" i="29"/>
  <c r="V25" i="29"/>
  <c r="E192" i="29"/>
  <c r="G109" i="29"/>
  <c r="H81" i="29"/>
  <c r="E185" i="29"/>
  <c r="H141" i="29"/>
  <c r="V913" i="29"/>
  <c r="E49" i="29"/>
  <c r="V262" i="29"/>
  <c r="G347" i="29"/>
  <c r="H174" i="29"/>
  <c r="D21" i="29"/>
  <c r="U828" i="29"/>
  <c r="U915" i="29"/>
  <c r="H105" i="29"/>
  <c r="E168" i="29"/>
  <c r="D16" i="29"/>
  <c r="G7" i="29"/>
  <c r="D38" i="29"/>
  <c r="F14" i="29"/>
  <c r="D88" i="29"/>
  <c r="D60" i="29"/>
  <c r="D161" i="29"/>
  <c r="V54" i="29"/>
  <c r="V382" i="29"/>
  <c r="V420" i="29"/>
  <c r="V632" i="29"/>
  <c r="E130" i="29"/>
  <c r="D98" i="29"/>
  <c r="G315" i="29"/>
  <c r="E28" i="29"/>
  <c r="D117" i="29"/>
  <c r="G60" i="29"/>
  <c r="G119" i="29"/>
  <c r="H202" i="29"/>
  <c r="V308" i="29"/>
  <c r="U885" i="29"/>
  <c r="E106" i="29"/>
  <c r="E128" i="29"/>
  <c r="G115" i="29"/>
  <c r="F41" i="29"/>
  <c r="U282" i="29"/>
  <c r="D212" i="29"/>
  <c r="V480" i="29"/>
  <c r="G148" i="29"/>
  <c r="F138" i="29"/>
  <c r="E304" i="29"/>
  <c r="G97" i="29"/>
  <c r="F84" i="29"/>
  <c r="H99" i="29"/>
  <c r="G330" i="29"/>
  <c r="H65" i="29"/>
  <c r="U576" i="29"/>
  <c r="D53" i="29"/>
  <c r="E207" i="29"/>
  <c r="E414" i="29"/>
  <c r="E104" i="29"/>
  <c r="F50" i="29"/>
  <c r="D354" i="29"/>
  <c r="H583" i="29"/>
  <c r="V606" i="29"/>
  <c r="H94" i="29"/>
  <c r="E335" i="29"/>
  <c r="G74" i="29"/>
  <c r="U106" i="29"/>
  <c r="D235" i="29"/>
  <c r="U324" i="29"/>
  <c r="V642" i="29"/>
  <c r="G55" i="29"/>
  <c r="F117" i="29"/>
  <c r="H297" i="29"/>
  <c r="H28" i="29"/>
  <c r="E455" i="29"/>
  <c r="H332" i="29"/>
  <c r="V640" i="29"/>
  <c r="V277" i="29"/>
  <c r="V485" i="29"/>
  <c r="U110" i="29"/>
  <c r="V764" i="29"/>
  <c r="V712" i="29"/>
  <c r="U544" i="29"/>
  <c r="V702" i="29"/>
  <c r="U45" i="29"/>
  <c r="U478" i="29"/>
  <c r="V567" i="29"/>
  <c r="U511" i="29"/>
  <c r="G8" i="29"/>
  <c r="H108" i="29"/>
  <c r="G416" i="29"/>
  <c r="H192" i="29"/>
  <c r="F78" i="29"/>
  <c r="V568" i="29"/>
  <c r="V230" i="29"/>
  <c r="U677" i="29"/>
  <c r="D124" i="29"/>
  <c r="E215" i="29"/>
  <c r="F328" i="29"/>
  <c r="F88" i="29"/>
  <c r="G43" i="29"/>
  <c r="G150" i="29"/>
  <c r="G33" i="29"/>
  <c r="E30" i="29"/>
  <c r="H96" i="29"/>
  <c r="V540" i="29"/>
  <c r="U500" i="29"/>
  <c r="E118" i="29"/>
  <c r="H89" i="29"/>
  <c r="E115" i="29"/>
  <c r="D398" i="29"/>
  <c r="U635" i="29"/>
  <c r="H29" i="29"/>
  <c r="V604" i="29"/>
  <c r="G158" i="29"/>
  <c r="D219" i="29"/>
  <c r="E262" i="29"/>
  <c r="U91" i="29"/>
  <c r="V569" i="29"/>
  <c r="G14" i="29"/>
  <c r="G96" i="29"/>
  <c r="U762" i="29"/>
  <c r="V339" i="29"/>
  <c r="G361" i="29"/>
  <c r="G70" i="29"/>
  <c r="G132" i="29"/>
  <c r="E250" i="29"/>
  <c r="E259" i="29"/>
  <c r="E116" i="29"/>
  <c r="U709" i="29"/>
  <c r="V773" i="29"/>
  <c r="D139" i="29"/>
  <c r="V601" i="29"/>
  <c r="D10" i="29"/>
  <c r="H166" i="29"/>
  <c r="F279" i="29"/>
  <c r="F171" i="29"/>
  <c r="H296" i="29"/>
  <c r="H103" i="29"/>
  <c r="G225" i="29"/>
  <c r="U829" i="29"/>
  <c r="U751" i="29"/>
  <c r="E111" i="29"/>
  <c r="V366" i="29"/>
  <c r="D274" i="29"/>
  <c r="G228" i="29"/>
  <c r="H46" i="29"/>
  <c r="F135" i="29"/>
  <c r="D48" i="29"/>
  <c r="H137" i="29"/>
  <c r="G22" i="29"/>
  <c r="U663" i="29"/>
  <c r="E212" i="29"/>
  <c r="F62" i="29"/>
  <c r="U676" i="29"/>
  <c r="F169" i="29"/>
  <c r="V544" i="29"/>
  <c r="G238" i="29"/>
  <c r="H291" i="29"/>
  <c r="F516" i="29"/>
  <c r="G245" i="29"/>
  <c r="F512" i="29"/>
  <c r="G346" i="29"/>
  <c r="H71" i="29"/>
  <c r="E155" i="29"/>
  <c r="G373" i="29"/>
  <c r="E325" i="29"/>
  <c r="H240" i="29"/>
  <c r="G399" i="29"/>
  <c r="U346" i="29"/>
  <c r="U138" i="29"/>
  <c r="U529" i="29"/>
  <c r="V395" i="29"/>
  <c r="V482" i="29"/>
  <c r="U419" i="29"/>
  <c r="V907" i="29"/>
  <c r="V111" i="29"/>
  <c r="V689" i="29"/>
  <c r="V884" i="29"/>
  <c r="F177" i="29"/>
  <c r="D70" i="29"/>
  <c r="U462" i="29"/>
  <c r="F145" i="29"/>
  <c r="V708" i="29"/>
  <c r="U559" i="29"/>
  <c r="F168" i="29"/>
  <c r="V848" i="29"/>
  <c r="D29" i="29"/>
  <c r="F69" i="29"/>
  <c r="D30" i="29"/>
  <c r="G394" i="29"/>
  <c r="E121" i="29"/>
  <c r="E332" i="29"/>
  <c r="G29" i="29"/>
  <c r="D35" i="29"/>
  <c r="D97" i="29"/>
  <c r="V607" i="29"/>
  <c r="D322" i="29"/>
  <c r="V393" i="29"/>
  <c r="G46" i="29"/>
  <c r="V915" i="29"/>
  <c r="H106" i="29"/>
  <c r="D6" i="29"/>
  <c r="G329" i="29"/>
  <c r="E152" i="29"/>
  <c r="D11" i="29"/>
  <c r="H205" i="29"/>
  <c r="H101" i="29"/>
  <c r="G91" i="29"/>
  <c r="D56" i="29"/>
  <c r="V547" i="29"/>
  <c r="V684" i="29"/>
  <c r="V303" i="29"/>
  <c r="H11" i="29"/>
  <c r="H118" i="29"/>
  <c r="D242" i="29"/>
  <c r="D236" i="29"/>
  <c r="G270" i="29"/>
  <c r="H150" i="29"/>
  <c r="D9" i="29"/>
  <c r="V167" i="29"/>
  <c r="E88" i="29"/>
  <c r="V584" i="29"/>
  <c r="V817" i="29"/>
  <c r="D34" i="29"/>
  <c r="F215" i="29"/>
  <c r="H74" i="29"/>
  <c r="E253" i="29"/>
  <c r="G292" i="29"/>
  <c r="D306" i="29"/>
  <c r="F184" i="29"/>
  <c r="E98" i="29"/>
  <c r="C98" i="29" s="1"/>
  <c r="V229" i="29"/>
  <c r="U777" i="29"/>
  <c r="U851" i="29"/>
  <c r="V257" i="29"/>
  <c r="E162" i="29"/>
  <c r="E201" i="29"/>
  <c r="H393" i="29"/>
  <c r="E63" i="29"/>
  <c r="H198" i="29"/>
  <c r="F163" i="29"/>
  <c r="F24" i="29"/>
  <c r="V749" i="29"/>
  <c r="G147" i="29"/>
  <c r="F54" i="29"/>
  <c r="F29" i="29"/>
  <c r="V559" i="29"/>
  <c r="V411" i="29"/>
  <c r="E175" i="29"/>
  <c r="F224" i="29"/>
  <c r="H132" i="29"/>
  <c r="D194" i="29"/>
  <c r="F408" i="29"/>
  <c r="E177" i="29"/>
  <c r="D562" i="29"/>
  <c r="E125" i="29"/>
  <c r="D360" i="29"/>
  <c r="C233" i="29"/>
  <c r="F515" i="29"/>
  <c r="F206" i="29"/>
  <c r="E404" i="29"/>
  <c r="G237" i="29"/>
  <c r="F536" i="29"/>
  <c r="U887" i="29"/>
  <c r="V631" i="29"/>
  <c r="H49" i="29"/>
  <c r="D150" i="29"/>
  <c r="H339" i="29"/>
  <c r="C118" i="29"/>
  <c r="D173" i="29"/>
  <c r="H212" i="29"/>
  <c r="G337" i="29"/>
  <c r="F333" i="29"/>
  <c r="E377" i="29"/>
  <c r="F251" i="29"/>
  <c r="U846" i="29"/>
  <c r="U606" i="29"/>
  <c r="V798" i="29"/>
  <c r="H40" i="29"/>
  <c r="H25" i="29"/>
  <c r="H169" i="29"/>
  <c r="H544" i="29"/>
  <c r="F243" i="29"/>
  <c r="D256" i="29"/>
  <c r="E241" i="29"/>
  <c r="F253" i="29"/>
  <c r="G12" i="29"/>
  <c r="D375" i="29"/>
  <c r="D214" i="29"/>
  <c r="D355" i="29"/>
  <c r="H201" i="29"/>
  <c r="F316" i="29"/>
  <c r="E237" i="29"/>
  <c r="H521" i="29"/>
  <c r="D474" i="29"/>
  <c r="U592" i="29"/>
  <c r="U686" i="29"/>
  <c r="V673" i="29"/>
  <c r="U667" i="29"/>
  <c r="V67" i="29"/>
  <c r="V597" i="29"/>
  <c r="U789" i="29"/>
  <c r="U551" i="29"/>
  <c r="V685" i="29"/>
  <c r="V113" i="29"/>
  <c r="V859" i="29"/>
  <c r="F105" i="29"/>
  <c r="V829" i="29"/>
  <c r="G143" i="29"/>
  <c r="D154" i="29"/>
  <c r="E90" i="29"/>
  <c r="V285" i="29"/>
  <c r="U705" i="29"/>
  <c r="D41" i="29"/>
  <c r="V648" i="29"/>
  <c r="U917" i="29"/>
  <c r="F141" i="29"/>
  <c r="F28" i="29"/>
  <c r="G205" i="29"/>
  <c r="V86" i="29"/>
  <c r="H77" i="29"/>
  <c r="E10" i="29"/>
  <c r="E366" i="29"/>
  <c r="F130" i="29"/>
  <c r="V225" i="29"/>
  <c r="F144" i="29"/>
  <c r="V797" i="29"/>
  <c r="H104" i="29"/>
  <c r="F77" i="29"/>
  <c r="G353" i="29"/>
  <c r="F321" i="29"/>
  <c r="D310" i="29"/>
  <c r="G106" i="29"/>
  <c r="D31" i="29"/>
  <c r="G125" i="29"/>
  <c r="V417" i="29"/>
  <c r="U449" i="29"/>
  <c r="U365" i="29"/>
  <c r="G382" i="29"/>
  <c r="V774" i="29"/>
  <c r="E93" i="29"/>
  <c r="U403" i="29"/>
  <c r="G242" i="29"/>
  <c r="V622" i="29"/>
  <c r="H236" i="29"/>
  <c r="V906" i="29"/>
  <c r="V590" i="29"/>
  <c r="E204" i="29"/>
  <c r="V796" i="29"/>
  <c r="U901" i="29"/>
  <c r="D120" i="29"/>
  <c r="G282" i="29"/>
  <c r="U743" i="29"/>
  <c r="D149" i="29"/>
  <c r="G184" i="29"/>
  <c r="G134" i="29"/>
  <c r="H57" i="29"/>
  <c r="U320" i="29"/>
  <c r="V845" i="29"/>
  <c r="U528" i="29"/>
  <c r="D178" i="29"/>
  <c r="V570" i="29"/>
  <c r="H16" i="29"/>
  <c r="V287" i="29"/>
  <c r="E487" i="29"/>
  <c r="F176" i="29"/>
  <c r="E54" i="29"/>
  <c r="V161" i="29"/>
  <c r="G135" i="29"/>
  <c r="D153" i="29"/>
  <c r="D83" i="29"/>
  <c r="V902" i="29"/>
  <c r="H300" i="29"/>
  <c r="G274" i="29"/>
  <c r="D19" i="29"/>
  <c r="U256" i="29"/>
  <c r="D158" i="29"/>
  <c r="D278" i="29"/>
  <c r="F267" i="29"/>
  <c r="H591" i="29"/>
  <c r="F233" i="29"/>
  <c r="U811" i="29"/>
  <c r="E503" i="29"/>
  <c r="E494" i="29"/>
  <c r="G338" i="29"/>
  <c r="G27" i="29"/>
  <c r="H127" i="29"/>
  <c r="C205" i="29"/>
  <c r="G375" i="29"/>
  <c r="F365" i="29"/>
  <c r="F67" i="29"/>
  <c r="F111" i="29"/>
  <c r="V726" i="29"/>
  <c r="H78" i="29"/>
  <c r="G439" i="29"/>
  <c r="V786" i="29"/>
  <c r="E238" i="29"/>
  <c r="U669" i="29"/>
  <c r="V455" i="29"/>
  <c r="U603" i="29"/>
  <c r="U165" i="29"/>
  <c r="V247" i="29"/>
  <c r="V629" i="29"/>
  <c r="U721" i="29"/>
  <c r="U783" i="29"/>
  <c r="U361" i="29"/>
  <c r="V413" i="29"/>
  <c r="V852" i="29"/>
  <c r="V79" i="29"/>
  <c r="U873" i="29"/>
  <c r="H214" i="29"/>
  <c r="H66" i="29"/>
  <c r="D112" i="29"/>
  <c r="U605" i="29"/>
  <c r="E141" i="29"/>
  <c r="H135" i="29"/>
  <c r="E170" i="29"/>
  <c r="D135" i="29"/>
  <c r="U905" i="29"/>
  <c r="G21" i="29"/>
  <c r="F131" i="29"/>
  <c r="U547" i="29"/>
  <c r="V526" i="29"/>
  <c r="V602" i="29"/>
  <c r="D67" i="29"/>
  <c r="E219" i="29"/>
  <c r="U323" i="29"/>
  <c r="H69" i="29"/>
  <c r="E161" i="29"/>
  <c r="U554" i="29"/>
  <c r="V847" i="29"/>
  <c r="D246" i="29"/>
  <c r="F43" i="29"/>
  <c r="G207" i="29"/>
  <c r="E231" i="29"/>
  <c r="D13" i="29"/>
  <c r="U913" i="29"/>
  <c r="V653" i="29"/>
  <c r="V56" i="29"/>
  <c r="F165" i="29"/>
  <c r="U213" i="29"/>
  <c r="H145" i="29"/>
  <c r="E16" i="29"/>
  <c r="V656" i="29"/>
  <c r="G159" i="29"/>
  <c r="V785" i="29"/>
  <c r="G176" i="29"/>
  <c r="F302" i="29"/>
  <c r="D192" i="29"/>
  <c r="V901" i="29"/>
  <c r="V509" i="29"/>
  <c r="F200" i="29"/>
  <c r="G171" i="29"/>
  <c r="D291" i="29"/>
  <c r="D44" i="29"/>
  <c r="E74" i="29"/>
  <c r="F254" i="29"/>
  <c r="E229" i="29"/>
  <c r="F134" i="29"/>
  <c r="V159" i="29"/>
  <c r="V651" i="29"/>
  <c r="H37" i="29"/>
  <c r="U526" i="29"/>
  <c r="G169" i="29"/>
  <c r="E257" i="29"/>
  <c r="H83" i="29"/>
  <c r="G318" i="29"/>
  <c r="G241" i="29"/>
  <c r="E133" i="29"/>
  <c r="V340" i="29"/>
  <c r="U754" i="29"/>
  <c r="U540" i="29"/>
  <c r="F122" i="29"/>
  <c r="G162" i="29"/>
  <c r="D262" i="29"/>
  <c r="U741" i="29"/>
  <c r="U758" i="29"/>
  <c r="F158" i="29"/>
  <c r="H337" i="29"/>
  <c r="F154" i="29"/>
  <c r="H512" i="29"/>
  <c r="V912" i="29"/>
  <c r="F187" i="29"/>
  <c r="G59" i="29"/>
  <c r="G615" i="29"/>
  <c r="D110" i="29"/>
  <c r="H377" i="29"/>
  <c r="E43" i="29"/>
  <c r="E342" i="29"/>
  <c r="D122" i="29"/>
  <c r="U545" i="29"/>
  <c r="V468" i="29"/>
  <c r="V801" i="29"/>
  <c r="G15" i="29"/>
  <c r="D47" i="29"/>
  <c r="H162" i="29"/>
  <c r="E112" i="29"/>
  <c r="D94" i="29"/>
  <c r="E227" i="29"/>
  <c r="V558" i="29"/>
  <c r="U593" i="29"/>
  <c r="H170" i="29"/>
  <c r="U818" i="29"/>
  <c r="D129" i="29"/>
  <c r="V664" i="29"/>
  <c r="U219" i="29"/>
  <c r="U221" i="29"/>
  <c r="V110" i="29"/>
  <c r="V851" i="29"/>
  <c r="V858" i="29"/>
  <c r="U100" i="29"/>
  <c r="E80" i="29"/>
  <c r="E365" i="29"/>
  <c r="C365" i="29" s="1"/>
  <c r="D59" i="29"/>
  <c r="E39" i="29"/>
  <c r="U209" i="29"/>
  <c r="D49" i="29"/>
  <c r="V316" i="29"/>
  <c r="V463" i="29"/>
  <c r="V522" i="29"/>
  <c r="F53" i="29"/>
  <c r="H64" i="29"/>
  <c r="F156" i="29"/>
  <c r="F13" i="29"/>
  <c r="V582" i="29"/>
  <c r="E82" i="29"/>
  <c r="D467" i="29"/>
  <c r="V106" i="29"/>
  <c r="U692" i="29"/>
  <c r="U611" i="29"/>
  <c r="E56" i="29"/>
  <c r="F277" i="29"/>
  <c r="D137" i="29"/>
  <c r="G380" i="29"/>
  <c r="G85" i="29"/>
  <c r="E101" i="29"/>
  <c r="E102" i="29"/>
  <c r="H140" i="29"/>
  <c r="V682" i="29"/>
  <c r="F65" i="29"/>
  <c r="V600" i="29"/>
  <c r="D127" i="29"/>
  <c r="F407" i="29"/>
  <c r="H188" i="29"/>
  <c r="H138" i="29"/>
  <c r="E108" i="29"/>
  <c r="V742" i="29"/>
  <c r="E389" i="29"/>
  <c r="H222" i="29"/>
  <c r="G221" i="29"/>
  <c r="H193" i="29"/>
  <c r="G131" i="29"/>
  <c r="V890" i="29"/>
  <c r="U590" i="29"/>
  <c r="D87" i="29"/>
  <c r="H241" i="29"/>
  <c r="G81" i="29"/>
  <c r="E149" i="29"/>
  <c r="E266" i="29"/>
  <c r="U769" i="29"/>
  <c r="V418" i="29"/>
  <c r="U910" i="29"/>
  <c r="V813" i="29"/>
  <c r="V573" i="29"/>
  <c r="H163" i="29"/>
  <c r="U16" i="29"/>
  <c r="V473" i="29"/>
  <c r="F149" i="29"/>
  <c r="H32" i="29"/>
  <c r="E135" i="29"/>
  <c r="F289" i="29"/>
  <c r="U889" i="29"/>
  <c r="G400" i="29"/>
  <c r="G209" i="29"/>
  <c r="V862" i="29"/>
  <c r="E91" i="29"/>
  <c r="G328" i="29"/>
  <c r="H200" i="29"/>
  <c r="G80" i="29"/>
  <c r="F167" i="29"/>
  <c r="V379" i="29"/>
  <c r="G278" i="29"/>
  <c r="D335" i="29"/>
  <c r="G35" i="29"/>
  <c r="D320" i="29"/>
  <c r="D396" i="29"/>
  <c r="D367" i="29"/>
  <c r="D382" i="29"/>
  <c r="E359" i="29"/>
  <c r="F589" i="29"/>
  <c r="E210" i="29"/>
  <c r="G443" i="29"/>
  <c r="U263" i="29"/>
  <c r="V554" i="29"/>
  <c r="V736" i="29"/>
  <c r="U341" i="29"/>
  <c r="U234" i="29"/>
  <c r="V599" i="29"/>
  <c r="U355" i="29"/>
  <c r="U718" i="29"/>
  <c r="V29" i="29"/>
  <c r="U875" i="29"/>
  <c r="U422" i="29"/>
  <c r="F42" i="29"/>
  <c r="F39" i="29"/>
  <c r="U903" i="29"/>
  <c r="U892" i="29"/>
  <c r="F162" i="29"/>
  <c r="U831" i="29"/>
  <c r="V27" i="29"/>
  <c r="F8" i="29"/>
  <c r="U843" i="29"/>
  <c r="F71" i="29"/>
  <c r="F211" i="29"/>
  <c r="H55" i="29"/>
  <c r="D224" i="29"/>
  <c r="H17" i="29"/>
  <c r="E33" i="29"/>
  <c r="U518" i="29"/>
  <c r="V832" i="29"/>
  <c r="U616" i="29"/>
  <c r="V542" i="29"/>
  <c r="V295" i="29"/>
  <c r="V865" i="29"/>
  <c r="G124" i="29"/>
  <c r="V375" i="29"/>
  <c r="F337" i="29"/>
  <c r="D227" i="29"/>
  <c r="D292" i="29"/>
  <c r="V755" i="29"/>
  <c r="V206" i="29"/>
  <c r="G72" i="29"/>
  <c r="U415" i="29"/>
  <c r="V462" i="29"/>
  <c r="D103" i="29"/>
  <c r="G93" i="29"/>
  <c r="D106" i="29"/>
  <c r="D104" i="29"/>
  <c r="G38" i="29"/>
  <c r="V812" i="29"/>
  <c r="E153" i="29"/>
  <c r="G189" i="29"/>
  <c r="F245" i="29"/>
  <c r="F263" i="29"/>
  <c r="E45" i="29"/>
  <c r="V546" i="29"/>
  <c r="U246" i="29"/>
  <c r="F161" i="29"/>
  <c r="V849" i="29"/>
  <c r="G182" i="29"/>
  <c r="H73" i="29"/>
  <c r="V343" i="29"/>
  <c r="H12" i="29"/>
  <c r="V658" i="29"/>
  <c r="F185" i="29"/>
  <c r="E24" i="29"/>
  <c r="V709" i="29"/>
  <c r="D65" i="29"/>
  <c r="F56" i="29"/>
  <c r="G217" i="29"/>
  <c r="G39" i="29"/>
  <c r="E217" i="29"/>
  <c r="G53" i="29"/>
  <c r="H24" i="29"/>
  <c r="D187" i="29"/>
  <c r="V19" i="29"/>
  <c r="D421" i="29"/>
  <c r="V426" i="29"/>
  <c r="G110" i="29"/>
  <c r="E310" i="29"/>
  <c r="H259" i="29"/>
  <c r="F197" i="29"/>
  <c r="E147" i="29"/>
  <c r="D86" i="29"/>
  <c r="H119" i="29"/>
  <c r="D208" i="29"/>
  <c r="V905" i="29"/>
  <c r="D32" i="29"/>
  <c r="H275" i="29"/>
  <c r="D403" i="29"/>
  <c r="H654" i="29"/>
  <c r="D258" i="29"/>
  <c r="F350" i="29"/>
  <c r="D287" i="29"/>
  <c r="V405" i="29"/>
  <c r="F232" i="29"/>
  <c r="E244" i="29"/>
  <c r="V721" i="29"/>
  <c r="U711" i="29"/>
  <c r="F146" i="29"/>
  <c r="G122" i="29"/>
  <c r="H21" i="29"/>
  <c r="D174" i="29"/>
  <c r="H196" i="29"/>
  <c r="G386" i="29"/>
  <c r="D266" i="29"/>
  <c r="G52" i="29"/>
  <c r="U912" i="29"/>
  <c r="D147" i="29"/>
  <c r="H286" i="29"/>
  <c r="H10" i="29"/>
  <c r="D107" i="29"/>
  <c r="G50" i="29"/>
  <c r="E164" i="29"/>
  <c r="E351" i="29"/>
  <c r="E311" i="29"/>
  <c r="E239" i="29"/>
  <c r="U827" i="29"/>
  <c r="F242" i="29"/>
  <c r="V768" i="29"/>
  <c r="G102" i="29"/>
  <c r="D146" i="29"/>
  <c r="C257" i="29"/>
  <c r="H186" i="29"/>
  <c r="E103" i="29"/>
  <c r="G350" i="29"/>
  <c r="H44" i="29"/>
  <c r="F441" i="29"/>
  <c r="F296" i="29"/>
  <c r="U304" i="29"/>
  <c r="U849" i="29"/>
  <c r="V5" i="29"/>
  <c r="H246" i="29"/>
  <c r="V623" i="29"/>
  <c r="V64" i="29"/>
  <c r="E302" i="29"/>
  <c r="V665" i="29"/>
  <c r="E105" i="29"/>
  <c r="D82" i="29"/>
  <c r="E36" i="29"/>
  <c r="U782" i="29"/>
  <c r="H88" i="29"/>
  <c r="F181" i="29"/>
  <c r="D617" i="29"/>
  <c r="G108" i="29"/>
  <c r="F271" i="29"/>
  <c r="D299" i="29"/>
  <c r="E312" i="29"/>
  <c r="U558" i="29"/>
  <c r="E61" i="29"/>
  <c r="G288" i="29"/>
  <c r="D332" i="29"/>
  <c r="G598" i="29"/>
  <c r="D184" i="29"/>
  <c r="D358" i="29"/>
  <c r="D142" i="29"/>
  <c r="H168" i="29"/>
  <c r="H134" i="29"/>
  <c r="G663" i="29"/>
  <c r="F80" i="29"/>
  <c r="H413" i="29"/>
  <c r="G202" i="29"/>
  <c r="C42" i="29"/>
  <c r="H615" i="29"/>
  <c r="D145" i="29"/>
  <c r="V613" i="29"/>
  <c r="G51" i="29"/>
  <c r="H117" i="29"/>
  <c r="F352" i="29"/>
  <c r="V635" i="29"/>
  <c r="D410" i="29"/>
  <c r="D23" i="29"/>
  <c r="E278" i="29"/>
  <c r="H333" i="29"/>
  <c r="F153" i="29"/>
  <c r="D483" i="29"/>
  <c r="D134" i="29"/>
  <c r="D42" i="29"/>
  <c r="H125" i="29"/>
  <c r="H238" i="29"/>
  <c r="D18" i="29"/>
  <c r="F280" i="29"/>
  <c r="E271" i="29"/>
  <c r="H54" i="29"/>
  <c r="D387" i="29"/>
  <c r="E471" i="29"/>
  <c r="C281" i="29"/>
  <c r="F297" i="29"/>
  <c r="F364" i="29"/>
  <c r="H646" i="29"/>
  <c r="E127" i="29"/>
  <c r="E408" i="29"/>
  <c r="E246" i="29"/>
  <c r="F401" i="29"/>
  <c r="F15" i="29"/>
  <c r="F436" i="29"/>
  <c r="U330" i="29"/>
  <c r="H13" i="29"/>
  <c r="G214" i="29"/>
  <c r="D232" i="29"/>
  <c r="C170" i="29"/>
  <c r="F164" i="29"/>
  <c r="F268" i="29"/>
  <c r="H525" i="29"/>
  <c r="F304" i="29"/>
  <c r="H282" i="29"/>
  <c r="G255" i="29"/>
  <c r="F33" i="29"/>
  <c r="E276" i="29"/>
  <c r="H210" i="29"/>
  <c r="F87" i="29"/>
  <c r="D80" i="29"/>
  <c r="G388" i="29"/>
  <c r="D255" i="29"/>
  <c r="F126" i="29"/>
  <c r="F301" i="29"/>
  <c r="H294" i="29"/>
  <c r="G618" i="29"/>
  <c r="F347" i="29"/>
  <c r="G352" i="29"/>
  <c r="G456" i="29"/>
  <c r="G224" i="29"/>
  <c r="E514" i="29"/>
  <c r="E69" i="29"/>
  <c r="E145" i="29"/>
  <c r="G76" i="29"/>
  <c r="F464" i="29"/>
  <c r="G537" i="29"/>
  <c r="H231" i="29"/>
  <c r="E58" i="29"/>
  <c r="V811" i="29"/>
  <c r="H313" i="29"/>
  <c r="F102" i="29"/>
  <c r="D128" i="29"/>
  <c r="H213" i="29"/>
  <c r="F11" i="29"/>
  <c r="D351" i="29"/>
  <c r="F250" i="29"/>
  <c r="E114" i="29"/>
  <c r="H34" i="29"/>
  <c r="D321" i="29"/>
  <c r="D480" i="29"/>
  <c r="F555" i="29"/>
  <c r="E370" i="29"/>
  <c r="F335" i="29"/>
  <c r="D420" i="29"/>
  <c r="E264" i="29"/>
  <c r="E581" i="29"/>
  <c r="G362" i="29"/>
  <c r="G92" i="29"/>
  <c r="E117" i="29"/>
  <c r="F416" i="29"/>
  <c r="F539" i="29"/>
  <c r="E9" i="29"/>
  <c r="G401" i="29"/>
  <c r="H431" i="29"/>
  <c r="V548" i="29"/>
  <c r="U894" i="29"/>
  <c r="D204" i="29"/>
  <c r="E333" i="29"/>
  <c r="F45" i="29"/>
  <c r="U911" i="29"/>
  <c r="E95" i="29"/>
  <c r="F155" i="29"/>
  <c r="D121" i="29"/>
  <c r="U654" i="29"/>
  <c r="G20" i="29"/>
  <c r="E371" i="29"/>
  <c r="V217" i="29"/>
  <c r="E85" i="29"/>
  <c r="G542" i="29"/>
  <c r="D84" i="29"/>
  <c r="F461" i="29"/>
  <c r="E84" i="29"/>
  <c r="U729" i="29"/>
  <c r="V304" i="29"/>
  <c r="F143" i="29"/>
  <c r="G63" i="29"/>
  <c r="E334" i="29"/>
  <c r="D102" i="29"/>
  <c r="F195" i="29"/>
  <c r="H31" i="29"/>
  <c r="H148" i="29"/>
  <c r="E372" i="29"/>
  <c r="D215" i="29"/>
  <c r="H392" i="29"/>
  <c r="D143" i="29"/>
  <c r="F204" i="29"/>
  <c r="H401" i="29"/>
  <c r="F292" i="29"/>
  <c r="E604" i="29"/>
  <c r="H80" i="29"/>
  <c r="D50" i="29"/>
  <c r="V778" i="29"/>
  <c r="G83" i="29"/>
  <c r="D163" i="29"/>
  <c r="E300" i="29"/>
  <c r="F203" i="29"/>
  <c r="H345" i="29"/>
  <c r="F210" i="29"/>
  <c r="C259" i="29"/>
  <c r="G67" i="29"/>
  <c r="F520" i="29"/>
  <c r="G194" i="29"/>
  <c r="H466" i="29"/>
  <c r="D93" i="29"/>
  <c r="F113" i="29"/>
  <c r="H497" i="29"/>
  <c r="D24" i="29"/>
  <c r="U703" i="29"/>
  <c r="E298" i="29"/>
  <c r="C130" i="29"/>
  <c r="E426" i="29"/>
  <c r="H418" i="29"/>
  <c r="E305" i="29"/>
  <c r="F237" i="29"/>
  <c r="D17" i="29"/>
  <c r="F205" i="29"/>
  <c r="G99" i="29"/>
  <c r="E222" i="29"/>
  <c r="D77" i="29"/>
  <c r="C265" i="29"/>
  <c r="E186" i="29"/>
  <c r="D78" i="29"/>
  <c r="H124" i="29"/>
  <c r="D25" i="29"/>
  <c r="E163" i="29"/>
  <c r="F689" i="29"/>
  <c r="H312" i="29"/>
  <c r="E553" i="29"/>
  <c r="C10" i="29"/>
  <c r="G560" i="29"/>
  <c r="E17" i="29"/>
  <c r="F274" i="29"/>
  <c r="H97" i="29"/>
  <c r="E189" i="29"/>
  <c r="V211" i="29"/>
  <c r="G144" i="29"/>
  <c r="G113" i="29"/>
  <c r="H149" i="29"/>
  <c r="D111" i="29"/>
  <c r="G77" i="29"/>
  <c r="V679" i="29"/>
  <c r="H59" i="29"/>
  <c r="E457" i="29"/>
  <c r="E19" i="29"/>
  <c r="F231" i="29"/>
  <c r="F37" i="29"/>
  <c r="D100" i="29"/>
  <c r="E221" i="29"/>
  <c r="E292" i="29"/>
  <c r="F207" i="29"/>
  <c r="H376" i="29"/>
  <c r="E440" i="29"/>
  <c r="H211" i="29"/>
  <c r="F480" i="29"/>
  <c r="E287" i="29"/>
  <c r="E46" i="29"/>
  <c r="G79" i="29"/>
  <c r="E79" i="29"/>
  <c r="F246" i="29"/>
  <c r="E78" i="29"/>
  <c r="F90" i="29"/>
  <c r="D588" i="29"/>
  <c r="E341" i="29"/>
  <c r="G379" i="29"/>
  <c r="E220" i="29"/>
  <c r="D282" i="29"/>
  <c r="G359" i="29"/>
  <c r="F402" i="29"/>
  <c r="V307" i="29"/>
  <c r="U832" i="29"/>
  <c r="E273" i="29"/>
  <c r="E34" i="29"/>
  <c r="V195" i="29"/>
  <c r="D95" i="29"/>
  <c r="F229" i="29"/>
  <c r="D64" i="29"/>
  <c r="F152" i="29"/>
  <c r="U356" i="29"/>
  <c r="F387" i="29"/>
  <c r="G128" i="29"/>
  <c r="H237" i="29"/>
  <c r="G213" i="29"/>
  <c r="D391" i="29"/>
  <c r="F142" i="29"/>
  <c r="E638" i="29"/>
  <c r="F388" i="29"/>
  <c r="G360" i="29"/>
  <c r="H39" i="29"/>
  <c r="F275" i="29"/>
  <c r="G178" i="29"/>
  <c r="F256" i="29"/>
  <c r="H30" i="29"/>
  <c r="F483" i="29"/>
  <c r="E228" i="29"/>
  <c r="D573" i="29"/>
  <c r="E397" i="29"/>
  <c r="H245" i="29"/>
  <c r="F606" i="29"/>
  <c r="D189" i="29"/>
  <c r="G170" i="29"/>
  <c r="H510" i="29"/>
  <c r="D284" i="29"/>
  <c r="F125" i="29"/>
  <c r="G120" i="29"/>
  <c r="U584" i="29"/>
  <c r="V356" i="29"/>
  <c r="D288" i="29"/>
  <c r="G186" i="29"/>
  <c r="G333" i="29"/>
  <c r="H361" i="29"/>
  <c r="G374" i="29"/>
  <c r="E401" i="29"/>
  <c r="G239" i="29"/>
  <c r="E307" i="29"/>
  <c r="G177" i="29"/>
  <c r="F178" i="29"/>
  <c r="E44" i="29"/>
  <c r="D366" i="29"/>
  <c r="E75" i="29"/>
  <c r="G25" i="29"/>
  <c r="E171" i="29"/>
  <c r="G149" i="29"/>
  <c r="F92" i="29"/>
  <c r="H161" i="29"/>
  <c r="F21" i="29"/>
  <c r="F577" i="29"/>
  <c r="G138" i="29"/>
  <c r="D428" i="29"/>
  <c r="F193" i="29"/>
  <c r="E94" i="29"/>
  <c r="F22" i="29"/>
  <c r="F30" i="29"/>
  <c r="E176" i="29"/>
  <c r="E26" i="29"/>
  <c r="U791" i="29"/>
  <c r="U533" i="29"/>
  <c r="U689" i="29"/>
  <c r="E240" i="29"/>
  <c r="G103" i="29"/>
  <c r="V898" i="29"/>
  <c r="F106" i="29"/>
  <c r="C389" i="29"/>
  <c r="U583" i="29"/>
  <c r="F429" i="29"/>
  <c r="G232" i="29"/>
  <c r="F291" i="29"/>
  <c r="G100" i="29"/>
  <c r="D338" i="29"/>
  <c r="H284" i="29"/>
  <c r="V725" i="29"/>
  <c r="U535" i="29"/>
  <c r="G37" i="29"/>
  <c r="E443" i="29"/>
  <c r="F324" i="29"/>
  <c r="G342" i="29"/>
  <c r="H311" i="29"/>
  <c r="G310" i="29"/>
  <c r="D359" i="29"/>
  <c r="D314" i="29"/>
  <c r="G258" i="29"/>
  <c r="E255" i="29"/>
  <c r="E386" i="29"/>
  <c r="H321" i="29"/>
  <c r="E263" i="29"/>
  <c r="G105" i="29"/>
  <c r="D327" i="29"/>
  <c r="H495" i="29"/>
  <c r="D495" i="29"/>
  <c r="G412" i="29"/>
  <c r="D220" i="29"/>
  <c r="D76" i="29"/>
  <c r="G269" i="29"/>
  <c r="F255" i="29"/>
  <c r="G28" i="29"/>
  <c r="F48" i="29"/>
  <c r="D455" i="29"/>
  <c r="F63" i="29"/>
  <c r="U801" i="29"/>
  <c r="E470" i="29"/>
  <c r="G438" i="29"/>
  <c r="D543" i="29"/>
  <c r="G312" i="29"/>
  <c r="F40" i="29"/>
  <c r="H84" i="29"/>
  <c r="H648" i="29"/>
  <c r="D593" i="29"/>
  <c r="F551" i="29"/>
  <c r="D238" i="29"/>
  <c r="D199" i="29"/>
  <c r="E315" i="29"/>
  <c r="G423" i="29"/>
  <c r="F325" i="29"/>
  <c r="F557" i="29"/>
  <c r="F236" i="29"/>
  <c r="G414" i="29"/>
  <c r="H621" i="29"/>
  <c r="G336" i="29"/>
  <c r="H251" i="29"/>
  <c r="H164" i="29"/>
  <c r="D524" i="29"/>
  <c r="G5" i="29"/>
  <c r="E479" i="29"/>
  <c r="E631" i="29"/>
  <c r="G549" i="29"/>
  <c r="F596" i="29"/>
  <c r="H529" i="29"/>
  <c r="D337" i="29"/>
  <c r="E18" i="29"/>
  <c r="D581" i="29"/>
  <c r="F506" i="29"/>
  <c r="F17" i="29"/>
  <c r="E507" i="29"/>
  <c r="F543" i="29"/>
  <c r="E338" i="29"/>
  <c r="G432" i="29"/>
  <c r="E318" i="29"/>
  <c r="G643" i="29"/>
  <c r="D440" i="29"/>
  <c r="G627" i="29"/>
  <c r="F36" i="29"/>
  <c r="D640" i="29"/>
  <c r="F503" i="29"/>
  <c r="H352" i="29"/>
  <c r="E157" i="29"/>
  <c r="F588" i="29"/>
  <c r="H235" i="29"/>
  <c r="G199" i="29"/>
  <c r="V179" i="29"/>
  <c r="D116" i="29"/>
  <c r="G219" i="29"/>
  <c r="E183" i="29"/>
  <c r="G19" i="29"/>
  <c r="V31" i="29"/>
  <c r="D133" i="29"/>
  <c r="F160" i="29"/>
  <c r="G206" i="29"/>
  <c r="E20" i="29"/>
  <c r="G179" i="29"/>
  <c r="G56" i="29"/>
  <c r="D206" i="29"/>
  <c r="F191" i="29"/>
  <c r="H280" i="29"/>
  <c r="E275" i="29"/>
  <c r="D349" i="29"/>
  <c r="F252" i="29"/>
  <c r="G308" i="29"/>
  <c r="U31" i="29"/>
  <c r="G366" i="29"/>
  <c r="U647" i="29"/>
  <c r="D5" i="29"/>
  <c r="F183" i="29"/>
  <c r="V795" i="29"/>
  <c r="F216" i="29"/>
  <c r="E86" i="29"/>
  <c r="F344" i="29"/>
  <c r="G240" i="29"/>
  <c r="U575" i="29"/>
  <c r="H354" i="29"/>
  <c r="H408" i="29"/>
  <c r="G464" i="29"/>
  <c r="E666" i="29"/>
  <c r="G378" i="29"/>
  <c r="V808" i="29"/>
  <c r="F61" i="29"/>
  <c r="D239" i="29"/>
  <c r="E37" i="29"/>
  <c r="G243" i="29"/>
  <c r="E410" i="29"/>
  <c r="F368" i="29"/>
  <c r="F94" i="29"/>
  <c r="E465" i="29"/>
  <c r="G57" i="29"/>
  <c r="E72" i="29"/>
  <c r="D167" i="29"/>
  <c r="H129" i="29"/>
  <c r="H209" i="29"/>
  <c r="H362" i="29"/>
  <c r="H113" i="29"/>
  <c r="F472" i="29"/>
  <c r="U699" i="29"/>
  <c r="G126" i="29"/>
  <c r="F399" i="29"/>
  <c r="D660" i="29"/>
  <c r="E73" i="29"/>
  <c r="F128" i="29"/>
  <c r="G523" i="29"/>
  <c r="D456" i="29"/>
  <c r="H227" i="29"/>
  <c r="D431" i="29"/>
  <c r="E392" i="29"/>
  <c r="F238" i="29"/>
  <c r="G9" i="29"/>
  <c r="G303" i="29"/>
  <c r="E120" i="29"/>
  <c r="F127" i="29"/>
  <c r="D216" i="29"/>
  <c r="D293" i="29"/>
  <c r="F240" i="29"/>
  <c r="F529" i="29"/>
  <c r="E196" i="29"/>
  <c r="G66" i="29"/>
  <c r="H379" i="29"/>
  <c r="D584" i="29"/>
  <c r="E87" i="29"/>
  <c r="H278" i="29"/>
  <c r="E286" i="29"/>
  <c r="U229" i="29"/>
  <c r="V251" i="29"/>
  <c r="U591" i="29"/>
  <c r="F99" i="29"/>
  <c r="F72" i="29"/>
  <c r="H244" i="29"/>
  <c r="E313" i="29"/>
  <c r="G304" i="29"/>
  <c r="H218" i="29"/>
  <c r="D475" i="29"/>
  <c r="H219" i="29"/>
  <c r="F182" i="29"/>
  <c r="G193" i="29"/>
  <c r="E254" i="29"/>
  <c r="H144" i="29"/>
  <c r="E272" i="29"/>
  <c r="H253" i="29"/>
  <c r="F31" i="29"/>
  <c r="E369" i="29"/>
  <c r="F566" i="29"/>
  <c r="F136" i="29"/>
  <c r="D160" i="29"/>
  <c r="D515" i="29"/>
  <c r="G153" i="29"/>
  <c r="E137" i="29"/>
  <c r="D248" i="29"/>
  <c r="U599" i="29"/>
  <c r="H184" i="29"/>
  <c r="H358" i="29"/>
  <c r="H68" i="29"/>
  <c r="H365" i="29"/>
  <c r="E211" i="29"/>
  <c r="E526" i="29"/>
  <c r="D611" i="29"/>
  <c r="E508" i="29"/>
  <c r="D92" i="29"/>
  <c r="D313" i="29"/>
  <c r="H371" i="29"/>
  <c r="D530" i="29"/>
  <c r="F734" i="29"/>
  <c r="F12" i="29"/>
  <c r="H154" i="29"/>
  <c r="G437" i="29"/>
  <c r="F556" i="29"/>
  <c r="D37" i="29"/>
  <c r="E71" i="29"/>
  <c r="D7" i="29"/>
  <c r="V127" i="29"/>
  <c r="U805" i="29"/>
  <c r="F295" i="29"/>
  <c r="H91" i="29"/>
  <c r="D54" i="29"/>
  <c r="H260" i="29"/>
  <c r="E248" i="29"/>
  <c r="H180" i="29"/>
  <c r="F107" i="29"/>
  <c r="H112" i="29"/>
  <c r="U241" i="29"/>
  <c r="D202" i="29"/>
  <c r="F376" i="29"/>
  <c r="G265" i="29"/>
  <c r="F198" i="29"/>
  <c r="E13" i="29"/>
  <c r="H249" i="29"/>
  <c r="U882" i="29"/>
  <c r="V675" i="29"/>
  <c r="E216" i="29"/>
  <c r="F395" i="29"/>
  <c r="G58" i="29"/>
  <c r="H454" i="29"/>
  <c r="G65" i="29"/>
  <c r="G215" i="29"/>
  <c r="H326" i="29"/>
  <c r="H389" i="29"/>
  <c r="G281" i="29"/>
  <c r="D89" i="29"/>
  <c r="V624" i="29"/>
  <c r="F174" i="29"/>
  <c r="V669" i="29"/>
  <c r="F247" i="29"/>
  <c r="V783" i="29"/>
  <c r="E5" i="29"/>
  <c r="G367" i="29"/>
  <c r="D542" i="29"/>
  <c r="D144" i="29"/>
  <c r="E159" i="29"/>
  <c r="D226" i="29"/>
  <c r="H346" i="29"/>
  <c r="F10" i="29"/>
  <c r="C201" i="29"/>
  <c r="G341" i="29"/>
  <c r="F375" i="29"/>
  <c r="E345" i="29"/>
  <c r="E296" i="29"/>
  <c r="U565" i="29"/>
  <c r="E38" i="29"/>
  <c r="U147" i="29"/>
  <c r="G111" i="29"/>
  <c r="F284" i="29"/>
  <c r="G613" i="29"/>
  <c r="E321" i="29"/>
  <c r="F137" i="29"/>
  <c r="G280" i="29"/>
  <c r="F526" i="29"/>
  <c r="H364" i="29"/>
  <c r="G402" i="29"/>
  <c r="D40" i="29"/>
  <c r="F320" i="29"/>
  <c r="F150" i="29"/>
  <c r="E283" i="29"/>
  <c r="U802" i="29"/>
  <c r="G266" i="29"/>
  <c r="U734" i="29"/>
  <c r="G279" i="29"/>
  <c r="G325" i="29"/>
  <c r="E230" i="29"/>
  <c r="H199" i="29"/>
  <c r="V793" i="29"/>
  <c r="F97" i="29"/>
  <c r="G305" i="29"/>
  <c r="G398" i="29"/>
  <c r="D377" i="29"/>
  <c r="G190" i="29"/>
  <c r="U775" i="29"/>
  <c r="U601" i="29"/>
  <c r="F363" i="29"/>
  <c r="E35" i="29"/>
  <c r="G156" i="29"/>
  <c r="H507" i="29"/>
  <c r="H43" i="29"/>
  <c r="V782" i="29"/>
  <c r="E23" i="29"/>
  <c r="G475" i="29"/>
  <c r="D340" i="29"/>
  <c r="E542" i="29"/>
  <c r="F132" i="29"/>
  <c r="D217" i="29"/>
  <c r="E67" i="29"/>
  <c r="D249" i="29"/>
  <c r="G104" i="29"/>
  <c r="E475" i="29"/>
  <c r="D309" i="29"/>
  <c r="E413" i="29"/>
  <c r="E291" i="29"/>
  <c r="E40" i="29"/>
  <c r="E53" i="29"/>
  <c r="U657" i="29"/>
  <c r="H465" i="29"/>
  <c r="D395" i="29"/>
  <c r="C14" i="29"/>
  <c r="D514" i="29"/>
  <c r="E247" i="29"/>
  <c r="F342" i="29"/>
  <c r="H373" i="29"/>
  <c r="D245" i="29"/>
  <c r="H87" i="29"/>
  <c r="G45" i="29"/>
  <c r="G351" i="29"/>
  <c r="G261" i="29"/>
  <c r="G299" i="29"/>
  <c r="H493" i="29"/>
  <c r="G381" i="29"/>
  <c r="E498" i="29"/>
  <c r="E236" i="29"/>
  <c r="G332" i="29"/>
  <c r="H187" i="29"/>
  <c r="C341" i="29"/>
  <c r="E761" i="29"/>
  <c r="H482" i="29"/>
  <c r="G264" i="29"/>
  <c r="F545" i="29"/>
  <c r="V758" i="29"/>
  <c r="E81" i="29"/>
  <c r="G229" i="29"/>
  <c r="U687" i="29"/>
  <c r="E55" i="29"/>
  <c r="F298" i="29"/>
  <c r="U145" i="29"/>
  <c r="G118" i="29"/>
  <c r="U218" i="29"/>
  <c r="E41" i="29"/>
  <c r="E143" i="29"/>
  <c r="D312" i="29"/>
  <c r="F213" i="29"/>
  <c r="E535" i="29"/>
  <c r="E353" i="29"/>
  <c r="D186" i="29"/>
  <c r="D51" i="29"/>
  <c r="D45" i="29"/>
  <c r="D260" i="29"/>
  <c r="H63" i="29"/>
  <c r="F139" i="29"/>
  <c r="F348" i="29"/>
  <c r="F172" i="29"/>
  <c r="H388" i="29"/>
  <c r="D305" i="29"/>
  <c r="G404" i="29"/>
  <c r="F100" i="29"/>
  <c r="H229" i="29"/>
  <c r="H449" i="29"/>
  <c r="H178" i="29"/>
  <c r="F109" i="29"/>
  <c r="H440" i="29"/>
  <c r="F448" i="29"/>
  <c r="H519" i="29"/>
  <c r="U749" i="29"/>
  <c r="U839" i="29"/>
  <c r="F46" i="29"/>
  <c r="H254" i="29"/>
  <c r="E306" i="29"/>
  <c r="D477" i="29"/>
  <c r="F311" i="29"/>
  <c r="U850" i="29"/>
  <c r="H461" i="29"/>
  <c r="F300" i="29"/>
  <c r="F35" i="29"/>
  <c r="D15" i="29"/>
  <c r="F25" i="29"/>
  <c r="F103" i="29"/>
  <c r="D115" i="29"/>
  <c r="C345" i="29"/>
  <c r="H242" i="29"/>
  <c r="E70" i="29"/>
  <c r="G54" i="29"/>
  <c r="H35" i="29"/>
  <c r="F89" i="29"/>
  <c r="G427" i="29"/>
  <c r="E52" i="29"/>
  <c r="H47" i="29"/>
  <c r="V24" i="29"/>
  <c r="D406" i="29"/>
  <c r="F440" i="29"/>
  <c r="D182" i="29"/>
  <c r="H183" i="29"/>
  <c r="H303" i="29"/>
  <c r="H203" i="29"/>
  <c r="D389" i="29"/>
  <c r="H264" i="29"/>
  <c r="F64" i="29"/>
  <c r="E243" i="29"/>
  <c r="H18" i="29"/>
  <c r="U623" i="29"/>
  <c r="U136" i="29"/>
  <c r="H233" i="29"/>
  <c r="H347" i="29"/>
  <c r="H95" i="29"/>
  <c r="F411" i="29"/>
  <c r="F317" i="29"/>
  <c r="G268" i="29"/>
  <c r="F227" i="29"/>
  <c r="G164" i="29"/>
  <c r="G276" i="29"/>
  <c r="D157" i="29"/>
  <c r="F220" i="29"/>
  <c r="D20" i="29"/>
  <c r="H217" i="29"/>
  <c r="G183" i="29"/>
  <c r="D85" i="29"/>
  <c r="H131" i="29"/>
  <c r="C185" i="29"/>
  <c r="D159" i="29"/>
  <c r="D172" i="29"/>
  <c r="F500" i="29"/>
  <c r="H306" i="29"/>
  <c r="F55" i="29"/>
  <c r="E454" i="29"/>
  <c r="F85" i="29"/>
  <c r="H283" i="29"/>
  <c r="E447" i="29"/>
  <c r="D481" i="29"/>
  <c r="V900" i="29"/>
  <c r="H189" i="29"/>
  <c r="U823" i="29"/>
  <c r="D179" i="29"/>
  <c r="G180" i="29"/>
  <c r="F221" i="29"/>
  <c r="G166" i="29"/>
  <c r="F261" i="29"/>
  <c r="D36" i="29"/>
  <c r="F18" i="29"/>
  <c r="E282" i="29"/>
  <c r="F527" i="29"/>
  <c r="E226" i="29"/>
  <c r="H79" i="29"/>
  <c r="V553" i="29"/>
  <c r="G94" i="29"/>
  <c r="F424" i="29"/>
  <c r="E139" i="29"/>
  <c r="G226" i="29"/>
  <c r="H315" i="29"/>
  <c r="H75" i="29"/>
  <c r="G185" i="29"/>
  <c r="U656" i="29"/>
  <c r="F5" i="29"/>
  <c r="E138" i="29"/>
  <c r="H400" i="29"/>
  <c r="G163" i="29"/>
  <c r="F260" i="29"/>
  <c r="D460" i="29"/>
  <c r="E614" i="29"/>
  <c r="G323" i="29"/>
  <c r="E339" i="29"/>
  <c r="E122" i="29"/>
  <c r="D91" i="29"/>
  <c r="F19" i="29"/>
  <c r="E89" i="29"/>
  <c r="F450" i="29"/>
  <c r="D230" i="29"/>
  <c r="G248" i="29"/>
  <c r="H92" i="29"/>
  <c r="H224" i="29"/>
  <c r="F282" i="29"/>
  <c r="D362" i="29"/>
  <c r="G277" i="29"/>
  <c r="H8" i="29"/>
  <c r="D526" i="29"/>
  <c r="F384" i="29"/>
  <c r="G703" i="29"/>
  <c r="D151" i="29"/>
  <c r="F119" i="29"/>
  <c r="H122" i="29"/>
  <c r="E198" i="29"/>
  <c r="E519" i="29"/>
  <c r="E154" i="29"/>
  <c r="G136" i="29"/>
  <c r="U154" i="29"/>
  <c r="E22" i="29"/>
  <c r="G44" i="29"/>
  <c r="H281" i="29"/>
  <c r="G467" i="29"/>
  <c r="G257" i="29"/>
  <c r="D476" i="29"/>
  <c r="H322" i="29"/>
  <c r="D342" i="29"/>
  <c r="D27" i="29"/>
  <c r="V532" i="29"/>
  <c r="E77" i="29"/>
  <c r="G392" i="29"/>
  <c r="H147" i="29"/>
  <c r="G480" i="29"/>
  <c r="G326" i="29"/>
  <c r="D210" i="29"/>
  <c r="G349" i="29"/>
  <c r="D596" i="29"/>
  <c r="H179" i="29"/>
  <c r="D500" i="29"/>
  <c r="H421" i="29"/>
  <c r="D225" i="29"/>
  <c r="G160" i="29"/>
  <c r="E499" i="29"/>
  <c r="F75" i="29"/>
  <c r="E234" i="29"/>
  <c r="D8" i="29"/>
  <c r="G335" i="29"/>
  <c r="G152" i="29"/>
  <c r="G249" i="29"/>
  <c r="F208" i="29"/>
  <c r="G230" i="29"/>
  <c r="H250" i="29"/>
  <c r="F332" i="29"/>
  <c r="F265" i="29"/>
  <c r="D336" i="29"/>
  <c r="F68" i="29"/>
  <c r="D63" i="29"/>
  <c r="F66" i="29"/>
  <c r="H269" i="29"/>
  <c r="E184" i="29"/>
  <c r="F98" i="29"/>
  <c r="V825" i="29"/>
  <c r="F223" i="29"/>
  <c r="H288" i="29"/>
  <c r="D281" i="29"/>
  <c r="G520" i="29"/>
  <c r="D302" i="29"/>
  <c r="F262" i="29"/>
  <c r="F186" i="29"/>
  <c r="F437" i="29"/>
  <c r="F358" i="29"/>
  <c r="V892" i="29"/>
  <c r="F287" i="29"/>
  <c r="F334" i="29"/>
  <c r="E182" i="29"/>
  <c r="D465" i="29"/>
  <c r="F179" i="29"/>
  <c r="E245" i="29"/>
  <c r="C245" i="29" s="1"/>
  <c r="E269" i="29"/>
  <c r="D43" i="29"/>
  <c r="E6" i="29"/>
  <c r="H574" i="29"/>
  <c r="F6" i="29"/>
  <c r="D152" i="29"/>
  <c r="G263" i="29"/>
  <c r="H290" i="29"/>
  <c r="H265" i="29"/>
  <c r="E445" i="29"/>
  <c r="F495" i="29"/>
  <c r="H504" i="29"/>
  <c r="H287" i="29"/>
  <c r="E441" i="29"/>
  <c r="E571" i="29"/>
  <c r="F276" i="29"/>
  <c r="G459" i="29"/>
  <c r="F533" i="29"/>
  <c r="V52" i="29"/>
  <c r="D218" i="29"/>
  <c r="E477" i="29"/>
  <c r="D383" i="29"/>
  <c r="H606" i="29"/>
  <c r="F423" i="29"/>
  <c r="E169" i="29"/>
  <c r="G587" i="29"/>
  <c r="G267" i="29"/>
  <c r="G73" i="29"/>
  <c r="V427" i="29"/>
  <c r="F471" i="29"/>
  <c r="G406" i="29"/>
  <c r="F583" i="29"/>
  <c r="E537" i="29"/>
  <c r="D191" i="29"/>
  <c r="G419" i="29"/>
  <c r="E776" i="29"/>
  <c r="H627" i="29"/>
  <c r="D418" i="29"/>
  <c r="G287" i="29"/>
  <c r="H72" i="29"/>
  <c r="H624" i="29"/>
  <c r="G387" i="29"/>
  <c r="D694" i="29"/>
  <c r="F228" i="29"/>
  <c r="F573" i="29"/>
  <c r="G444" i="29"/>
  <c r="F380" i="29"/>
  <c r="H115" i="29"/>
  <c r="D444" i="29"/>
  <c r="G302" i="29"/>
  <c r="D386" i="29"/>
  <c r="E391" i="29"/>
  <c r="D505" i="29"/>
  <c r="D439" i="29"/>
  <c r="F286" i="29"/>
  <c r="G462" i="29"/>
  <c r="D739" i="29"/>
  <c r="H86" i="29"/>
  <c r="U553" i="29"/>
  <c r="U32" i="29"/>
  <c r="E132" i="29"/>
  <c r="F110" i="29"/>
  <c r="D605" i="29"/>
  <c r="G69" i="29"/>
  <c r="H356" i="29"/>
  <c r="D323" i="29"/>
  <c r="D247" i="29"/>
  <c r="F147" i="29"/>
  <c r="H85" i="29"/>
  <c r="F273" i="29"/>
  <c r="E279" i="29"/>
  <c r="E373" i="29"/>
  <c r="E346" i="29"/>
  <c r="H411" i="29"/>
  <c r="G174" i="29"/>
  <c r="H412" i="29"/>
  <c r="G408" i="29"/>
  <c r="H575" i="29"/>
  <c r="H748" i="29"/>
  <c r="H267" i="29"/>
  <c r="F115" i="29"/>
  <c r="H53" i="29"/>
  <c r="D601" i="29"/>
  <c r="D478" i="29"/>
  <c r="F272" i="29"/>
  <c r="G796" i="29"/>
  <c r="E190" i="29"/>
  <c r="E113" i="29"/>
  <c r="F452" i="29"/>
  <c r="G727" i="29"/>
  <c r="H640" i="29"/>
  <c r="H425" i="29"/>
  <c r="H121" i="29"/>
  <c r="F225" i="29"/>
  <c r="E280" i="29"/>
  <c r="F469" i="29"/>
  <c r="G301" i="29"/>
  <c r="D250" i="29"/>
  <c r="G130" i="29"/>
  <c r="E329" i="29"/>
  <c r="F489" i="29"/>
  <c r="H293" i="29"/>
  <c r="D553" i="29"/>
  <c r="H385" i="29"/>
  <c r="G666" i="29"/>
  <c r="E400" i="29"/>
  <c r="H167" i="29"/>
  <c r="F415" i="29"/>
  <c r="E66" i="29"/>
  <c r="H62" i="29"/>
  <c r="H70" i="29"/>
  <c r="F531" i="29"/>
  <c r="H111" i="29"/>
  <c r="H292" i="29"/>
  <c r="G474" i="29"/>
  <c r="D280" i="29"/>
  <c r="G500" i="29"/>
  <c r="F367" i="29"/>
  <c r="H221" i="29"/>
  <c r="G311" i="29"/>
  <c r="D629" i="29"/>
  <c r="H499" i="29"/>
  <c r="F486" i="29"/>
  <c r="F456" i="29"/>
  <c r="F657" i="29"/>
  <c r="H670" i="29"/>
  <c r="E340" i="29"/>
  <c r="H185" i="29"/>
  <c r="E412" i="29"/>
  <c r="H710" i="29"/>
  <c r="E620" i="29"/>
  <c r="G203" i="29"/>
  <c r="H252" i="29"/>
  <c r="D269" i="29"/>
  <c r="H176" i="29"/>
  <c r="F331" i="29"/>
  <c r="E529" i="29"/>
  <c r="H528" i="29"/>
  <c r="F361" i="29"/>
  <c r="G235" i="29"/>
  <c r="H491" i="29"/>
  <c r="D264" i="29"/>
  <c r="D680" i="29"/>
  <c r="F244" i="29"/>
  <c r="G195" i="29"/>
  <c r="G569" i="29"/>
  <c r="C333" i="29"/>
  <c r="H305" i="29"/>
  <c r="G345" i="29"/>
  <c r="F652" i="29"/>
  <c r="G840" i="29"/>
  <c r="F16" i="29"/>
  <c r="F124" i="29"/>
  <c r="F681" i="29"/>
  <c r="E451" i="29"/>
  <c r="H761" i="29"/>
  <c r="F118" i="29"/>
  <c r="D231" i="29"/>
  <c r="F20" i="29"/>
  <c r="G173" i="29"/>
  <c r="D162" i="29"/>
  <c r="F133" i="29"/>
  <c r="H317" i="29"/>
  <c r="D628" i="29"/>
  <c r="E352" i="29"/>
  <c r="G357" i="29"/>
  <c r="D361" i="29"/>
  <c r="E381" i="29"/>
  <c r="E403" i="29"/>
  <c r="H490" i="29"/>
  <c r="E390" i="29"/>
  <c r="E599" i="29"/>
  <c r="G107" i="29"/>
  <c r="D180" i="29"/>
  <c r="E301" i="29"/>
  <c r="D275" i="29"/>
  <c r="H498" i="29"/>
  <c r="C58" i="29"/>
  <c r="H740" i="29"/>
  <c r="E383" i="29"/>
  <c r="E129" i="29"/>
  <c r="E180" i="29"/>
  <c r="E411" i="29"/>
  <c r="F308" i="29"/>
  <c r="G586" i="29"/>
  <c r="C122" i="29"/>
  <c r="G247" i="29"/>
  <c r="G417" i="29"/>
  <c r="H516" i="29"/>
  <c r="H258" i="29"/>
  <c r="G512" i="29"/>
  <c r="U879" i="29"/>
  <c r="E295" i="29"/>
  <c r="E434" i="29"/>
  <c r="F421" i="29"/>
  <c r="H204" i="29"/>
  <c r="C401" i="29"/>
  <c r="D213" i="29"/>
  <c r="D114" i="29"/>
  <c r="D416" i="29"/>
  <c r="D297" i="29"/>
  <c r="H126" i="29"/>
  <c r="E209" i="29"/>
  <c r="D470" i="29"/>
  <c r="D402" i="29"/>
  <c r="F547" i="29"/>
  <c r="E691" i="29"/>
  <c r="E96" i="29"/>
  <c r="D566" i="29"/>
  <c r="D708" i="29"/>
  <c r="G561" i="29"/>
  <c r="G220" i="29"/>
  <c r="G307" i="29"/>
  <c r="C168" i="29"/>
  <c r="D131" i="29"/>
  <c r="E506" i="29"/>
  <c r="H496" i="29"/>
  <c r="E565" i="29"/>
  <c r="D394" i="29"/>
  <c r="E337" i="29"/>
  <c r="E331" i="29"/>
  <c r="E382" i="29"/>
  <c r="D165" i="29"/>
  <c r="C395" i="29"/>
  <c r="H215" i="29"/>
  <c r="H359" i="29"/>
  <c r="F538" i="29"/>
  <c r="E891" i="29"/>
  <c r="H216" i="29"/>
  <c r="D506" i="29"/>
  <c r="G123" i="29"/>
  <c r="D653" i="29"/>
  <c r="G212" i="29"/>
  <c r="G289" i="29"/>
  <c r="H90" i="29"/>
  <c r="D205" i="29"/>
  <c r="G291" i="29"/>
  <c r="F26" i="29"/>
  <c r="U557" i="29"/>
  <c r="F101" i="29"/>
  <c r="V40" i="29"/>
  <c r="F93" i="29"/>
  <c r="D66" i="29"/>
  <c r="G389" i="29"/>
  <c r="F235" i="29"/>
  <c r="F38" i="29"/>
  <c r="F672" i="29"/>
  <c r="H20" i="29"/>
  <c r="G760" i="29"/>
  <c r="H428" i="29"/>
  <c r="E274" i="29"/>
  <c r="H509" i="29"/>
  <c r="E446" i="29"/>
  <c r="D381" i="29"/>
  <c r="H768" i="29"/>
  <c r="G40" i="29"/>
  <c r="E181" i="29"/>
  <c r="G446" i="29"/>
  <c r="E405" i="29"/>
  <c r="G420" i="29"/>
  <c r="H626" i="29"/>
  <c r="E214" i="29"/>
  <c r="D271" i="29"/>
  <c r="G36" i="29"/>
  <c r="G385" i="29"/>
  <c r="D198" i="29"/>
  <c r="G494" i="29"/>
  <c r="H262" i="29"/>
  <c r="H622" i="29"/>
  <c r="E376" i="29"/>
  <c r="D471" i="29"/>
  <c r="H690" i="29"/>
  <c r="D685" i="29"/>
  <c r="G579" i="29"/>
  <c r="D346" i="29"/>
  <c r="D435" i="29"/>
  <c r="G447" i="29"/>
  <c r="E466" i="29"/>
  <c r="G856" i="29"/>
  <c r="D463" i="29"/>
  <c r="F724" i="29"/>
  <c r="E422" i="29"/>
  <c r="G298" i="29"/>
  <c r="F96" i="29"/>
  <c r="D286" i="29"/>
  <c r="G68" i="29"/>
  <c r="E598" i="29"/>
  <c r="E99" i="29"/>
  <c r="E601" i="29"/>
  <c r="H503" i="29"/>
  <c r="E554" i="29"/>
  <c r="G554" i="29"/>
  <c r="G116" i="29"/>
  <c r="G283" i="29"/>
  <c r="G98" i="29"/>
  <c r="D374" i="29"/>
  <c r="F434" i="29"/>
  <c r="E646" i="29"/>
  <c r="F428" i="29"/>
  <c r="D295" i="29"/>
  <c r="E407" i="29"/>
  <c r="F410" i="29"/>
  <c r="D413" i="29"/>
  <c r="E172" i="29"/>
  <c r="F303" i="29"/>
  <c r="D298" i="29"/>
  <c r="E463" i="29"/>
  <c r="H561" i="29"/>
  <c r="H349" i="29"/>
  <c r="G532" i="29"/>
  <c r="H318" i="29"/>
  <c r="D68" i="29"/>
  <c r="F677" i="29"/>
  <c r="D518" i="29"/>
  <c r="D664" i="29"/>
  <c r="D511" i="29"/>
  <c r="E131" i="29"/>
  <c r="G187" i="29"/>
  <c r="D228" i="29"/>
  <c r="V908" i="29"/>
  <c r="V212" i="29"/>
  <c r="G155" i="29"/>
  <c r="D90" i="29"/>
  <c r="E206" i="29"/>
  <c r="D155" i="29"/>
  <c r="E309" i="29"/>
  <c r="G139" i="29"/>
  <c r="F83" i="29"/>
  <c r="H171" i="29"/>
  <c r="E637" i="29"/>
  <c r="E651" i="29"/>
  <c r="G324" i="29"/>
  <c r="G327" i="29"/>
  <c r="D620" i="29"/>
  <c r="G293" i="29"/>
  <c r="E467" i="29"/>
  <c r="H82" i="29"/>
  <c r="H226" i="29"/>
  <c r="H405" i="29"/>
  <c r="E518" i="29"/>
  <c r="D497" i="29"/>
  <c r="E472" i="29"/>
  <c r="E525" i="29"/>
  <c r="D419" i="29"/>
  <c r="G409" i="29"/>
  <c r="H429" i="29"/>
  <c r="H295" i="29"/>
  <c r="F542" i="29"/>
  <c r="D101" i="29"/>
  <c r="E748" i="29"/>
  <c r="E225" i="29"/>
  <c r="D378" i="29"/>
  <c r="E586" i="29"/>
  <c r="H76" i="29"/>
  <c r="H686" i="29"/>
  <c r="G659" i="29"/>
  <c r="E188" i="29"/>
  <c r="H402" i="29"/>
  <c r="H366" i="29"/>
  <c r="H114" i="29"/>
  <c r="G430" i="29"/>
  <c r="G49" i="29"/>
  <c r="F366" i="29"/>
  <c r="H448" i="29"/>
  <c r="D801" i="29"/>
  <c r="G188" i="29"/>
  <c r="F170" i="29"/>
  <c r="G356" i="29"/>
  <c r="D368" i="29"/>
  <c r="D583" i="29"/>
  <c r="G112" i="29"/>
  <c r="F768" i="29"/>
  <c r="E605" i="29"/>
  <c r="G716" i="29"/>
  <c r="F175" i="29"/>
  <c r="F420" i="29"/>
  <c r="D330" i="29"/>
  <c r="G368" i="29"/>
  <c r="H372" i="29"/>
  <c r="D608" i="29"/>
  <c r="H691" i="29"/>
  <c r="D423" i="29"/>
  <c r="H363" i="29"/>
  <c r="F59" i="29"/>
  <c r="V235" i="29"/>
  <c r="F419" i="29"/>
  <c r="E606" i="29"/>
  <c r="E235" i="29"/>
  <c r="E51" i="29"/>
  <c r="F618" i="29"/>
  <c r="F502" i="29"/>
  <c r="G655" i="29"/>
  <c r="F598" i="29"/>
  <c r="G411" i="29"/>
  <c r="D616" i="29"/>
  <c r="F458" i="29"/>
  <c r="G763" i="29"/>
  <c r="G331" i="29"/>
  <c r="F535" i="29"/>
  <c r="G525" i="29"/>
  <c r="D399" i="29"/>
  <c r="G433" i="29"/>
  <c r="H26" i="29"/>
  <c r="D430" i="29"/>
  <c r="E424" i="29"/>
  <c r="H633" i="29"/>
  <c r="H854" i="29"/>
  <c r="E711" i="29"/>
  <c r="H270" i="29"/>
  <c r="F642" i="29"/>
  <c r="F602" i="29"/>
  <c r="G809" i="29"/>
  <c r="E107" i="29"/>
  <c r="F34" i="29"/>
  <c r="E356" i="29"/>
  <c r="F194" i="29"/>
  <c r="E326" i="29"/>
  <c r="G588" i="29"/>
  <c r="H271" i="29"/>
  <c r="G397" i="29"/>
  <c r="D490" i="29"/>
  <c r="G78" i="29"/>
  <c r="D252" i="29"/>
  <c r="D458" i="29"/>
  <c r="E288" i="29"/>
  <c r="E344" i="29"/>
  <c r="G823" i="29"/>
  <c r="E835" i="29"/>
  <c r="H550" i="29"/>
  <c r="F219" i="29"/>
  <c r="H374" i="29"/>
  <c r="D447" i="29"/>
  <c r="E285" i="29"/>
  <c r="D434" i="29"/>
  <c r="E795" i="29"/>
  <c r="H563" i="29"/>
  <c r="D534" i="29"/>
  <c r="E360" i="29"/>
  <c r="H629" i="29"/>
  <c r="E430" i="29"/>
  <c r="H846" i="29"/>
  <c r="K130" i="29"/>
  <c r="D196" i="29"/>
  <c r="V733" i="29"/>
  <c r="E200" i="29"/>
  <c r="H417" i="29"/>
  <c r="E124" i="29"/>
  <c r="E59" i="29"/>
  <c r="D188" i="29"/>
  <c r="D169" i="29"/>
  <c r="E27" i="29"/>
  <c r="F44" i="29"/>
  <c r="U753" i="29"/>
  <c r="H173" i="29"/>
  <c r="U392" i="29"/>
  <c r="D222" i="29"/>
  <c r="E289" i="29"/>
  <c r="D268" i="29"/>
  <c r="D136" i="29"/>
  <c r="H116" i="29"/>
  <c r="H542" i="29"/>
  <c r="E384" i="29"/>
  <c r="E543" i="29"/>
  <c r="G82" i="29"/>
  <c r="E569" i="29"/>
  <c r="F519" i="29"/>
  <c r="C519" i="29"/>
  <c r="E294" i="29"/>
  <c r="H638" i="29"/>
  <c r="E402" i="29"/>
  <c r="H60" i="29"/>
  <c r="G511" i="29"/>
  <c r="E510" i="29"/>
  <c r="F374" i="29"/>
  <c r="D412" i="29"/>
  <c r="G435" i="29"/>
  <c r="D207" i="29"/>
  <c r="G649" i="29"/>
  <c r="G634" i="29"/>
  <c r="G322" i="29"/>
  <c r="E558" i="29"/>
  <c r="V283" i="29"/>
  <c r="F192" i="29"/>
  <c r="E375" i="29"/>
  <c r="H880" i="29"/>
  <c r="F504" i="29"/>
  <c r="E21" i="29"/>
  <c r="D263" i="29"/>
  <c r="D745" i="29"/>
  <c r="D401" i="29"/>
  <c r="C291" i="29"/>
  <c r="D57" i="29"/>
  <c r="D164" i="29"/>
  <c r="F166" i="29"/>
  <c r="F501" i="29"/>
  <c r="F467" i="29"/>
  <c r="G47" i="29"/>
  <c r="G390" i="29"/>
  <c r="H314" i="29"/>
  <c r="H460" i="29"/>
  <c r="E60" i="29"/>
  <c r="G285" i="29"/>
  <c r="E110" i="29"/>
  <c r="F459" i="29"/>
  <c r="H360" i="29"/>
  <c r="F534" i="29"/>
  <c r="G599" i="29"/>
  <c r="E585" i="29"/>
  <c r="D600" i="29"/>
  <c r="E156" i="29"/>
  <c r="H299" i="29"/>
  <c r="G146" i="29"/>
  <c r="H230" i="29"/>
  <c r="F330" i="29"/>
  <c r="F299" i="29"/>
  <c r="F585" i="29"/>
  <c r="F541" i="29"/>
  <c r="E613" i="29"/>
  <c r="F493" i="29"/>
  <c r="H257" i="29"/>
  <c r="F839" i="29"/>
  <c r="G172" i="29"/>
  <c r="F731" i="29"/>
  <c r="F435" i="29"/>
  <c r="D371" i="29"/>
  <c r="E417" i="29"/>
  <c r="G231" i="29"/>
  <c r="F653" i="29"/>
  <c r="E319" i="29"/>
  <c r="E536" i="29"/>
  <c r="H274" i="29"/>
  <c r="D696" i="29"/>
  <c r="H439" i="29"/>
  <c r="E881" i="29"/>
  <c r="H728" i="29"/>
  <c r="E166" i="29"/>
  <c r="D197" i="29"/>
  <c r="V739" i="29"/>
  <c r="F86" i="29"/>
  <c r="G365" i="29"/>
  <c r="H316" i="29"/>
  <c r="E97" i="29"/>
  <c r="D254" i="29"/>
  <c r="H36" i="29"/>
  <c r="H556" i="29"/>
  <c r="F319" i="29"/>
  <c r="F323" i="29"/>
  <c r="D240" i="29"/>
  <c r="H308" i="29"/>
  <c r="E357" i="29"/>
  <c r="F614" i="29"/>
  <c r="H243" i="29"/>
  <c r="E415" i="29"/>
  <c r="H570" i="29"/>
  <c r="D702" i="29"/>
  <c r="G469" i="29"/>
  <c r="D520" i="29"/>
  <c r="H382" i="29"/>
  <c r="G558" i="29"/>
  <c r="F382" i="29"/>
  <c r="D488" i="29"/>
  <c r="G692" i="29"/>
  <c r="H255" i="29"/>
  <c r="D181" i="29"/>
  <c r="F377" i="29"/>
  <c r="E589" i="29"/>
  <c r="F327" i="29"/>
  <c r="H23" i="29"/>
  <c r="D561" i="29"/>
  <c r="G121" i="29"/>
  <c r="E416" i="29"/>
  <c r="G137" i="29"/>
  <c r="H375" i="29"/>
  <c r="F514" i="29"/>
  <c r="F189" i="29"/>
  <c r="F392" i="29"/>
  <c r="D563" i="29"/>
  <c r="F338" i="29"/>
  <c r="E385" i="29"/>
  <c r="G262" i="29"/>
  <c r="E336" i="29"/>
  <c r="E541" i="29"/>
  <c r="G167" i="29"/>
  <c r="E580" i="29"/>
  <c r="F278" i="29"/>
  <c r="F123" i="29"/>
  <c r="H120" i="29"/>
  <c r="F601" i="29"/>
  <c r="D448" i="29"/>
  <c r="D461" i="29"/>
  <c r="E148" i="29"/>
  <c r="F499" i="29"/>
  <c r="E729" i="29"/>
  <c r="H256" i="29"/>
  <c r="G313" i="29"/>
  <c r="E251" i="29"/>
  <c r="D259" i="29"/>
  <c r="E462" i="29"/>
  <c r="F400" i="29"/>
  <c r="H736" i="29"/>
  <c r="D519" i="29"/>
  <c r="G912" i="29"/>
  <c r="F497" i="29"/>
  <c r="F201" i="29"/>
  <c r="E363" i="29"/>
  <c r="G426" i="29"/>
  <c r="H527" i="29"/>
  <c r="F288" i="29"/>
  <c r="F482" i="29"/>
  <c r="F226" i="29"/>
  <c r="F772" i="29"/>
  <c r="G334" i="29"/>
  <c r="E297" i="29"/>
  <c r="G458" i="29"/>
  <c r="D436" i="29"/>
  <c r="E702" i="29"/>
  <c r="H505" i="29"/>
  <c r="D229" i="29"/>
  <c r="G201" i="29"/>
  <c r="E142" i="29"/>
  <c r="G445" i="29"/>
  <c r="H336" i="29"/>
  <c r="G275" i="29"/>
  <c r="F222" i="29"/>
  <c r="G17" i="29"/>
  <c r="F79" i="29"/>
  <c r="F432" i="29"/>
  <c r="F49" i="29"/>
  <c r="F241" i="29"/>
  <c r="G141" i="29"/>
  <c r="D339" i="29"/>
  <c r="F355" i="29"/>
  <c r="E513" i="29"/>
  <c r="G610" i="29"/>
  <c r="G355" i="29"/>
  <c r="H605" i="29"/>
  <c r="H285" i="29"/>
  <c r="G539" i="29"/>
  <c r="U574" i="29"/>
  <c r="D14" i="29"/>
  <c r="D177" i="29"/>
  <c r="F438" i="29"/>
  <c r="G372" i="29"/>
  <c r="F58" i="29"/>
  <c r="E512" i="29"/>
  <c r="F369" i="29"/>
  <c r="H136" i="29"/>
  <c r="G479" i="29"/>
  <c r="F528" i="29"/>
  <c r="F217" i="29"/>
  <c r="H470" i="29"/>
  <c r="G499" i="29"/>
  <c r="E314" i="29"/>
  <c r="E193" i="29"/>
  <c r="H447" i="29"/>
  <c r="G540" i="29"/>
  <c r="C253" i="29"/>
  <c r="E65" i="29"/>
  <c r="F116" i="29"/>
  <c r="H328" i="29"/>
  <c r="F379" i="29"/>
  <c r="H369" i="29"/>
  <c r="E544" i="29"/>
  <c r="G611" i="29"/>
  <c r="G705" i="29"/>
  <c r="G429" i="29"/>
  <c r="D424" i="29"/>
  <c r="G290" i="29"/>
  <c r="E396" i="29"/>
  <c r="G582" i="29"/>
  <c r="E464" i="29"/>
  <c r="G667" i="29"/>
  <c r="F104" i="29"/>
  <c r="F391" i="29"/>
  <c r="H426" i="29"/>
  <c r="F393" i="29"/>
  <c r="G42" i="29"/>
  <c r="D190" i="29"/>
  <c r="H341" i="29"/>
  <c r="D300" i="29"/>
  <c r="F635" i="29"/>
  <c r="H350" i="29"/>
  <c r="G522" i="29"/>
  <c r="C78" i="29"/>
  <c r="F476" i="29"/>
  <c r="F339" i="29"/>
  <c r="D272" i="29"/>
  <c r="G161" i="29"/>
  <c r="D492" i="29"/>
  <c r="F507" i="29"/>
  <c r="F649" i="29"/>
  <c r="D489" i="29"/>
  <c r="F23" i="29"/>
  <c r="F404" i="29"/>
  <c r="D55" i="29"/>
  <c r="G34" i="29"/>
  <c r="E378" i="29"/>
  <c r="G597" i="29"/>
  <c r="V565" i="29"/>
  <c r="D532" i="29"/>
  <c r="V15" i="29"/>
  <c r="F129" i="29"/>
  <c r="E421" i="29"/>
  <c r="H195" i="29"/>
  <c r="C217" i="29"/>
  <c r="F214" i="29"/>
  <c r="E223" i="29"/>
  <c r="E489" i="29"/>
  <c r="C249" i="29"/>
  <c r="D61" i="29"/>
  <c r="H397" i="29"/>
  <c r="H307" i="29"/>
  <c r="G16" i="29"/>
  <c r="H534" i="29"/>
  <c r="H272" i="29"/>
  <c r="G377" i="29"/>
  <c r="E393" i="29"/>
  <c r="C393" i="29" s="1"/>
  <c r="G197" i="29"/>
  <c r="E435" i="29"/>
  <c r="F340" i="29"/>
  <c r="F360" i="29"/>
  <c r="V83" i="29"/>
  <c r="F353" i="29"/>
  <c r="F759" i="29"/>
  <c r="E630" i="29"/>
  <c r="E258" i="29"/>
  <c r="F645" i="29"/>
  <c r="F190" i="29"/>
  <c r="H151" i="29"/>
  <c r="H501" i="29"/>
  <c r="D560" i="29"/>
  <c r="H304" i="29"/>
  <c r="D279" i="29"/>
  <c r="G253" i="29"/>
  <c r="F518" i="29"/>
  <c r="H816" i="29"/>
  <c r="F763" i="29"/>
  <c r="G284" i="29"/>
  <c r="E343" i="29"/>
  <c r="D538" i="29"/>
  <c r="G71" i="29"/>
  <c r="G296" i="29"/>
  <c r="D650" i="29"/>
  <c r="D635" i="29"/>
  <c r="H38" i="29"/>
  <c r="H159" i="29"/>
  <c r="G581" i="29"/>
  <c r="G607" i="29"/>
  <c r="D209" i="29"/>
  <c r="G407" i="29"/>
  <c r="E109" i="29"/>
  <c r="D473" i="29"/>
  <c r="G526" i="29"/>
  <c r="D270" i="29"/>
  <c r="H635" i="29"/>
  <c r="D462" i="29"/>
  <c r="F564" i="29"/>
  <c r="G635" i="29"/>
  <c r="E167" i="29"/>
  <c r="E57" i="29"/>
  <c r="E146" i="29"/>
  <c r="E178" i="29"/>
  <c r="H343" i="29"/>
  <c r="E419" i="29"/>
  <c r="G294" i="29"/>
  <c r="G339" i="29"/>
  <c r="F760" i="29"/>
  <c r="H19" i="29"/>
  <c r="H310" i="29"/>
  <c r="D317" i="29"/>
  <c r="G75" i="29"/>
  <c r="H492" i="29"/>
  <c r="H338" i="29"/>
  <c r="G695" i="29"/>
  <c r="D294" i="29"/>
  <c r="E632" i="29"/>
  <c r="C110" i="29"/>
  <c r="F257" i="29"/>
  <c r="G86" i="29"/>
  <c r="G428" i="29"/>
  <c r="F315" i="29"/>
  <c r="E621" i="29"/>
  <c r="D791" i="29"/>
  <c r="F444" i="29"/>
  <c r="E448" i="29"/>
  <c r="F736" i="29"/>
  <c r="H430" i="29"/>
  <c r="G95" i="29"/>
  <c r="E726" i="29"/>
  <c r="E517" i="29"/>
  <c r="E701" i="29"/>
  <c r="D546" i="29"/>
  <c r="F686" i="29"/>
  <c r="H273" i="29"/>
  <c r="H729" i="29"/>
  <c r="D350" i="29"/>
  <c r="F336" i="29"/>
  <c r="G880" i="29"/>
  <c r="D273" i="29"/>
  <c r="H477" i="29"/>
  <c r="H391" i="29"/>
  <c r="D647" i="29"/>
  <c r="H876" i="29"/>
  <c r="D499" i="29"/>
  <c r="D485" i="29"/>
  <c r="E267" i="29"/>
  <c r="C90" i="29"/>
  <c r="D168" i="29"/>
  <c r="G566" i="29"/>
  <c r="F491" i="29"/>
  <c r="G612" i="29"/>
  <c r="F705" i="29"/>
  <c r="G848" i="29"/>
  <c r="H784" i="29"/>
  <c r="F477" i="29"/>
  <c r="E398" i="29"/>
  <c r="G461" i="29"/>
  <c r="H546" i="29"/>
  <c r="E660" i="29"/>
  <c r="H301" i="29"/>
  <c r="F57" i="29"/>
  <c r="G893" i="29"/>
  <c r="D525" i="29"/>
  <c r="C487" i="29"/>
  <c r="C430" i="29"/>
  <c r="G658" i="29"/>
  <c r="D517" i="29"/>
  <c r="E684" i="29"/>
  <c r="C271" i="29"/>
  <c r="E423" i="29"/>
  <c r="G530" i="29"/>
  <c r="G715" i="29"/>
  <c r="G436" i="29"/>
  <c r="G761" i="29"/>
  <c r="K176" i="29"/>
  <c r="H396" i="29"/>
  <c r="F576" i="29"/>
  <c r="D289" i="29"/>
  <c r="E573" i="29"/>
  <c r="V897" i="29"/>
  <c r="E887" i="29"/>
  <c r="E347" i="29"/>
  <c r="G608" i="29"/>
  <c r="D331" i="29"/>
  <c r="D12" i="29"/>
  <c r="F370" i="29"/>
  <c r="D296" i="29"/>
  <c r="H657" i="29"/>
  <c r="E418" i="29"/>
  <c r="F570" i="29"/>
  <c r="E547" i="29"/>
  <c r="H518" i="29"/>
  <c r="E409" i="29"/>
  <c r="H407" i="29"/>
  <c r="D695" i="29"/>
  <c r="H532" i="29"/>
  <c r="E608" i="29"/>
  <c r="D726" i="29"/>
  <c r="E796" i="29"/>
  <c r="F721" i="29"/>
  <c r="E481" i="29"/>
  <c r="F594" i="29"/>
  <c r="F313" i="29"/>
  <c r="D315" i="29"/>
  <c r="F704" i="29"/>
  <c r="C379" i="29"/>
  <c r="H522" i="29"/>
  <c r="F532" i="29"/>
  <c r="H882" i="29"/>
  <c r="E486" i="29"/>
  <c r="F808" i="29"/>
  <c r="H458" i="29"/>
  <c r="D533" i="29"/>
  <c r="F637" i="29"/>
  <c r="E449" i="29"/>
  <c r="H368" i="29"/>
  <c r="G487" i="29"/>
  <c r="E123" i="29"/>
  <c r="H450" i="29"/>
  <c r="F329" i="29"/>
  <c r="F470" i="29"/>
  <c r="F855" i="29"/>
  <c r="F259" i="29"/>
  <c r="E327" i="29"/>
  <c r="D493" i="29"/>
  <c r="E380" i="29"/>
  <c r="F293" i="29"/>
  <c r="G852" i="29"/>
  <c r="F473" i="29"/>
  <c r="G578" i="29"/>
  <c r="D537" i="29"/>
  <c r="D834" i="29"/>
  <c r="F394" i="29"/>
  <c r="F349" i="29"/>
  <c r="H324" i="29"/>
  <c r="F359" i="29"/>
  <c r="F578" i="29"/>
  <c r="F406" i="29"/>
  <c r="E738" i="29"/>
  <c r="H435" i="29"/>
  <c r="H540" i="29"/>
  <c r="D438" i="29"/>
  <c r="H709" i="29"/>
  <c r="G800" i="29"/>
  <c r="E187" i="29"/>
  <c r="H681" i="29"/>
  <c r="E500" i="29"/>
  <c r="F455" i="29"/>
  <c r="L11" i="29"/>
  <c r="D723" i="29"/>
  <c r="G466" i="29"/>
  <c r="E501" i="29"/>
  <c r="H320" i="29"/>
  <c r="D916" i="29"/>
  <c r="E696" i="29"/>
  <c r="F660" i="29"/>
  <c r="G286" i="29"/>
  <c r="D544" i="29"/>
  <c r="C448" i="29"/>
  <c r="E388" i="29"/>
  <c r="F707" i="29"/>
  <c r="D185" i="29"/>
  <c r="F121" i="29"/>
  <c r="D237" i="29"/>
  <c r="D251" i="29"/>
  <c r="H715" i="29"/>
  <c r="D858" i="29"/>
  <c r="E584" i="29"/>
  <c r="G572" i="29"/>
  <c r="G630" i="29"/>
  <c r="H614" i="29"/>
  <c r="D446" i="29"/>
  <c r="E799" i="29"/>
  <c r="G396" i="29"/>
  <c r="E883" i="29"/>
  <c r="G564" i="29"/>
  <c r="G114" i="29"/>
  <c r="D193" i="29"/>
  <c r="H153" i="29"/>
  <c r="E511" i="29"/>
  <c r="D662" i="29"/>
  <c r="G604" i="29"/>
  <c r="D277" i="29"/>
  <c r="G259" i="29"/>
  <c r="E362" i="29"/>
  <c r="H463" i="29"/>
  <c r="G490" i="29"/>
  <c r="D712" i="29"/>
  <c r="G806" i="29"/>
  <c r="E867" i="29"/>
  <c r="D709" i="29"/>
  <c r="G901" i="29"/>
  <c r="E579" i="29"/>
  <c r="M190" i="29"/>
  <c r="D408" i="29"/>
  <c r="D674" i="29"/>
  <c r="F582" i="29"/>
  <c r="D347" i="29"/>
  <c r="H476" i="29"/>
  <c r="G343" i="29"/>
  <c r="H406" i="29"/>
  <c r="G688" i="29"/>
  <c r="D795" i="29"/>
  <c r="G552" i="29"/>
  <c r="E656" i="29"/>
  <c r="G11" i="29"/>
  <c r="D713" i="29"/>
  <c r="D442" i="29"/>
  <c r="G363" i="29"/>
  <c r="H572" i="29"/>
  <c r="D508" i="29"/>
  <c r="F390" i="29"/>
  <c r="F718" i="29"/>
  <c r="F597" i="29"/>
  <c r="E520" i="29"/>
  <c r="D850" i="29"/>
  <c r="G320" i="29"/>
  <c r="G383" i="29"/>
  <c r="F7" i="29"/>
  <c r="G563" i="29"/>
  <c r="E320" i="29"/>
  <c r="F550" i="29"/>
  <c r="E268" i="29"/>
  <c r="D803" i="29"/>
  <c r="F879" i="29"/>
  <c r="G509" i="29"/>
  <c r="D171" i="29"/>
  <c r="D433" i="29"/>
  <c r="F270" i="29"/>
  <c r="G535" i="29"/>
  <c r="D838" i="29"/>
  <c r="G405" i="29"/>
  <c r="C302" i="29"/>
  <c r="F647" i="29"/>
  <c r="H809" i="29"/>
  <c r="F733" i="29"/>
  <c r="F478" i="29"/>
  <c r="L162" i="29"/>
  <c r="G482" i="29"/>
  <c r="G617" i="29"/>
  <c r="F792" i="29"/>
  <c r="G792" i="29"/>
  <c r="G913" i="29"/>
  <c r="G410" i="29"/>
  <c r="F468" i="29"/>
  <c r="E764" i="29"/>
  <c r="F442" i="29"/>
  <c r="D861" i="29"/>
  <c r="E528" i="29"/>
  <c r="H517" i="29"/>
  <c r="D744" i="29"/>
  <c r="G23" i="29"/>
  <c r="G571" i="29"/>
  <c r="F559" i="29"/>
  <c r="G733" i="29"/>
  <c r="C414" i="29"/>
  <c r="D815" i="29"/>
  <c r="E490" i="29"/>
  <c r="G358" i="29"/>
  <c r="D390" i="29"/>
  <c r="F385" i="29"/>
  <c r="E433" i="29"/>
  <c r="C275" i="29"/>
  <c r="H891" i="29"/>
  <c r="H194" i="29"/>
  <c r="G129" i="29"/>
  <c r="D311" i="29"/>
  <c r="D345" i="29"/>
  <c r="G633" i="29"/>
  <c r="H631" i="29"/>
  <c r="H175" i="29"/>
  <c r="F687" i="29"/>
  <c r="G533" i="29"/>
  <c r="G196" i="29"/>
  <c r="F587" i="29"/>
  <c r="E825" i="29"/>
  <c r="G562" i="29"/>
  <c r="F758" i="29"/>
  <c r="H228" i="29"/>
  <c r="G424" i="29"/>
  <c r="G485" i="29"/>
  <c r="G516" i="29"/>
  <c r="D597" i="29"/>
  <c r="D633" i="29"/>
  <c r="D414" i="29"/>
  <c r="H587" i="29"/>
  <c r="E886" i="29"/>
  <c r="H508" i="29"/>
  <c r="H628" i="29"/>
  <c r="F474" i="29"/>
  <c r="G391" i="29"/>
  <c r="G860" i="29"/>
  <c r="D604" i="29"/>
  <c r="G478" i="29"/>
  <c r="E461" i="29"/>
  <c r="H416" i="29"/>
  <c r="C614" i="29"/>
  <c r="D223" i="29"/>
  <c r="D233" i="29"/>
  <c r="H603" i="29"/>
  <c r="G793" i="29"/>
  <c r="E505" i="29"/>
  <c r="E361" i="29"/>
  <c r="H480" i="29"/>
  <c r="C606" i="29"/>
  <c r="E623" i="29"/>
  <c r="D895" i="29"/>
  <c r="G317" i="29"/>
  <c r="H571" i="29"/>
  <c r="F780" i="29"/>
  <c r="E633" i="29"/>
  <c r="F196" i="29"/>
  <c r="G732" i="29"/>
  <c r="F309" i="29"/>
  <c r="F605" i="29"/>
  <c r="G534" i="29"/>
  <c r="D648" i="29"/>
  <c r="N126" i="29"/>
  <c r="G18" i="29"/>
  <c r="D622" i="29"/>
  <c r="H331" i="29"/>
  <c r="F590" i="29"/>
  <c r="D509" i="29"/>
  <c r="D388" i="29"/>
  <c r="E277" i="29"/>
  <c r="H298" i="29"/>
  <c r="F371" i="29"/>
  <c r="D575" i="29"/>
  <c r="E524" i="29"/>
  <c r="H569" i="29"/>
  <c r="H560" i="29"/>
  <c r="H902" i="29"/>
  <c r="H453" i="29"/>
  <c r="G260" i="29"/>
  <c r="H51" i="29"/>
  <c r="G453" i="29"/>
  <c r="E822" i="29"/>
  <c r="H667" i="29"/>
  <c r="D352" i="29"/>
  <c r="F76" i="29"/>
  <c r="H348" i="29"/>
  <c r="D409" i="29"/>
  <c r="E634" i="29"/>
  <c r="C634" i="29" s="1"/>
  <c r="H395" i="29"/>
  <c r="G431" i="29"/>
  <c r="H261" i="29"/>
  <c r="F447" i="29"/>
  <c r="G306" i="29"/>
  <c r="G204" i="29"/>
  <c r="D405" i="29"/>
  <c r="G647" i="29"/>
  <c r="H598" i="29"/>
  <c r="D768" i="29"/>
  <c r="E560" i="29"/>
  <c r="G672" i="29"/>
  <c r="E641" i="29"/>
  <c r="D615" i="29"/>
  <c r="D521" i="29"/>
  <c r="C314" i="29"/>
  <c r="D587" i="29"/>
  <c r="D502" i="29"/>
  <c r="F314" i="29"/>
  <c r="H279" i="29"/>
  <c r="G797" i="29"/>
  <c r="E476" i="29"/>
  <c r="H705" i="29"/>
  <c r="D404" i="29"/>
  <c r="D673" i="29"/>
  <c r="D595" i="29"/>
  <c r="H864" i="29"/>
  <c r="E642" i="29"/>
  <c r="D370" i="29"/>
  <c r="H409" i="29"/>
  <c r="H387" i="29"/>
  <c r="D479" i="29"/>
  <c r="H659" i="29"/>
  <c r="D334" i="29"/>
  <c r="E533" i="29"/>
  <c r="G553" i="29"/>
  <c r="D427" i="29"/>
  <c r="H562" i="29"/>
  <c r="H263" i="29"/>
  <c r="F800" i="29"/>
  <c r="F487" i="29"/>
  <c r="H662" i="29"/>
  <c r="F234" i="29"/>
  <c r="E647" i="29"/>
  <c r="E763" i="29"/>
  <c r="D276" i="29"/>
  <c r="F682" i="29"/>
  <c r="D326" i="29"/>
  <c r="F326" i="29"/>
  <c r="H248" i="29"/>
  <c r="D770" i="29"/>
  <c r="D290" i="29"/>
  <c r="G668" i="29"/>
  <c r="G751" i="29"/>
  <c r="G614" i="29"/>
  <c r="D504" i="29"/>
  <c r="E575" i="29"/>
  <c r="H677" i="29"/>
  <c r="G605" i="29"/>
  <c r="D874" i="29"/>
  <c r="E452" i="29"/>
  <c r="E704" i="29"/>
  <c r="E698" i="29"/>
  <c r="H836" i="29"/>
  <c r="D859" i="29"/>
  <c r="D718" i="29"/>
  <c r="G677" i="29"/>
  <c r="H15" i="29"/>
  <c r="G592" i="29"/>
  <c r="H523" i="29"/>
  <c r="E751" i="29"/>
  <c r="L43" i="29"/>
  <c r="D201" i="29"/>
  <c r="D912" i="29"/>
  <c r="H762" i="29"/>
  <c r="K21" i="29"/>
  <c r="H589" i="29"/>
  <c r="E847" i="29"/>
  <c r="L143" i="29"/>
  <c r="H533" i="29"/>
  <c r="H494" i="29"/>
  <c r="E650" i="29"/>
  <c r="D700" i="29"/>
  <c r="G671" i="29"/>
  <c r="G252" i="29"/>
  <c r="F446" i="29"/>
  <c r="C377" i="29"/>
  <c r="E595" i="29"/>
  <c r="F679" i="29"/>
  <c r="G442" i="29"/>
  <c r="F622" i="29"/>
  <c r="G726" i="29"/>
  <c r="K24" i="29"/>
  <c r="L104" i="29"/>
  <c r="E594" i="29"/>
  <c r="D645" i="29"/>
  <c r="H334" i="29"/>
  <c r="N163" i="29"/>
  <c r="G622" i="29"/>
  <c r="E596" i="29"/>
  <c r="E522" i="29"/>
  <c r="F828" i="29"/>
  <c r="D512" i="29"/>
  <c r="H786" i="29"/>
  <c r="E800" i="29"/>
  <c r="D632" i="29"/>
  <c r="G866" i="29"/>
  <c r="F579" i="29"/>
  <c r="H692" i="29"/>
  <c r="D138" i="29"/>
  <c r="H419" i="29"/>
  <c r="D422" i="29"/>
  <c r="C399" i="29"/>
  <c r="C503" i="29"/>
  <c r="F765" i="29"/>
  <c r="G319" i="29"/>
  <c r="H177" i="29"/>
  <c r="H158" i="29"/>
  <c r="D319" i="29"/>
  <c r="G602" i="29"/>
  <c r="E794" i="29"/>
  <c r="F445" i="29"/>
  <c r="H853" i="29"/>
  <c r="F574" i="29"/>
  <c r="E425" i="29"/>
  <c r="G88" i="29"/>
  <c r="D372" i="29"/>
  <c r="G555" i="29"/>
  <c r="D758" i="29"/>
  <c r="G652" i="29"/>
  <c r="H487" i="29"/>
  <c r="G559" i="29"/>
  <c r="G64" i="29"/>
  <c r="C337" i="29"/>
  <c r="E640" i="29"/>
  <c r="H666" i="29"/>
  <c r="E752" i="29"/>
  <c r="M43" i="29"/>
  <c r="H757" i="29"/>
  <c r="F592" i="29"/>
  <c r="E649" i="29"/>
  <c r="F593" i="29"/>
  <c r="G583" i="29"/>
  <c r="F212" i="29"/>
  <c r="G590" i="29"/>
  <c r="D449" i="29"/>
  <c r="C329" i="29"/>
  <c r="D443" i="29"/>
  <c r="E515" i="29"/>
  <c r="E531" i="29"/>
  <c r="G762" i="29"/>
  <c r="H723" i="29"/>
  <c r="G681" i="29"/>
  <c r="D585" i="29"/>
  <c r="D840" i="29"/>
  <c r="H552" i="29"/>
  <c r="G244" i="29"/>
  <c r="G354" i="29"/>
  <c r="E774" i="29"/>
  <c r="D531" i="29"/>
  <c r="G791" i="29"/>
  <c r="D369" i="29"/>
  <c r="H872" i="29"/>
  <c r="H639" i="29"/>
  <c r="D535" i="29"/>
  <c r="H486" i="29"/>
  <c r="H325" i="29"/>
  <c r="E714" i="29"/>
  <c r="H342" i="29"/>
  <c r="D771" i="29"/>
  <c r="D301" i="29"/>
  <c r="D657" i="29"/>
  <c r="H327" i="29"/>
  <c r="D468" i="29"/>
  <c r="F351" i="29"/>
  <c r="G808" i="29"/>
  <c r="E716" i="29"/>
  <c r="E358" i="29"/>
  <c r="F790" i="29"/>
  <c r="E473" i="29"/>
  <c r="E628" i="29"/>
  <c r="E539" i="29"/>
  <c r="G717" i="29"/>
  <c r="F426" i="29"/>
  <c r="E767" i="29"/>
  <c r="D862" i="29"/>
  <c r="H824" i="29"/>
  <c r="E728" i="29"/>
  <c r="H599" i="29"/>
  <c r="D824" i="29"/>
  <c r="C463" i="29"/>
  <c r="F381" i="29"/>
  <c r="F885" i="29"/>
  <c r="C353" i="29"/>
  <c r="D863" i="29"/>
  <c r="D621" i="29"/>
  <c r="E821" i="29"/>
  <c r="C391" i="29"/>
  <c r="G517" i="29"/>
  <c r="G425" i="29"/>
  <c r="D365" i="29"/>
  <c r="E753" i="29"/>
  <c r="D880" i="29"/>
  <c r="D817" i="29"/>
  <c r="H415" i="29"/>
  <c r="E308" i="29"/>
  <c r="F357" i="29"/>
  <c r="E483" i="29"/>
  <c r="C586" i="29"/>
  <c r="K8" i="29"/>
  <c r="G765" i="29"/>
  <c r="E179" i="29"/>
  <c r="D454" i="29"/>
  <c r="F60" i="29"/>
  <c r="G541" i="29"/>
  <c r="G567" i="29"/>
  <c r="D426" i="29"/>
  <c r="G790" i="29"/>
  <c r="F636" i="29"/>
  <c r="F290" i="29"/>
  <c r="G491" i="29"/>
  <c r="H658" i="29"/>
  <c r="F510" i="29"/>
  <c r="N99" i="29"/>
  <c r="G548" i="29"/>
  <c r="E317" i="29"/>
  <c r="F669" i="29"/>
  <c r="E374" i="29"/>
  <c r="H139" i="29"/>
  <c r="H142" i="29"/>
  <c r="F723" i="29"/>
  <c r="D308" i="29"/>
  <c r="H535" i="29"/>
  <c r="H848" i="29"/>
  <c r="F537" i="29"/>
  <c r="F159" i="29"/>
  <c r="D555" i="29"/>
  <c r="F362" i="29"/>
  <c r="G140" i="29"/>
  <c r="H383" i="29"/>
  <c r="E354" i="29"/>
  <c r="H478" i="29"/>
  <c r="D558" i="29"/>
  <c r="G660" i="29"/>
  <c r="G700" i="29"/>
  <c r="D637" i="29"/>
  <c r="E792" i="29"/>
  <c r="F640" i="29"/>
  <c r="H694" i="29"/>
  <c r="F762" i="29"/>
  <c r="E806" i="29"/>
  <c r="E194" i="29"/>
  <c r="G484" i="29"/>
  <c r="G192" i="29"/>
  <c r="E174" i="29"/>
  <c r="D623" i="29"/>
  <c r="F716" i="29"/>
  <c r="C642" i="29"/>
  <c r="E875" i="29"/>
  <c r="C479" i="29"/>
  <c r="G452" i="29"/>
  <c r="E619" i="29"/>
  <c r="E270" i="29"/>
  <c r="F281" i="29"/>
  <c r="H674" i="29"/>
  <c r="F266" i="29"/>
  <c r="G816" i="29"/>
  <c r="E732" i="29"/>
  <c r="D487" i="29"/>
  <c r="H414" i="29"/>
  <c r="H50" i="29"/>
  <c r="E703" i="29"/>
  <c r="H464" i="29"/>
  <c r="H642" i="29"/>
  <c r="E551" i="29"/>
  <c r="H557" i="29"/>
  <c r="H566" i="29"/>
  <c r="H730" i="29"/>
  <c r="F603" i="29"/>
  <c r="F862" i="29"/>
  <c r="G780" i="29"/>
  <c r="E432" i="29"/>
  <c r="N16" i="29"/>
  <c r="C455" i="29"/>
  <c r="F443" i="29"/>
  <c r="G448" i="29"/>
  <c r="G340" i="29"/>
  <c r="H586" i="29"/>
  <c r="E497" i="29"/>
  <c r="F665" i="29"/>
  <c r="H845" i="29"/>
  <c r="H894" i="29"/>
  <c r="E322" i="29"/>
  <c r="E173" i="29"/>
  <c r="H277" i="29"/>
  <c r="H595" i="29"/>
  <c r="H289" i="29"/>
  <c r="D552" i="29"/>
  <c r="H433" i="29"/>
  <c r="D457" i="29"/>
  <c r="H720" i="29"/>
  <c r="G309" i="29"/>
  <c r="F668" i="29"/>
  <c r="D265" i="29"/>
  <c r="C776" i="29"/>
  <c r="H380" i="29"/>
  <c r="E8" i="29"/>
  <c r="F465" i="29"/>
  <c r="E676" i="29"/>
  <c r="H247" i="29"/>
  <c r="D75" i="29"/>
  <c r="G369" i="29"/>
  <c r="E482" i="29"/>
  <c r="G348" i="29"/>
  <c r="G772" i="29"/>
  <c r="F553" i="29"/>
  <c r="D741" i="29"/>
  <c r="E645" i="29"/>
  <c r="G191" i="29"/>
  <c r="F494" i="29"/>
  <c r="D806" i="29"/>
  <c r="H384" i="29"/>
  <c r="C434" i="29"/>
  <c r="H423" i="29"/>
  <c r="H266" i="29"/>
  <c r="G449" i="29"/>
  <c r="H699" i="29"/>
  <c r="D811" i="29"/>
  <c r="E597" i="29"/>
  <c r="H451" i="29"/>
  <c r="G501" i="29"/>
  <c r="F460" i="29"/>
  <c r="E550" i="29"/>
  <c r="E368" i="29"/>
  <c r="D39" i="29"/>
  <c r="C349" i="29"/>
  <c r="E324" i="29"/>
  <c r="D551" i="29"/>
  <c r="H675" i="29"/>
  <c r="C451" i="29"/>
  <c r="F683" i="29"/>
  <c r="F488" i="29"/>
  <c r="G506" i="29"/>
  <c r="G415" i="29"/>
  <c r="D486" i="29"/>
  <c r="E496" i="29"/>
  <c r="G844" i="29"/>
  <c r="E787" i="29"/>
  <c r="D602" i="29"/>
  <c r="D854" i="29"/>
  <c r="F345" i="29"/>
  <c r="H500" i="29"/>
  <c r="E591" i="29"/>
  <c r="G536" i="29"/>
  <c r="G577" i="29"/>
  <c r="D417" i="29"/>
  <c r="E723" i="29"/>
  <c r="D285" i="29"/>
  <c r="E654" i="29"/>
  <c r="D522" i="29"/>
  <c r="G744" i="29"/>
  <c r="F757" i="29"/>
  <c r="F341" i="29"/>
  <c r="D592" i="29"/>
  <c r="H420" i="29"/>
  <c r="D343" i="29"/>
  <c r="H340" i="29"/>
  <c r="C34" i="29"/>
  <c r="F294" i="29"/>
  <c r="H459" i="29"/>
  <c r="E563" i="29"/>
  <c r="G521" i="29"/>
  <c r="D550" i="29"/>
  <c r="E629" i="29"/>
  <c r="F305" i="29"/>
  <c r="F513" i="29"/>
  <c r="G376" i="29"/>
  <c r="G574" i="29"/>
  <c r="F662" i="29"/>
  <c r="H526" i="29"/>
  <c r="D609" i="29"/>
  <c r="F524" i="29"/>
  <c r="H323" i="29"/>
  <c r="F343" i="29"/>
  <c r="H456" i="29"/>
  <c r="G775" i="29"/>
  <c r="E625" i="29"/>
  <c r="C475" i="29"/>
  <c r="D175" i="29"/>
  <c r="H109" i="29"/>
  <c r="E782" i="29"/>
  <c r="G493" i="29"/>
  <c r="D728" i="29"/>
  <c r="E771" i="29"/>
  <c r="D541" i="29"/>
  <c r="H620" i="29"/>
  <c r="H514" i="29"/>
  <c r="E119" i="29"/>
  <c r="D200" i="29"/>
  <c r="D523" i="29"/>
  <c r="E11" i="29"/>
  <c r="D606" i="29"/>
  <c r="D636" i="29"/>
  <c r="H52" i="29"/>
  <c r="D221" i="29"/>
  <c r="H673" i="29"/>
  <c r="E555" i="29"/>
  <c r="E203" i="29"/>
  <c r="H793" i="29"/>
  <c r="F378" i="29"/>
  <c r="F581" i="29"/>
  <c r="G620" i="29"/>
  <c r="H45" i="29"/>
  <c r="F747" i="29"/>
  <c r="G472" i="29"/>
  <c r="H553" i="29"/>
  <c r="D619" i="29"/>
  <c r="G421" i="29"/>
  <c r="F462" i="29"/>
  <c r="G786" i="29"/>
  <c r="H472" i="29"/>
  <c r="G200" i="29"/>
  <c r="D881" i="29"/>
  <c r="D576" i="29"/>
  <c r="E290" i="29"/>
  <c r="E406" i="29"/>
  <c r="G488" i="29"/>
  <c r="F396" i="29"/>
  <c r="E865" i="29"/>
  <c r="G580" i="29"/>
  <c r="C412" i="29"/>
  <c r="G384" i="29"/>
  <c r="D363" i="29"/>
  <c r="E495" i="29"/>
  <c r="H239" i="29"/>
  <c r="E47" i="29"/>
  <c r="E658" i="29"/>
  <c r="H481" i="29"/>
  <c r="H457" i="29"/>
  <c r="H914" i="29"/>
  <c r="F412" i="29"/>
  <c r="H881" i="29"/>
  <c r="E523" i="29"/>
  <c r="F726" i="29"/>
  <c r="F258" i="29"/>
  <c r="E690" i="29"/>
  <c r="F563" i="29"/>
  <c r="E532" i="29"/>
  <c r="F373" i="29"/>
  <c r="F509" i="29"/>
  <c r="F831" i="29"/>
  <c r="H441" i="29"/>
  <c r="F558" i="29"/>
  <c r="G515" i="29"/>
  <c r="E762" i="29"/>
  <c r="H687" i="29"/>
  <c r="D759" i="29"/>
  <c r="H656" i="29"/>
  <c r="H742" i="29"/>
  <c r="E730" i="29"/>
  <c r="H398" i="29"/>
  <c r="D808" i="29"/>
  <c r="F815" i="29"/>
  <c r="G601" i="29"/>
  <c r="H739" i="29"/>
  <c r="D452" i="29"/>
  <c r="F883" i="29"/>
  <c r="D568" i="29"/>
  <c r="F600" i="29"/>
  <c r="H623" i="29"/>
  <c r="D631" i="29"/>
  <c r="H143" i="29"/>
  <c r="E768" i="29"/>
  <c r="M123" i="29"/>
  <c r="D344" i="29"/>
  <c r="H900" i="29"/>
  <c r="H821" i="29"/>
  <c r="G773" i="29"/>
  <c r="F599" i="29"/>
  <c r="D540" i="29"/>
  <c r="H602" i="29"/>
  <c r="G496" i="29"/>
  <c r="E559" i="29"/>
  <c r="H539" i="29"/>
  <c r="E879" i="29"/>
  <c r="H665" i="29"/>
  <c r="E900" i="29"/>
  <c r="F624" i="29"/>
  <c r="F732" i="29"/>
  <c r="D357" i="29"/>
  <c r="H370" i="29"/>
  <c r="L53" i="29"/>
  <c r="K192" i="29"/>
  <c r="E720" i="29"/>
  <c r="D805" i="29"/>
  <c r="H515" i="29"/>
  <c r="G729" i="29"/>
  <c r="G884" i="29"/>
  <c r="C511" i="29"/>
  <c r="M407" i="29"/>
  <c r="F619" i="29"/>
  <c r="H800" i="29"/>
  <c r="G684" i="29"/>
  <c r="L51" i="29"/>
  <c r="F778" i="29"/>
  <c r="D613" i="29"/>
  <c r="G873" i="29"/>
  <c r="G909" i="29"/>
  <c r="H579" i="29"/>
  <c r="K194" i="29"/>
  <c r="G371" i="29"/>
  <c r="G468" i="29"/>
  <c r="L79" i="29"/>
  <c r="E895" i="29"/>
  <c r="E681" i="29"/>
  <c r="M11" i="29"/>
  <c r="C638" i="29"/>
  <c r="D864" i="29"/>
  <c r="K5" i="29"/>
  <c r="G669" i="29"/>
  <c r="G297" i="29"/>
  <c r="G889" i="29"/>
  <c r="E538" i="29"/>
  <c r="E905" i="29"/>
  <c r="E692" i="29"/>
  <c r="G661" i="29"/>
  <c r="H910" i="29"/>
  <c r="E655" i="29"/>
  <c r="E864" i="29"/>
  <c r="D612" i="29"/>
  <c r="E387" i="29"/>
  <c r="F481" i="29"/>
  <c r="E438" i="29"/>
  <c r="G865" i="29"/>
  <c r="E521" i="29"/>
  <c r="F787" i="29"/>
  <c r="K120" i="29"/>
  <c r="G498" i="29"/>
  <c r="H883" i="29"/>
  <c r="G835" i="29"/>
  <c r="H725" i="29"/>
  <c r="G698" i="29"/>
  <c r="L484" i="29"/>
  <c r="G711" i="29"/>
  <c r="L65" i="29"/>
  <c r="G722" i="29"/>
  <c r="E860" i="29"/>
  <c r="G785" i="29"/>
  <c r="H801" i="29"/>
  <c r="H650" i="29"/>
  <c r="G813" i="29"/>
  <c r="H452" i="29"/>
  <c r="G321" i="29"/>
  <c r="D666" i="29"/>
  <c r="F521" i="29"/>
  <c r="E648" i="29"/>
  <c r="H682" i="29"/>
  <c r="E858" i="29"/>
  <c r="G543" i="29"/>
  <c r="F586" i="29"/>
  <c r="D837" i="29"/>
  <c r="H884" i="29"/>
  <c r="H716" i="29"/>
  <c r="G850" i="29"/>
  <c r="E657" i="29"/>
  <c r="D571" i="29"/>
  <c r="D69" i="29"/>
  <c r="F485" i="29"/>
  <c r="H554" i="29"/>
  <c r="F630" i="29"/>
  <c r="D866" i="29"/>
  <c r="G680" i="29"/>
  <c r="D459" i="29"/>
  <c r="D786" i="29"/>
  <c r="D625" i="29"/>
  <c r="H404" i="29"/>
  <c r="E195" i="29"/>
  <c r="H590" i="29"/>
  <c r="G723" i="29"/>
  <c r="K220" i="29"/>
  <c r="D910" i="29"/>
  <c r="F814" i="29"/>
  <c r="D74" i="29"/>
  <c r="E790" i="29"/>
  <c r="G529" i="29"/>
  <c r="G739" i="29"/>
  <c r="G641" i="29"/>
  <c r="G904" i="29"/>
  <c r="D333" i="29"/>
  <c r="F383" i="29"/>
  <c r="G483" i="29"/>
  <c r="H594" i="29"/>
  <c r="H895" i="29"/>
  <c r="N64" i="29"/>
  <c r="F629" i="29"/>
  <c r="L93" i="29"/>
  <c r="F571" i="29"/>
  <c r="D376" i="29"/>
  <c r="D586" i="29"/>
  <c r="H745" i="29"/>
  <c r="F427" i="29"/>
  <c r="F714" i="29"/>
  <c r="F202" i="29"/>
  <c r="G403" i="29"/>
  <c r="F218" i="29"/>
  <c r="E484" i="29"/>
  <c r="H828" i="29"/>
  <c r="E478" i="29"/>
  <c r="D692" i="29"/>
  <c r="G721" i="29"/>
  <c r="E912" i="29"/>
  <c r="H443" i="29"/>
  <c r="H869" i="29"/>
  <c r="F893" i="29"/>
  <c r="L167" i="29"/>
  <c r="H744" i="29"/>
  <c r="F803" i="29"/>
  <c r="G713" i="29"/>
  <c r="E848" i="29"/>
  <c r="N26" i="29"/>
  <c r="F806" i="29"/>
  <c r="H825" i="29"/>
  <c r="H357" i="29"/>
  <c r="H789" i="29"/>
  <c r="H754" i="29"/>
  <c r="D735" i="29"/>
  <c r="M174" i="29"/>
  <c r="E566" i="29"/>
  <c r="E780" i="29"/>
  <c r="H766" i="29"/>
  <c r="H804" i="29"/>
  <c r="D469" i="29"/>
  <c r="G514" i="29"/>
  <c r="E635" i="29"/>
  <c r="H468" i="29"/>
  <c r="G227" i="29"/>
  <c r="N73" i="29"/>
  <c r="E348" i="29"/>
  <c r="F715" i="29"/>
  <c r="H779" i="29"/>
  <c r="M131" i="29"/>
  <c r="F748" i="29"/>
  <c r="G591" i="29"/>
  <c r="D750" i="29"/>
  <c r="D703" i="29"/>
  <c r="D243" i="29"/>
  <c r="G915" i="29"/>
  <c r="F498" i="29"/>
  <c r="F898" i="29"/>
  <c r="H469" i="29"/>
  <c r="H616" i="29"/>
  <c r="K168" i="29"/>
  <c r="E428" i="29"/>
  <c r="H559" i="29"/>
  <c r="G508" i="29"/>
  <c r="F798" i="29"/>
  <c r="F180" i="29"/>
  <c r="D908" i="29"/>
  <c r="H355" i="29"/>
  <c r="H746" i="29"/>
  <c r="D738" i="29"/>
  <c r="G295" i="29"/>
  <c r="D665" i="29"/>
  <c r="E582" i="29"/>
  <c r="F466" i="29"/>
  <c r="L88" i="29"/>
  <c r="D915" i="29"/>
  <c r="H644" i="29"/>
  <c r="H769" i="29"/>
  <c r="G898" i="29"/>
  <c r="F870" i="29"/>
  <c r="K138" i="29"/>
  <c r="G725" i="29"/>
  <c r="D659" i="29"/>
  <c r="F569" i="29"/>
  <c r="F612" i="29"/>
  <c r="E429" i="29"/>
  <c r="L98" i="29"/>
  <c r="H668" i="29"/>
  <c r="E827" i="29"/>
  <c r="C164" i="29"/>
  <c r="C426" i="29"/>
  <c r="C306" i="29"/>
  <c r="G626" i="29"/>
  <c r="G863" i="29"/>
  <c r="D529" i="29"/>
  <c r="E570" i="29"/>
  <c r="D598" i="29"/>
  <c r="H731" i="29"/>
  <c r="G441" i="29"/>
  <c r="M126" i="29"/>
  <c r="K13" i="29"/>
  <c r="H660" i="29"/>
  <c r="F823" i="29"/>
  <c r="D453" i="29"/>
  <c r="M91" i="29"/>
  <c r="H747" i="29"/>
  <c r="E615" i="29"/>
  <c r="E734" i="29"/>
  <c r="F648" i="29"/>
  <c r="H676" i="29"/>
  <c r="E779" i="29"/>
  <c r="E624" i="29"/>
  <c r="D393" i="29"/>
  <c r="D761" i="29"/>
  <c r="M23" i="29"/>
  <c r="E693" i="29"/>
  <c r="C531" i="29"/>
  <c r="H625" i="29"/>
  <c r="E474" i="29"/>
  <c r="D545" i="29"/>
  <c r="E450" i="29"/>
  <c r="D763" i="29"/>
  <c r="H353" i="29"/>
  <c r="D681" i="29"/>
  <c r="D407" i="29"/>
  <c r="H488" i="29"/>
  <c r="E754" i="29"/>
  <c r="F492" i="29"/>
  <c r="H536" i="29"/>
  <c r="G807" i="29"/>
  <c r="D353" i="29"/>
  <c r="N120" i="29"/>
  <c r="F651" i="29"/>
  <c r="C407" i="29"/>
  <c r="D756" i="29"/>
  <c r="G687" i="29"/>
  <c r="H760" i="29"/>
  <c r="F843" i="29"/>
  <c r="C304" i="29"/>
  <c r="D796" i="29"/>
  <c r="E807" i="29"/>
  <c r="D415" i="29"/>
  <c r="F776" i="29"/>
  <c r="G686" i="29"/>
  <c r="F719" i="29"/>
  <c r="D913" i="29"/>
  <c r="E845" i="29"/>
  <c r="F560" i="29"/>
  <c r="H857" i="29"/>
  <c r="E534" i="29"/>
  <c r="G637" i="29"/>
  <c r="D870" i="29"/>
  <c r="E687" i="29"/>
  <c r="C687" i="29" s="1"/>
  <c r="F865" i="29"/>
  <c r="E746" i="29"/>
  <c r="G776" i="29"/>
  <c r="D634" i="29"/>
  <c r="H811" i="29"/>
  <c r="E437" i="29"/>
  <c r="D751" i="29"/>
  <c r="H329" i="29"/>
  <c r="D579" i="29"/>
  <c r="D132" i="29"/>
  <c r="E749" i="29"/>
  <c r="D516" i="29"/>
  <c r="E593" i="29"/>
  <c r="H558" i="29"/>
  <c r="D799" i="29"/>
  <c r="D711" i="29"/>
  <c r="D729" i="29"/>
  <c r="D379" i="29"/>
  <c r="F530" i="29"/>
  <c r="F838" i="29"/>
  <c r="H792" i="29"/>
  <c r="E548" i="29"/>
  <c r="F617" i="29"/>
  <c r="G839" i="29"/>
  <c r="G631" i="29"/>
  <c r="F431" i="29"/>
  <c r="E747" i="29"/>
  <c r="C792" i="29"/>
  <c r="C499" i="29"/>
  <c r="D798" i="29"/>
  <c r="F372" i="29"/>
  <c r="D503" i="29"/>
  <c r="M107" i="29"/>
  <c r="E855" i="29"/>
  <c r="D556" i="29"/>
  <c r="D627" i="29"/>
  <c r="H863" i="29"/>
  <c r="F702" i="29"/>
  <c r="G910" i="29"/>
  <c r="G902" i="29"/>
  <c r="G470" i="29"/>
  <c r="H717" i="29"/>
  <c r="E706" i="29"/>
  <c r="H847" i="29"/>
  <c r="E150" i="29"/>
  <c r="H719" i="29"/>
  <c r="D668" i="29"/>
  <c r="F417" i="29"/>
  <c r="G644" i="29"/>
  <c r="E567" i="29"/>
  <c r="F608" i="29"/>
  <c r="E590" i="29"/>
  <c r="G570" i="29"/>
  <c r="F633" i="29"/>
  <c r="L27" i="29"/>
  <c r="F517" i="29"/>
  <c r="D907" i="29"/>
  <c r="D809" i="29"/>
  <c r="H672" i="29"/>
  <c r="E885" i="29"/>
  <c r="E677" i="29"/>
  <c r="H771" i="29"/>
  <c r="D392" i="29"/>
  <c r="D176" i="29"/>
  <c r="F822" i="29"/>
  <c r="G24" i="29"/>
  <c r="G728" i="29"/>
  <c r="G476" i="29"/>
  <c r="E427" i="29"/>
  <c r="D722" i="29"/>
  <c r="D329" i="29"/>
  <c r="E662" i="29"/>
  <c r="F610" i="29"/>
  <c r="F775" i="29"/>
  <c r="G676" i="29"/>
  <c r="E878" i="29"/>
  <c r="E303" i="29"/>
  <c r="H655" i="29"/>
  <c r="F887" i="29"/>
  <c r="G546" i="29"/>
  <c r="F389" i="29"/>
  <c r="E260" i="29"/>
  <c r="G879" i="29"/>
  <c r="G764" i="29"/>
  <c r="G518" i="29"/>
  <c r="H335" i="29"/>
  <c r="D283" i="29"/>
  <c r="F595" i="29"/>
  <c r="H799" i="29"/>
  <c r="G691" i="29"/>
  <c r="D385" i="29"/>
  <c r="F580" i="29"/>
  <c r="F451" i="29"/>
  <c r="D887" i="29"/>
  <c r="F354" i="29"/>
  <c r="E540" i="29"/>
  <c r="D867" i="29"/>
  <c r="H436" i="29"/>
  <c r="E242" i="29"/>
  <c r="D261" i="29"/>
  <c r="G473" i="29"/>
  <c r="G489" i="29"/>
  <c r="H778" i="29"/>
  <c r="G675" i="29"/>
  <c r="C381" i="29"/>
  <c r="G650" i="29"/>
  <c r="H734" i="29"/>
  <c r="E831" i="29"/>
  <c r="E527" i="29"/>
  <c r="C527" i="29" s="1"/>
  <c r="F709" i="29"/>
  <c r="D501" i="29"/>
  <c r="G720" i="29"/>
  <c r="E607" i="29"/>
  <c r="H826" i="29"/>
  <c r="H753" i="29"/>
  <c r="G629" i="29"/>
  <c r="E910" i="29"/>
  <c r="G782" i="29"/>
  <c r="G753" i="29"/>
  <c r="F403" i="29"/>
  <c r="F751" i="29"/>
  <c r="H703" i="29"/>
  <c r="H791" i="29"/>
  <c r="F698" i="29"/>
  <c r="F874" i="29"/>
  <c r="E669" i="29"/>
  <c r="E859" i="29"/>
  <c r="F684" i="29"/>
  <c r="G891" i="29"/>
  <c r="F310" i="29"/>
  <c r="H770" i="29"/>
  <c r="E816" i="29"/>
  <c r="F572" i="29"/>
  <c r="D445" i="29"/>
  <c r="H576" i="29"/>
  <c r="D484" i="29"/>
  <c r="E777" i="29"/>
  <c r="D769" i="29"/>
  <c r="G837" i="29"/>
  <c r="H780" i="29"/>
  <c r="F634" i="29"/>
  <c r="E837" i="29"/>
  <c r="G859" i="29"/>
  <c r="K232" i="29"/>
  <c r="F523" i="29"/>
  <c r="F711" i="29"/>
  <c r="E818" i="29"/>
  <c r="M216" i="29"/>
  <c r="G454" i="29"/>
  <c r="N199" i="29"/>
  <c r="H664" i="29"/>
  <c r="D825" i="29"/>
  <c r="H722" i="29"/>
  <c r="N144" i="29"/>
  <c r="C385" i="29"/>
  <c r="H582" i="29"/>
  <c r="F788" i="29"/>
  <c r="H818" i="29"/>
  <c r="F318" i="29"/>
  <c r="G314" i="29"/>
  <c r="G503" i="29"/>
  <c r="G316" i="29"/>
  <c r="F866" i="29"/>
  <c r="F148" i="29"/>
  <c r="F902" i="29"/>
  <c r="N106" i="29"/>
  <c r="F827" i="29"/>
  <c r="M179" i="29"/>
  <c r="F568" i="29"/>
  <c r="H843" i="29"/>
  <c r="G861" i="29"/>
  <c r="N161" i="29"/>
  <c r="E609" i="29"/>
  <c r="H609" i="29"/>
  <c r="D450" i="29"/>
  <c r="H520" i="29"/>
  <c r="C471" i="29"/>
  <c r="G531" i="29"/>
  <c r="K82" i="29"/>
  <c r="D706" i="29"/>
  <c r="H737" i="29"/>
  <c r="F844" i="29"/>
  <c r="H701" i="29"/>
  <c r="D577" i="29"/>
  <c r="G639" i="29"/>
  <c r="H548" i="29"/>
  <c r="D496" i="29"/>
  <c r="G492" i="29"/>
  <c r="E815" i="29"/>
  <c r="G862" i="29"/>
  <c r="F549" i="29"/>
  <c r="D429" i="29"/>
  <c r="D341" i="29"/>
  <c r="E330" i="29"/>
  <c r="H689" i="29"/>
  <c r="D860" i="29"/>
  <c r="H693" i="29"/>
  <c r="C563" i="29"/>
  <c r="E814" i="29"/>
  <c r="C213" i="29"/>
  <c r="E576" i="29"/>
  <c r="C630" i="29"/>
  <c r="H543" i="29"/>
  <c r="E367" i="29"/>
  <c r="L67" i="29"/>
  <c r="E587" i="29"/>
  <c r="E766" i="29"/>
  <c r="H432" i="29"/>
  <c r="D510" i="29"/>
  <c r="C300" i="29"/>
  <c r="F884" i="29"/>
  <c r="H191" i="29"/>
  <c r="H367" i="29"/>
  <c r="H782" i="29"/>
  <c r="F819" i="29"/>
  <c r="H893" i="29"/>
  <c r="D567" i="29"/>
  <c r="E683" i="29"/>
  <c r="F842" i="29"/>
  <c r="G589" i="29"/>
  <c r="D892" i="29"/>
  <c r="D731" i="29"/>
  <c r="H568" i="29"/>
  <c r="F837" i="29"/>
  <c r="K215" i="29"/>
  <c r="L151" i="29"/>
  <c r="D661" i="29"/>
  <c r="C375" i="29"/>
  <c r="E823" i="29"/>
  <c r="G897" i="29"/>
  <c r="H906" i="29"/>
  <c r="M95" i="29"/>
  <c r="K243" i="29"/>
  <c r="M362" i="29"/>
  <c r="L55" i="29"/>
  <c r="K51" i="29"/>
  <c r="L116" i="29"/>
  <c r="K103" i="29"/>
  <c r="N350" i="29"/>
  <c r="M35" i="29"/>
  <c r="M266" i="29"/>
  <c r="C827" i="29"/>
  <c r="K183" i="29"/>
  <c r="H763" i="29"/>
  <c r="E913" i="29"/>
  <c r="D753" i="29"/>
  <c r="F742" i="29"/>
  <c r="D646" i="29"/>
  <c r="F745" i="29"/>
  <c r="K109" i="29"/>
  <c r="H712" i="29"/>
  <c r="K48" i="29"/>
  <c r="L206" i="29"/>
  <c r="N243" i="29"/>
  <c r="K113" i="29"/>
  <c r="L290" i="29"/>
  <c r="D875" i="29"/>
  <c r="K752" i="29"/>
  <c r="F701" i="29"/>
  <c r="E760" i="29"/>
  <c r="E617" i="29"/>
  <c r="E284" i="29"/>
  <c r="F625" i="29"/>
  <c r="D466" i="29"/>
  <c r="D765" i="29"/>
  <c r="F913" i="29"/>
  <c r="E663" i="29"/>
  <c r="E724" i="29"/>
  <c r="H592" i="29"/>
  <c r="E680" i="29"/>
  <c r="G481" i="29"/>
  <c r="H868" i="29"/>
  <c r="F496" i="29"/>
  <c r="D757" i="29"/>
  <c r="E817" i="29"/>
  <c r="G603" i="29"/>
  <c r="H467" i="29"/>
  <c r="F801" i="29"/>
  <c r="G477" i="29"/>
  <c r="F766" i="29"/>
  <c r="D807" i="29"/>
  <c r="E618" i="29"/>
  <c r="G395" i="29"/>
  <c r="F807" i="29"/>
  <c r="E316" i="29"/>
  <c r="H302" i="29"/>
  <c r="H805" i="29"/>
  <c r="L171" i="29"/>
  <c r="M94" i="29"/>
  <c r="L66" i="29"/>
  <c r="D843" i="29"/>
  <c r="L187" i="29"/>
  <c r="G745" i="29"/>
  <c r="F789" i="29"/>
  <c r="D472" i="29"/>
  <c r="E805" i="29"/>
  <c r="E592" i="29"/>
  <c r="D833" i="29"/>
  <c r="H424" i="29"/>
  <c r="H596" i="29"/>
  <c r="G768" i="29"/>
  <c r="F908" i="29"/>
  <c r="D743" i="29"/>
  <c r="D715" i="29"/>
  <c r="H444" i="29"/>
  <c r="C720" i="29"/>
  <c r="E832" i="29"/>
  <c r="H344" i="29"/>
  <c r="D304" i="29"/>
  <c r="K338" i="29"/>
  <c r="D547" i="29"/>
  <c r="L260" i="29"/>
  <c r="G273" i="29"/>
  <c r="C891" i="29"/>
  <c r="N105" i="29"/>
  <c r="G575" i="29"/>
  <c r="F750" i="29"/>
  <c r="H632" i="29"/>
  <c r="E444" i="29"/>
  <c r="D888" i="29"/>
  <c r="G731" i="29"/>
  <c r="F591" i="29"/>
  <c r="H844" i="29"/>
  <c r="E611" i="29"/>
  <c r="G451" i="29"/>
  <c r="F916" i="29"/>
  <c r="D672" i="29"/>
  <c r="F755" i="29"/>
  <c r="E688" i="29"/>
  <c r="F346" i="29"/>
  <c r="G653" i="29"/>
  <c r="E699" i="29"/>
  <c r="E488" i="29"/>
  <c r="F697" i="29"/>
  <c r="D846" i="29"/>
  <c r="H832" i="29"/>
  <c r="H859" i="29"/>
  <c r="E364" i="29"/>
  <c r="F405" i="29"/>
  <c r="E293" i="29"/>
  <c r="D557" i="29"/>
  <c r="D752" i="29"/>
  <c r="H772" i="29"/>
  <c r="H577" i="29"/>
  <c r="H707" i="29"/>
  <c r="F861" i="29"/>
  <c r="E516" i="29"/>
  <c r="D719" i="29"/>
  <c r="G888" i="29"/>
  <c r="F239" i="29"/>
  <c r="D691" i="29"/>
  <c r="E667" i="29"/>
  <c r="D704" i="29"/>
  <c r="H381" i="29"/>
  <c r="C703" i="29"/>
  <c r="F567" i="29"/>
  <c r="D878" i="29"/>
  <c r="E557" i="29"/>
  <c r="G678" i="29"/>
  <c r="F854" i="29"/>
  <c r="G679" i="29"/>
  <c r="F700" i="29"/>
  <c r="E770" i="29"/>
  <c r="G32" i="29"/>
  <c r="H617" i="29"/>
  <c r="H442" i="29"/>
  <c r="D725" i="29"/>
  <c r="F703" i="29"/>
  <c r="H549" i="29"/>
  <c r="D507" i="29"/>
  <c r="E626" i="29"/>
  <c r="E564" i="29"/>
  <c r="G465" i="29"/>
  <c r="N185" i="29"/>
  <c r="G544" i="29"/>
  <c r="M115" i="29"/>
  <c r="G450" i="29"/>
  <c r="C507" i="29"/>
  <c r="D890" i="29"/>
  <c r="N137" i="29"/>
  <c r="E890" i="29"/>
  <c r="C666" i="29"/>
  <c r="K273" i="29"/>
  <c r="F706" i="29"/>
  <c r="G624" i="29"/>
  <c r="G636" i="29"/>
  <c r="G440" i="29"/>
  <c r="F728" i="29"/>
  <c r="H484" i="29"/>
  <c r="H473" i="29"/>
  <c r="G175" i="29"/>
  <c r="E689" i="29"/>
  <c r="H555" i="29"/>
  <c r="H749" i="29"/>
  <c r="N153" i="29"/>
  <c r="F699" i="29"/>
  <c r="D539" i="29"/>
  <c r="C650" i="29"/>
  <c r="F720" i="29"/>
  <c r="D814" i="29"/>
  <c r="G556" i="29"/>
  <c r="D380" i="29"/>
  <c r="H597" i="29"/>
  <c r="E672" i="29"/>
  <c r="L61" i="29"/>
  <c r="H879" i="29"/>
  <c r="E468" i="29"/>
  <c r="L34" i="29"/>
  <c r="H541" i="29"/>
  <c r="D527" i="29"/>
  <c r="H702" i="29"/>
  <c r="D737" i="29"/>
  <c r="D491" i="29"/>
  <c r="D425" i="29"/>
  <c r="E64" i="29"/>
  <c r="H410" i="29"/>
  <c r="L365" i="29"/>
  <c r="E784" i="29"/>
  <c r="G874" i="29"/>
  <c r="E459" i="29"/>
  <c r="E740" i="29"/>
  <c r="E826" i="29"/>
  <c r="D822" i="29"/>
  <c r="C418" i="29"/>
  <c r="F621" i="29"/>
  <c r="G593" i="29"/>
  <c r="F905" i="29"/>
  <c r="F439" i="29"/>
  <c r="E801" i="29"/>
  <c r="C162" i="29"/>
  <c r="E639" i="29"/>
  <c r="F764" i="29"/>
  <c r="L297" i="29"/>
  <c r="D569" i="29"/>
  <c r="L107" i="29"/>
  <c r="H915" i="29"/>
  <c r="D432" i="29"/>
  <c r="D783" i="29"/>
  <c r="E671" i="29"/>
  <c r="F817" i="29"/>
  <c r="F859" i="29"/>
  <c r="E798" i="29"/>
  <c r="G857" i="29"/>
  <c r="D307" i="29"/>
  <c r="F693" i="29"/>
  <c r="D554" i="29"/>
  <c r="H479" i="29"/>
  <c r="H330" i="29"/>
  <c r="G754" i="29"/>
  <c r="H351" i="29"/>
  <c r="C900" i="29"/>
  <c r="D651" i="29"/>
  <c r="F283" i="29"/>
  <c r="D656" i="29"/>
  <c r="M316" i="29"/>
  <c r="E678" i="29"/>
  <c r="G651" i="29"/>
  <c r="G538" i="29"/>
  <c r="G621" i="29"/>
  <c r="D909" i="29"/>
  <c r="F409" i="29"/>
  <c r="D793" i="29"/>
  <c r="D747" i="29"/>
  <c r="D742" i="29"/>
  <c r="G638" i="29"/>
  <c r="G550" i="29"/>
  <c r="G89" i="29"/>
  <c r="H485" i="29"/>
  <c r="D464" i="29"/>
  <c r="G547" i="29"/>
  <c r="F867" i="29"/>
  <c r="D802" i="29"/>
  <c r="D847" i="29"/>
  <c r="H652" i="29"/>
  <c r="H661" i="29"/>
  <c r="D676" i="29"/>
  <c r="E436" i="29"/>
  <c r="C321" i="29"/>
  <c r="F646" i="29"/>
  <c r="G743" i="29"/>
  <c r="C539" i="29"/>
  <c r="G524" i="29"/>
  <c r="E843" i="29"/>
  <c r="D384" i="29"/>
  <c r="L69" i="29"/>
  <c r="E493" i="29"/>
  <c r="G434" i="29"/>
  <c r="H907" i="29"/>
  <c r="G606" i="29"/>
  <c r="D749" i="29"/>
  <c r="E664" i="29"/>
  <c r="N129" i="29"/>
  <c r="H530" i="29"/>
  <c r="E725" i="29"/>
  <c r="H319" i="29"/>
  <c r="E830" i="29"/>
  <c r="H752" i="29"/>
  <c r="G519" i="29"/>
  <c r="E530" i="29"/>
  <c r="F505" i="29"/>
  <c r="D638" i="29"/>
  <c r="H502" i="29"/>
  <c r="F799" i="29"/>
  <c r="K81" i="29"/>
  <c r="G864" i="29"/>
  <c r="E134" i="29"/>
  <c r="F620" i="29"/>
  <c r="G752" i="29"/>
  <c r="F740" i="29"/>
  <c r="G585" i="29"/>
  <c r="H678" i="29"/>
  <c r="E549" i="29"/>
  <c r="H580" i="29"/>
  <c r="H422" i="29"/>
  <c r="F643" i="29"/>
  <c r="N308" i="29"/>
  <c r="H913" i="29"/>
  <c r="D842" i="29"/>
  <c r="F644" i="29"/>
  <c r="D639" i="29"/>
  <c r="E394" i="29"/>
  <c r="E739" i="29"/>
  <c r="E574" i="29"/>
  <c r="E491" i="29"/>
  <c r="D830" i="29"/>
  <c r="E670" i="29"/>
  <c r="F779" i="29"/>
  <c r="F663" i="29"/>
  <c r="H684" i="29"/>
  <c r="D876" i="29"/>
  <c r="E616" i="29"/>
  <c r="E675" i="29"/>
  <c r="D667" i="29"/>
  <c r="D823" i="29"/>
  <c r="G168" i="29"/>
  <c r="G779" i="29"/>
  <c r="F322" i="29"/>
  <c r="G497" i="29"/>
  <c r="E504" i="29"/>
  <c r="E492" i="29"/>
  <c r="F356" i="29"/>
  <c r="D852" i="29"/>
  <c r="F641" i="29"/>
  <c r="L292" i="29"/>
  <c r="F796" i="29"/>
  <c r="G814" i="29"/>
  <c r="E469" i="29"/>
  <c r="L253" i="29"/>
  <c r="D778" i="29"/>
  <c r="F508" i="29"/>
  <c r="D767" i="29"/>
  <c r="M233" i="29"/>
  <c r="F804" i="29"/>
  <c r="F692" i="29"/>
  <c r="D589" i="29"/>
  <c r="E901" i="29"/>
  <c r="G460" i="29"/>
  <c r="G706" i="29"/>
  <c r="G545" i="29"/>
  <c r="H713" i="29"/>
  <c r="G594" i="29"/>
  <c r="F490" i="29"/>
  <c r="E697" i="29"/>
  <c r="D816" i="29"/>
  <c r="E743" i="29"/>
  <c r="D883" i="29"/>
  <c r="F767" i="29"/>
  <c r="E775" i="29"/>
  <c r="G845" i="29"/>
  <c r="E850" i="29"/>
  <c r="L112" i="29"/>
  <c r="F264" i="29"/>
  <c r="E679" i="29"/>
  <c r="D559" i="29"/>
  <c r="E819" i="29"/>
  <c r="D594" i="29"/>
  <c r="G670" i="29"/>
  <c r="H593" i="29"/>
  <c r="D257" i="29"/>
  <c r="G632" i="29"/>
  <c r="G505" i="29"/>
  <c r="N51" i="29"/>
  <c r="N332" i="29"/>
  <c r="G896" i="29"/>
  <c r="M142" i="29"/>
  <c r="N30" i="29"/>
  <c r="G833" i="29"/>
  <c r="E355" i="29"/>
  <c r="F753" i="29"/>
  <c r="D328" i="29"/>
  <c r="M83" i="29"/>
  <c r="D826" i="29"/>
  <c r="D869" i="29"/>
  <c r="F475" i="29"/>
  <c r="H567" i="29"/>
  <c r="D482" i="29"/>
  <c r="E602" i="29"/>
  <c r="D564" i="29"/>
  <c r="D610" i="29"/>
  <c r="F761" i="29"/>
  <c r="H653" i="29"/>
  <c r="D241" i="29"/>
  <c r="F623" i="29"/>
  <c r="D678" i="29"/>
  <c r="E685" i="29"/>
  <c r="E808" i="29"/>
  <c r="G872" i="29"/>
  <c r="G344" i="29"/>
  <c r="G551" i="29"/>
  <c r="E458" i="29"/>
  <c r="G736" i="29"/>
  <c r="D580" i="29"/>
  <c r="E442" i="29"/>
  <c r="D787" i="29"/>
  <c r="H829" i="29"/>
  <c r="G702" i="29"/>
  <c r="D548" i="29"/>
  <c r="H545" i="29"/>
  <c r="F604" i="29"/>
  <c r="H208" i="29"/>
  <c r="G719" i="29"/>
  <c r="F562" i="29"/>
  <c r="G609" i="29"/>
  <c r="E431" i="29"/>
  <c r="F658" i="29"/>
  <c r="H524" i="29"/>
  <c r="L73" i="29"/>
  <c r="M48" i="29"/>
  <c r="E854" i="29"/>
  <c r="D792" i="29"/>
  <c r="D663" i="29"/>
  <c r="F457" i="29"/>
  <c r="F873" i="29"/>
  <c r="G625" i="29"/>
  <c r="H403" i="29"/>
  <c r="G527" i="29"/>
  <c r="H637" i="29"/>
  <c r="E721" i="29"/>
  <c r="K50" i="29"/>
  <c r="N15" i="29"/>
  <c r="E568" i="29"/>
  <c r="E578" i="29"/>
  <c r="C578" i="29" s="1"/>
  <c r="F676" i="29"/>
  <c r="H607" i="29"/>
  <c r="F795" i="29"/>
  <c r="G767" i="29"/>
  <c r="G223" i="29"/>
  <c r="D325" i="29"/>
  <c r="G504" i="29"/>
  <c r="G393" i="29"/>
  <c r="L45" i="29"/>
  <c r="D684" i="29"/>
  <c r="H643" i="29"/>
  <c r="G502" i="29"/>
  <c r="H743" i="29"/>
  <c r="F650" i="29"/>
  <c r="G699" i="29"/>
  <c r="F894" i="29"/>
  <c r="F433" i="29"/>
  <c r="E863" i="29"/>
  <c r="G794" i="29"/>
  <c r="E622" i="29"/>
  <c r="H860" i="29"/>
  <c r="F306" i="29"/>
  <c r="D911" i="29"/>
  <c r="H564" i="29"/>
  <c r="F816" i="29"/>
  <c r="F628" i="29"/>
  <c r="G595" i="29"/>
  <c r="E15" i="29"/>
  <c r="G364" i="29"/>
  <c r="F655" i="29"/>
  <c r="L155" i="29"/>
  <c r="H611" i="29"/>
  <c r="E509" i="29"/>
  <c r="D762" i="29"/>
  <c r="D570" i="29"/>
  <c r="N119" i="29"/>
  <c r="C768" i="29"/>
  <c r="D528" i="29"/>
  <c r="K136" i="29"/>
  <c r="G654" i="29"/>
  <c r="E561" i="29"/>
  <c r="H764" i="29"/>
  <c r="E199" i="29"/>
  <c r="C445" i="29"/>
  <c r="E750" i="29"/>
  <c r="H708" i="29"/>
  <c r="G623" i="29"/>
  <c r="H732" i="29"/>
  <c r="H697" i="29"/>
  <c r="G683" i="29"/>
  <c r="E673" i="29"/>
  <c r="G812" i="29"/>
  <c r="C879" i="29"/>
  <c r="H537" i="29"/>
  <c r="G216" i="29"/>
  <c r="H776" i="29"/>
  <c r="G557" i="29"/>
  <c r="F413" i="29"/>
  <c r="H641" i="29"/>
  <c r="H649" i="29"/>
  <c r="H399" i="29"/>
  <c r="F418" i="29"/>
  <c r="G528" i="29"/>
  <c r="F906" i="29"/>
  <c r="E350" i="29"/>
  <c r="F673" i="29"/>
  <c r="D572" i="29"/>
  <c r="M197" i="29"/>
  <c r="F690" i="29"/>
  <c r="F685" i="29"/>
  <c r="D513" i="29"/>
  <c r="F791" i="29"/>
  <c r="H471" i="29"/>
  <c r="G507" i="29"/>
  <c r="F847" i="29"/>
  <c r="E756" i="29"/>
  <c r="G781" i="29"/>
  <c r="E610" i="29"/>
  <c r="D652" i="29"/>
  <c r="G689" i="29"/>
  <c r="G712" i="29"/>
  <c r="H706" i="29"/>
  <c r="M139" i="29"/>
  <c r="F782" i="29"/>
  <c r="D871" i="29"/>
  <c r="F453" i="29"/>
  <c r="D642" i="29"/>
  <c r="G769" i="29"/>
  <c r="L37" i="29"/>
  <c r="E737" i="29"/>
  <c r="E804" i="29"/>
  <c r="D624" i="29"/>
  <c r="D773" i="29"/>
  <c r="H888" i="29"/>
  <c r="C594" i="29"/>
  <c r="H711" i="29"/>
  <c r="N192" i="29"/>
  <c r="K71" i="29"/>
  <c r="G868" i="29"/>
  <c r="K7" i="29"/>
  <c r="N193" i="29"/>
  <c r="F730" i="29"/>
  <c r="G834" i="29"/>
  <c r="M59" i="29"/>
  <c r="G903" i="29"/>
  <c r="C815" i="29"/>
  <c r="N111" i="29"/>
  <c r="M165" i="29"/>
  <c r="E759" i="29"/>
  <c r="L431" i="29"/>
  <c r="C748" i="29"/>
  <c r="N151" i="29"/>
  <c r="D873" i="29"/>
  <c r="K255" i="29"/>
  <c r="L8" i="29"/>
  <c r="M75" i="29"/>
  <c r="M141" i="29"/>
  <c r="L121" i="29"/>
  <c r="M130" i="29"/>
  <c r="L437" i="29"/>
  <c r="E757" i="29"/>
  <c r="M301" i="29"/>
  <c r="E328" i="29"/>
  <c r="K153" i="29"/>
  <c r="E873" i="29"/>
  <c r="M312" i="29"/>
  <c r="K17" i="29"/>
  <c r="G495" i="29"/>
  <c r="H755" i="29"/>
  <c r="F463" i="29"/>
  <c r="D794" i="29"/>
  <c r="E652" i="29"/>
  <c r="K267" i="29"/>
  <c r="K188" i="29"/>
  <c r="H511" i="29"/>
  <c r="D818" i="29"/>
  <c r="H157" i="29"/>
  <c r="F856" i="29"/>
  <c r="K289" i="29"/>
  <c r="F749" i="29"/>
  <c r="M248" i="29"/>
  <c r="D679" i="29"/>
  <c r="Q150" i="29"/>
  <c r="L6" i="29"/>
  <c r="F659" i="29"/>
  <c r="M676" i="29"/>
  <c r="L123" i="29"/>
  <c r="K78" i="29"/>
  <c r="M171" i="29"/>
  <c r="F397" i="29"/>
  <c r="M147" i="29"/>
  <c r="F627" i="29"/>
  <c r="H619" i="29"/>
  <c r="H455" i="29"/>
  <c r="K207" i="29"/>
  <c r="H865" i="29"/>
  <c r="K231" i="29"/>
  <c r="N158" i="29"/>
  <c r="K47" i="29"/>
  <c r="K222" i="29"/>
  <c r="L288" i="29"/>
  <c r="G795" i="29"/>
  <c r="G905" i="29"/>
  <c r="H790" i="29"/>
  <c r="F722" i="29"/>
  <c r="G710" i="29"/>
  <c r="C442" i="29"/>
  <c r="D896" i="29"/>
  <c r="K38" i="29"/>
  <c r="L648" i="29"/>
  <c r="H727" i="29"/>
  <c r="K330" i="29"/>
  <c r="G704" i="29"/>
  <c r="K126" i="29"/>
  <c r="H531" i="29"/>
  <c r="K204" i="29"/>
  <c r="N697" i="29"/>
  <c r="D788" i="29"/>
  <c r="L115" i="29"/>
  <c r="N17" i="29"/>
  <c r="F744" i="29"/>
  <c r="E813" i="29"/>
  <c r="K80" i="29"/>
  <c r="N219" i="29"/>
  <c r="L128" i="29"/>
  <c r="Q275" i="29"/>
  <c r="E851" i="29"/>
  <c r="N61" i="29"/>
  <c r="E840" i="29"/>
  <c r="M229" i="29"/>
  <c r="E897" i="29"/>
  <c r="L222" i="29"/>
  <c r="K528" i="29"/>
  <c r="F729" i="29"/>
  <c r="N45" i="29"/>
  <c r="M201" i="29"/>
  <c r="F871" i="29"/>
  <c r="M150" i="29"/>
  <c r="H870" i="29"/>
  <c r="D845" i="29"/>
  <c r="M295" i="29"/>
  <c r="N136" i="29"/>
  <c r="N362" i="29"/>
  <c r="G805" i="29"/>
  <c r="K186" i="29"/>
  <c r="M109" i="29"/>
  <c r="L203" i="29"/>
  <c r="K46" i="29"/>
  <c r="L528" i="29"/>
  <c r="L28" i="29"/>
  <c r="F899" i="29"/>
  <c r="M252" i="29"/>
  <c r="F615" i="29"/>
  <c r="F754" i="29"/>
  <c r="G696" i="29"/>
  <c r="K241" i="29"/>
  <c r="H634" i="29"/>
  <c r="K316" i="29"/>
  <c r="D574" i="29"/>
  <c r="H427" i="29"/>
  <c r="F639" i="29"/>
  <c r="E812" i="29"/>
  <c r="H207" i="29"/>
  <c r="F544" i="29"/>
  <c r="E902" i="29"/>
  <c r="D848" i="29"/>
  <c r="G890" i="29"/>
  <c r="H733" i="29"/>
  <c r="N90" i="29"/>
  <c r="H698" i="29"/>
  <c r="K369" i="29"/>
  <c r="C602" i="29"/>
  <c r="N122" i="29"/>
  <c r="J112" i="29"/>
  <c r="N813" i="29"/>
  <c r="L310" i="29"/>
  <c r="N172" i="29"/>
  <c r="E707" i="29"/>
  <c r="D253" i="29"/>
  <c r="H610" i="29"/>
  <c r="F616" i="29"/>
  <c r="N96" i="29"/>
  <c r="M12" i="29"/>
  <c r="G871" i="29"/>
  <c r="E546" i="29"/>
  <c r="K88" i="29"/>
  <c r="F875" i="29"/>
  <c r="F848" i="29"/>
  <c r="E758" i="29"/>
  <c r="C648" i="29"/>
  <c r="H831" i="29"/>
  <c r="F546" i="29"/>
  <c r="E793" i="29"/>
  <c r="G664" i="29"/>
  <c r="H856" i="29"/>
  <c r="E710" i="29"/>
  <c r="H683" i="29"/>
  <c r="E872" i="29"/>
  <c r="L122" i="29"/>
  <c r="E719" i="29"/>
  <c r="M62" i="29"/>
  <c r="D831" i="29"/>
  <c r="D891" i="29"/>
  <c r="D688" i="29"/>
  <c r="F554" i="29"/>
  <c r="E783" i="29"/>
  <c r="D836" i="29"/>
  <c r="D607" i="29"/>
  <c r="F638" i="29"/>
  <c r="H756" i="29"/>
  <c r="E880" i="29"/>
  <c r="E577" i="29"/>
  <c r="L101" i="29"/>
  <c r="D671" i="29"/>
  <c r="N205" i="29"/>
  <c r="M138" i="29"/>
  <c r="M235" i="29"/>
  <c r="H741" i="29"/>
  <c r="E797" i="29"/>
  <c r="F713" i="29"/>
  <c r="C843" i="29"/>
  <c r="N648" i="29"/>
  <c r="L22" i="29"/>
  <c r="M585" i="29"/>
  <c r="F889" i="29"/>
  <c r="E906" i="29"/>
  <c r="G707" i="29"/>
  <c r="E839" i="29"/>
  <c r="H390" i="29"/>
  <c r="F783" i="29"/>
  <c r="H438" i="29"/>
  <c r="L614" i="29"/>
  <c r="F892" i="29"/>
  <c r="M64" i="29"/>
  <c r="K9" i="29"/>
  <c r="D730" i="29"/>
  <c r="G819" i="29"/>
  <c r="G748" i="29"/>
  <c r="N72" i="29"/>
  <c r="M284" i="29"/>
  <c r="C535" i="29"/>
  <c r="E545" i="29"/>
  <c r="H636" i="29"/>
  <c r="F611" i="29"/>
  <c r="G565" i="29"/>
  <c r="K430" i="29"/>
  <c r="D829" i="29"/>
  <c r="M471" i="29"/>
  <c r="L183" i="29"/>
  <c r="E588" i="29"/>
  <c r="M44" i="29"/>
  <c r="N104" i="29"/>
  <c r="K185" i="29"/>
  <c r="F840" i="29"/>
  <c r="L209" i="29"/>
  <c r="M52" i="29"/>
  <c r="N80" i="29"/>
  <c r="D669" i="29"/>
  <c r="J107" i="29"/>
  <c r="G907" i="29"/>
  <c r="H904" i="29"/>
  <c r="K156" i="29"/>
  <c r="L111" i="29"/>
  <c r="N75" i="29"/>
  <c r="K167" i="29"/>
  <c r="L63" i="29"/>
  <c r="N81" i="29"/>
  <c r="L420" i="29"/>
  <c r="K402" i="29"/>
  <c r="M117" i="29"/>
  <c r="N6" i="29"/>
  <c r="F903" i="29"/>
  <c r="K334" i="29"/>
  <c r="L196" i="29"/>
  <c r="G568" i="29"/>
  <c r="K250" i="29"/>
  <c r="G911" i="29"/>
  <c r="F881" i="29"/>
  <c r="D785" i="29"/>
  <c r="K90" i="29"/>
  <c r="E453" i="29"/>
  <c r="F584" i="29"/>
  <c r="D835" i="29"/>
  <c r="H819" i="29"/>
  <c r="N402" i="29"/>
  <c r="L91" i="29"/>
  <c r="K169" i="29"/>
  <c r="F896" i="29"/>
  <c r="N24" i="29"/>
  <c r="G665" i="29"/>
  <c r="K246" i="29"/>
  <c r="M250" i="29"/>
  <c r="G693" i="29"/>
  <c r="H917" i="29"/>
  <c r="E661" i="29"/>
  <c r="D641" i="29"/>
  <c r="M344" i="29"/>
  <c r="L77" i="29"/>
  <c r="F607" i="29"/>
  <c r="E778" i="29"/>
  <c r="L117" i="29"/>
  <c r="D618" i="29"/>
  <c r="F786" i="29"/>
  <c r="D879" i="29"/>
  <c r="H767" i="29"/>
  <c r="K62" i="29"/>
  <c r="D917" i="29"/>
  <c r="L145" i="29"/>
  <c r="D733" i="29"/>
  <c r="G895" i="29"/>
  <c r="N234" i="29"/>
  <c r="D804" i="29"/>
  <c r="F738" i="29"/>
  <c r="M99" i="29"/>
  <c r="G640" i="29"/>
  <c r="F897" i="29"/>
  <c r="G708" i="29"/>
  <c r="F910" i="29"/>
  <c r="L92" i="29"/>
  <c r="D760" i="29"/>
  <c r="N228" i="29"/>
  <c r="K128" i="29"/>
  <c r="E708" i="29"/>
  <c r="K155" i="29"/>
  <c r="G682" i="29"/>
  <c r="K297" i="29"/>
  <c r="N303" i="29"/>
  <c r="G730" i="29"/>
  <c r="K210" i="29"/>
  <c r="G648" i="29"/>
  <c r="E705" i="29"/>
  <c r="G600" i="29"/>
  <c r="G457" i="29"/>
  <c r="L220" i="29"/>
  <c r="G770" i="29"/>
  <c r="K227" i="29"/>
  <c r="G628" i="29"/>
  <c r="N19" i="29"/>
  <c r="G855" i="29"/>
  <c r="G236" i="29"/>
  <c r="F670" i="29"/>
  <c r="L170" i="29"/>
  <c r="K181" i="29"/>
  <c r="L214" i="29"/>
  <c r="L287" i="29"/>
  <c r="H787" i="29"/>
  <c r="K395" i="29"/>
  <c r="C664" i="29"/>
  <c r="M609" i="29"/>
  <c r="H892" i="29"/>
  <c r="L460" i="29"/>
  <c r="G694" i="29"/>
  <c r="G784" i="29"/>
  <c r="G916" i="29"/>
  <c r="N321" i="29"/>
  <c r="H794" i="29"/>
  <c r="K34" i="29"/>
  <c r="N98" i="29"/>
  <c r="L791" i="29"/>
  <c r="K84" i="29"/>
  <c r="N187" i="29"/>
  <c r="M259" i="29"/>
  <c r="E674" i="29"/>
  <c r="N279" i="29"/>
  <c r="H842" i="29"/>
  <c r="H663" i="29"/>
  <c r="M279" i="29"/>
  <c r="F422" i="29"/>
  <c r="H680" i="29"/>
  <c r="M343" i="29"/>
  <c r="N189" i="29"/>
  <c r="H679" i="29"/>
  <c r="K536" i="29"/>
  <c r="F756" i="29"/>
  <c r="L429" i="29"/>
  <c r="D644" i="29"/>
  <c r="N117" i="29"/>
  <c r="G418" i="29"/>
  <c r="N421" i="29"/>
  <c r="M304" i="29"/>
  <c r="H822" i="29"/>
  <c r="K40" i="29"/>
  <c r="F430" i="29"/>
  <c r="D565" i="29"/>
  <c r="H905" i="29"/>
  <c r="G869" i="29"/>
  <c r="H578" i="29"/>
  <c r="M335" i="29"/>
  <c r="M290" i="29"/>
  <c r="E603" i="29"/>
  <c r="M470" i="29"/>
  <c r="K72" i="29"/>
  <c r="K352" i="29"/>
  <c r="D772" i="29"/>
  <c r="N481" i="29"/>
  <c r="K499" i="29"/>
  <c r="E643" i="29"/>
  <c r="K627" i="29"/>
  <c r="K209" i="29"/>
  <c r="F741" i="29"/>
  <c r="N116" i="29"/>
  <c r="H827" i="29"/>
  <c r="N143" i="29"/>
  <c r="E842" i="29"/>
  <c r="K45" i="29"/>
  <c r="N139" i="29"/>
  <c r="D872" i="29"/>
  <c r="H585" i="29"/>
  <c r="L86" i="29"/>
  <c r="N190" i="29"/>
  <c r="K114" i="29"/>
  <c r="N191" i="29"/>
  <c r="M195" i="29"/>
  <c r="N101" i="29"/>
  <c r="M159" i="29"/>
  <c r="K251" i="29"/>
  <c r="E853" i="29"/>
  <c r="M223" i="29"/>
  <c r="N248" i="29"/>
  <c r="F739" i="29"/>
  <c r="L468" i="29"/>
  <c r="N208" i="29"/>
  <c r="G619" i="29"/>
  <c r="N123" i="29"/>
  <c r="D707" i="29"/>
  <c r="H513" i="29"/>
  <c r="H871" i="29"/>
  <c r="C728" i="29"/>
  <c r="C555" i="29"/>
  <c r="N102" i="29"/>
  <c r="N242" i="29"/>
  <c r="G826" i="29"/>
  <c r="D437" i="29"/>
  <c r="N272" i="29"/>
  <c r="C574" i="29"/>
  <c r="M208" i="29"/>
  <c r="K478" i="29"/>
  <c r="K907" i="29"/>
  <c r="L29" i="29"/>
  <c r="L179" i="29"/>
  <c r="H223" i="29"/>
  <c r="F661" i="29"/>
  <c r="E299" i="29"/>
  <c r="E612" i="29"/>
  <c r="G756" i="29"/>
  <c r="E572" i="29"/>
  <c r="M56" i="29"/>
  <c r="D740" i="29"/>
  <c r="D693" i="29"/>
  <c r="N33" i="29"/>
  <c r="F386" i="29"/>
  <c r="D649" i="29"/>
  <c r="E894" i="29"/>
  <c r="D797" i="29"/>
  <c r="K66" i="29"/>
  <c r="M42" i="29"/>
  <c r="M320" i="29"/>
  <c r="K259" i="29"/>
  <c r="N337" i="29"/>
  <c r="L388" i="29"/>
  <c r="H858" i="29"/>
  <c r="D754" i="29"/>
  <c r="M269" i="29"/>
  <c r="M183" i="29"/>
  <c r="H565" i="29"/>
  <c r="D670" i="29"/>
  <c r="H434" i="29"/>
  <c r="E829" i="29"/>
  <c r="K87" i="29"/>
  <c r="H806" i="29"/>
  <c r="C760" i="29"/>
  <c r="G854" i="29"/>
  <c r="D687" i="29"/>
  <c r="L200" i="29"/>
  <c r="H850" i="29"/>
  <c r="N148" i="29"/>
  <c r="D832" i="29"/>
  <c r="N57" i="29"/>
  <c r="H837" i="29"/>
  <c r="C551" i="29"/>
  <c r="D654" i="29"/>
  <c r="F479" i="29"/>
  <c r="M187" i="29"/>
  <c r="E810" i="29"/>
  <c r="M153" i="29"/>
  <c r="L284" i="29"/>
  <c r="K582" i="29"/>
  <c r="K326" i="29"/>
  <c r="M365" i="29"/>
  <c r="E480" i="29"/>
  <c r="L169" i="29"/>
  <c r="K59" i="29"/>
  <c r="G892" i="29"/>
  <c r="E665" i="29"/>
  <c r="D780" i="29"/>
  <c r="G846" i="29"/>
  <c r="D886" i="29"/>
  <c r="C590" i="29"/>
  <c r="K258" i="29"/>
  <c r="C699" i="29"/>
  <c r="L521" i="29"/>
  <c r="N221" i="29"/>
  <c r="N883" i="29"/>
  <c r="L131" i="29"/>
  <c r="K917" i="29"/>
  <c r="F886" i="29"/>
  <c r="N820" i="29"/>
  <c r="K99" i="29"/>
  <c r="N257" i="29"/>
  <c r="M58" i="29"/>
  <c r="G842" i="29"/>
  <c r="L161" i="29"/>
  <c r="L5" i="29"/>
  <c r="L186" i="29"/>
  <c r="H751" i="29"/>
  <c r="G766" i="29"/>
  <c r="N121" i="29"/>
  <c r="F414" i="29"/>
  <c r="F626" i="29"/>
  <c r="C676" i="29"/>
  <c r="M166" i="29"/>
  <c r="D820" i="29"/>
  <c r="G822" i="29"/>
  <c r="N434" i="29"/>
  <c r="G757" i="29"/>
  <c r="N465" i="29"/>
  <c r="F851" i="29"/>
  <c r="K641" i="29"/>
  <c r="H738" i="29"/>
  <c r="K190" i="29"/>
  <c r="M251" i="29"/>
  <c r="G894" i="29"/>
  <c r="M54" i="29"/>
  <c r="K307" i="29"/>
  <c r="G803" i="29"/>
  <c r="F674" i="29"/>
  <c r="H817" i="29"/>
  <c r="E838" i="29"/>
  <c r="E773" i="29"/>
  <c r="D857" i="29"/>
  <c r="D900" i="29"/>
  <c r="N231" i="29"/>
  <c r="N285" i="29"/>
  <c r="K191" i="29"/>
  <c r="N76" i="29"/>
  <c r="M114" i="29"/>
  <c r="N159" i="29"/>
  <c r="F784" i="29"/>
  <c r="L501" i="29"/>
  <c r="K23" i="29"/>
  <c r="K271" i="29"/>
  <c r="J11" i="29"/>
  <c r="K146" i="29"/>
  <c r="M253" i="29"/>
  <c r="K76" i="29"/>
  <c r="K353" i="29"/>
  <c r="M148" i="29"/>
  <c r="N354" i="29"/>
  <c r="K94" i="29"/>
  <c r="E828" i="29"/>
  <c r="K409" i="29"/>
  <c r="L182" i="29"/>
  <c r="N323" i="29"/>
  <c r="L68" i="29"/>
  <c r="L139" i="29"/>
  <c r="F609" i="29"/>
  <c r="K302" i="29"/>
  <c r="D856" i="29"/>
  <c r="F230" i="29"/>
  <c r="N59" i="29"/>
  <c r="M116" i="29"/>
  <c r="M196" i="29"/>
  <c r="N652" i="29"/>
  <c r="F398" i="29"/>
  <c r="L46" i="29"/>
  <c r="H538" i="29"/>
  <c r="M521" i="29"/>
  <c r="G832" i="29"/>
  <c r="F882" i="29"/>
  <c r="N808" i="29"/>
  <c r="D655" i="29"/>
  <c r="M334" i="29"/>
  <c r="L59" i="29"/>
  <c r="D675" i="29"/>
  <c r="K101" i="29"/>
  <c r="D819" i="29"/>
  <c r="L49" i="29"/>
  <c r="F900" i="29"/>
  <c r="L103" i="29"/>
  <c r="N10" i="29"/>
  <c r="K450" i="29"/>
  <c r="D590" i="29"/>
  <c r="N109" i="29"/>
  <c r="K421" i="29"/>
  <c r="L385" i="29"/>
  <c r="G900" i="29"/>
  <c r="P93" i="29"/>
  <c r="L119" i="29"/>
  <c r="M461" i="29"/>
  <c r="L685" i="29"/>
  <c r="N312" i="29"/>
  <c r="N491" i="29"/>
  <c r="L313" i="29"/>
  <c r="M68" i="29"/>
  <c r="K117" i="29"/>
  <c r="G576" i="29"/>
  <c r="E788" i="29"/>
  <c r="C788" i="29" s="1"/>
  <c r="F811" i="29"/>
  <c r="E636" i="29"/>
  <c r="N113" i="29"/>
  <c r="G824" i="29"/>
  <c r="L133" i="29"/>
  <c r="N115" i="29"/>
  <c r="H815" i="29"/>
  <c r="H726" i="29"/>
  <c r="H604" i="29"/>
  <c r="K37" i="29"/>
  <c r="M473" i="29"/>
  <c r="K25" i="29"/>
  <c r="L16" i="29"/>
  <c r="H797" i="29"/>
  <c r="K858" i="29"/>
  <c r="L286" i="29"/>
  <c r="L413" i="29"/>
  <c r="L113" i="29"/>
  <c r="M817" i="29"/>
  <c r="F675" i="29"/>
  <c r="M236" i="29"/>
  <c r="M256" i="29"/>
  <c r="E765" i="29"/>
  <c r="H838" i="29"/>
  <c r="G735" i="29"/>
  <c r="M160" i="29"/>
  <c r="D899" i="29"/>
  <c r="M22" i="29"/>
  <c r="H796" i="29"/>
  <c r="H810" i="29"/>
  <c r="C670" i="29"/>
  <c r="H887" i="29"/>
  <c r="H866" i="29"/>
  <c r="M158" i="29"/>
  <c r="E802" i="29"/>
  <c r="H724" i="29"/>
  <c r="G724" i="29"/>
  <c r="N82" i="29"/>
  <c r="N253" i="29"/>
  <c r="N74" i="29"/>
  <c r="N179" i="29"/>
  <c r="K263" i="29"/>
  <c r="M73" i="29"/>
  <c r="N226" i="29"/>
  <c r="M282" i="29"/>
  <c r="N238" i="29"/>
  <c r="L7" i="29"/>
  <c r="H874" i="29"/>
  <c r="G746" i="29"/>
  <c r="G755" i="29"/>
  <c r="F909" i="29"/>
  <c r="E735" i="29"/>
  <c r="E727" i="29"/>
  <c r="M133" i="29"/>
  <c r="M476" i="29"/>
  <c r="E844" i="29"/>
  <c r="G714" i="29"/>
  <c r="N131" i="29"/>
  <c r="K337" i="29"/>
  <c r="L321" i="29"/>
  <c r="M391" i="29"/>
  <c r="N269" i="29"/>
  <c r="N141" i="29"/>
  <c r="N41" i="29"/>
  <c r="L72" i="29"/>
  <c r="L229" i="29"/>
  <c r="N267" i="29"/>
  <c r="M638" i="29"/>
  <c r="N347" i="29"/>
  <c r="F826" i="29"/>
  <c r="D727" i="29"/>
  <c r="G709" i="29"/>
  <c r="G740" i="29"/>
  <c r="C660" i="29"/>
  <c r="G876" i="29"/>
  <c r="D658" i="29"/>
  <c r="E700" i="29"/>
  <c r="N235" i="29"/>
  <c r="G877" i="29"/>
  <c r="H704" i="29"/>
  <c r="H775" i="29"/>
  <c r="C875" i="29"/>
  <c r="N343" i="29"/>
  <c r="N177" i="29"/>
  <c r="F717" i="29"/>
  <c r="L346" i="29"/>
  <c r="L95" i="29"/>
  <c r="K244" i="29"/>
  <c r="M493" i="29"/>
  <c r="D914" i="29"/>
  <c r="M244" i="29"/>
  <c r="N100" i="29"/>
  <c r="N54" i="29"/>
  <c r="N169" i="29"/>
  <c r="F860" i="29"/>
  <c r="N108" i="29"/>
  <c r="K254" i="29"/>
  <c r="L215" i="29"/>
  <c r="N360" i="29"/>
  <c r="M128" i="29"/>
  <c r="H834" i="29"/>
  <c r="M113" i="29"/>
  <c r="E460" i="29"/>
  <c r="M351" i="29"/>
  <c r="L105" i="29"/>
  <c r="F869" i="29"/>
  <c r="E772" i="29"/>
  <c r="M272" i="29"/>
  <c r="D643" i="29"/>
  <c r="L90" i="29"/>
  <c r="E653" i="29"/>
  <c r="H852" i="29"/>
  <c r="N195" i="29"/>
  <c r="F857" i="29"/>
  <c r="L861" i="29"/>
  <c r="F824" i="29"/>
  <c r="N516" i="29"/>
  <c r="L83" i="29"/>
  <c r="N782" i="29"/>
  <c r="E627" i="29"/>
  <c r="K106" i="29"/>
  <c r="N322" i="29"/>
  <c r="E644" i="29"/>
  <c r="M300" i="29"/>
  <c r="H840" i="29"/>
  <c r="N309" i="29"/>
  <c r="H506" i="29"/>
  <c r="G887" i="29"/>
  <c r="L194" i="29"/>
  <c r="K276" i="29"/>
  <c r="K642" i="29"/>
  <c r="M30" i="29"/>
  <c r="G802" i="29"/>
  <c r="E866" i="29"/>
  <c r="K26" i="29"/>
  <c r="E439" i="29"/>
  <c r="H462" i="29"/>
  <c r="F454" i="29"/>
  <c r="D877" i="29"/>
  <c r="E869" i="29"/>
  <c r="F688" i="29"/>
  <c r="H803" i="29"/>
  <c r="H814" i="29"/>
  <c r="K36" i="29"/>
  <c r="F852" i="29"/>
  <c r="G878" i="29"/>
  <c r="K303" i="29"/>
  <c r="M51" i="29"/>
  <c r="L26" i="29"/>
  <c r="D885" i="29"/>
  <c r="F695" i="29"/>
  <c r="L341" i="29"/>
  <c r="F901" i="29"/>
  <c r="M292" i="29"/>
  <c r="N370" i="29"/>
  <c r="N91" i="29"/>
  <c r="D882" i="29"/>
  <c r="E781" i="29"/>
  <c r="G851" i="29"/>
  <c r="F752" i="29"/>
  <c r="D705" i="29"/>
  <c r="K64" i="29"/>
  <c r="M242" i="29"/>
  <c r="G917" i="29"/>
  <c r="M70" i="29"/>
  <c r="H584" i="29"/>
  <c r="C701" i="29"/>
  <c r="N52" i="29"/>
  <c r="L174" i="29"/>
  <c r="G646" i="29"/>
  <c r="N128" i="29"/>
  <c r="H802" i="29"/>
  <c r="M110" i="29"/>
  <c r="F691" i="29"/>
  <c r="H839" i="29"/>
  <c r="L149" i="29"/>
  <c r="K41" i="29"/>
  <c r="L13" i="29"/>
  <c r="G370" i="29"/>
  <c r="L157" i="29"/>
  <c r="H612" i="29"/>
  <c r="L76" i="29"/>
  <c r="H669" i="29"/>
  <c r="M757" i="29"/>
  <c r="L114" i="29"/>
  <c r="M132" i="29"/>
  <c r="L96" i="29"/>
  <c r="D732" i="29"/>
  <c r="D677" i="29"/>
  <c r="D697" i="29"/>
  <c r="N89" i="29"/>
  <c r="F829" i="29"/>
  <c r="N261" i="29"/>
  <c r="K61" i="29"/>
  <c r="M155" i="29"/>
  <c r="M168" i="29"/>
  <c r="G858" i="29"/>
  <c r="N77" i="29"/>
  <c r="G817" i="29"/>
  <c r="L465" i="29"/>
  <c r="G829" i="29"/>
  <c r="M16" i="29"/>
  <c r="M230" i="29"/>
  <c r="N49" i="29"/>
  <c r="M808" i="29"/>
  <c r="N14" i="29"/>
  <c r="K405" i="29"/>
  <c r="D603" i="29"/>
  <c r="L147" i="29"/>
  <c r="J147" i="29" s="1"/>
  <c r="H916" i="29"/>
  <c r="G674" i="29"/>
  <c r="H777" i="29"/>
  <c r="F735" i="29"/>
  <c r="L17" i="29"/>
  <c r="F836" i="29"/>
  <c r="L192" i="29"/>
  <c r="H475" i="29"/>
  <c r="N264" i="29"/>
  <c r="D683" i="29"/>
  <c r="L372" i="29"/>
  <c r="E556" i="29"/>
  <c r="K473" i="29"/>
  <c r="L100" i="29"/>
  <c r="F872" i="29"/>
  <c r="G734" i="29"/>
  <c r="K377" i="29"/>
  <c r="J155" i="29"/>
  <c r="G642" i="29"/>
  <c r="M19" i="29"/>
  <c r="E715" i="29"/>
  <c r="K19" i="29"/>
  <c r="E785" i="29"/>
  <c r="L19" i="29"/>
  <c r="L518" i="29"/>
  <c r="M69" i="29"/>
  <c r="M357" i="29"/>
  <c r="G815" i="29"/>
  <c r="L198" i="29"/>
  <c r="F522" i="29"/>
  <c r="M205" i="29"/>
  <c r="G830" i="29"/>
  <c r="C808" i="29"/>
  <c r="N574" i="29"/>
  <c r="H901" i="29"/>
  <c r="L234" i="29"/>
  <c r="M363" i="29"/>
  <c r="D373" i="29"/>
  <c r="F880" i="29"/>
  <c r="K308" i="29"/>
  <c r="K475" i="29"/>
  <c r="F694" i="29"/>
  <c r="L713" i="29"/>
  <c r="M249" i="29"/>
  <c r="N275" i="29"/>
  <c r="M102" i="29"/>
  <c r="K44" i="29"/>
  <c r="G747" i="29"/>
  <c r="G882" i="29"/>
  <c r="M167" i="29"/>
  <c r="D782" i="29"/>
  <c r="K172" i="29"/>
  <c r="L279" i="29"/>
  <c r="E562" i="29"/>
  <c r="E256" i="29"/>
  <c r="D591" i="29"/>
  <c r="G573" i="29"/>
  <c r="D599" i="29"/>
  <c r="G749" i="29"/>
  <c r="H721" i="29"/>
  <c r="K18" i="29"/>
  <c r="L150" i="29"/>
  <c r="E668" i="29"/>
  <c r="E915" i="29"/>
  <c r="H899" i="29"/>
  <c r="N83" i="29"/>
  <c r="E733" i="29"/>
  <c r="F785" i="29"/>
  <c r="M7" i="29"/>
  <c r="G690" i="29"/>
  <c r="L266" i="29"/>
  <c r="N203" i="29"/>
  <c r="N84" i="29"/>
  <c r="F912" i="29"/>
  <c r="N232" i="29"/>
  <c r="M149" i="29"/>
  <c r="D853" i="29"/>
  <c r="H688" i="29"/>
  <c r="H889" i="29"/>
  <c r="K134" i="29"/>
  <c r="N5" i="29"/>
  <c r="M157" i="29"/>
  <c r="L794" i="29"/>
  <c r="N88" i="29"/>
  <c r="M18" i="29"/>
  <c r="L803" i="29"/>
  <c r="N78" i="29"/>
  <c r="L62" i="29"/>
  <c r="D582" i="29"/>
  <c r="E871" i="29"/>
  <c r="G804" i="29"/>
  <c r="E682" i="29"/>
  <c r="L199" i="29"/>
  <c r="N288" i="29"/>
  <c r="K140" i="29"/>
  <c r="M67" i="29"/>
  <c r="M217" i="29"/>
  <c r="E769" i="29"/>
  <c r="N27" i="29"/>
  <c r="E884" i="29"/>
  <c r="L233" i="29"/>
  <c r="N222" i="29"/>
  <c r="K166" i="29"/>
  <c r="M76" i="29"/>
  <c r="M27" i="29"/>
  <c r="F727" i="29"/>
  <c r="H483" i="29"/>
  <c r="G849" i="29"/>
  <c r="D690" i="29"/>
  <c r="H878" i="29"/>
  <c r="N66" i="29"/>
  <c r="K29" i="29"/>
  <c r="G843" i="29"/>
  <c r="H861" i="29"/>
  <c r="K292" i="29"/>
  <c r="F833" i="29"/>
  <c r="N167" i="29"/>
  <c r="K378" i="29"/>
  <c r="K218" i="29"/>
  <c r="K152" i="29"/>
  <c r="E809" i="29"/>
  <c r="K60" i="29"/>
  <c r="N339" i="29"/>
  <c r="F850" i="29"/>
  <c r="D698" i="29"/>
  <c r="M228" i="29"/>
  <c r="L56" i="29"/>
  <c r="J56" i="29" s="1"/>
  <c r="F269" i="29"/>
  <c r="E907" i="29"/>
  <c r="D776" i="29"/>
  <c r="D889" i="29"/>
  <c r="H547" i="29"/>
  <c r="L268" i="29"/>
  <c r="K54" i="29"/>
  <c r="M118" i="29"/>
  <c r="L160" i="29"/>
  <c r="L108" i="29"/>
  <c r="G787" i="29"/>
  <c r="J51" i="29"/>
  <c r="H685" i="29"/>
  <c r="M475" i="29"/>
  <c r="D701" i="29"/>
  <c r="M143" i="29"/>
  <c r="K280" i="29"/>
  <c r="G908" i="29"/>
  <c r="D906" i="29"/>
  <c r="E857" i="29"/>
  <c r="M53" i="29"/>
  <c r="C819" i="29"/>
  <c r="D839" i="29"/>
  <c r="M121" i="29"/>
  <c r="M25" i="29"/>
  <c r="F656" i="29"/>
  <c r="K239" i="29"/>
  <c r="L324" i="29"/>
  <c r="M180" i="29"/>
  <c r="F915" i="29"/>
  <c r="N291" i="29"/>
  <c r="E896" i="29"/>
  <c r="L41" i="29"/>
  <c r="K230" i="29"/>
  <c r="D400" i="29"/>
  <c r="F835" i="29"/>
  <c r="D766" i="29"/>
  <c r="F904" i="29"/>
  <c r="H696" i="29"/>
  <c r="H489" i="29"/>
  <c r="D810" i="29"/>
  <c r="G510" i="29"/>
  <c r="G841" i="29"/>
  <c r="D821" i="29"/>
  <c r="G750" i="29"/>
  <c r="D781" i="29"/>
  <c r="N55" i="29"/>
  <c r="E686" i="29"/>
  <c r="D578" i="29"/>
  <c r="K318" i="29"/>
  <c r="C691" i="29"/>
  <c r="K202" i="29"/>
  <c r="N178" i="29"/>
  <c r="N245" i="29"/>
  <c r="N86" i="29"/>
  <c r="D897" i="29"/>
  <c r="N171" i="29"/>
  <c r="D775" i="29"/>
  <c r="M199" i="29"/>
  <c r="M220" i="29"/>
  <c r="L99" i="29"/>
  <c r="N110" i="29"/>
  <c r="G820" i="29"/>
  <c r="K411" i="29"/>
  <c r="F781" i="29"/>
  <c r="M825" i="29"/>
  <c r="G870" i="29"/>
  <c r="N53" i="29"/>
  <c r="E893" i="29"/>
  <c r="D774" i="29"/>
  <c r="L443" i="29"/>
  <c r="H588" i="29"/>
  <c r="N155" i="29"/>
  <c r="F863" i="29"/>
  <c r="D689" i="29"/>
  <c r="K459" i="29"/>
  <c r="H851" i="29"/>
  <c r="M225" i="29"/>
  <c r="H618" i="29"/>
  <c r="L211" i="29"/>
  <c r="K16" i="29"/>
  <c r="E485" i="29"/>
  <c r="L259" i="29"/>
  <c r="G596" i="29"/>
  <c r="M255" i="29"/>
  <c r="D902" i="29"/>
  <c r="D626" i="29"/>
  <c r="N247" i="29"/>
  <c r="L201" i="29"/>
  <c r="G645" i="29"/>
  <c r="F671" i="29"/>
  <c r="N367" i="29"/>
  <c r="K206" i="29"/>
  <c r="M39" i="29"/>
  <c r="F770" i="29"/>
  <c r="L275" i="29"/>
  <c r="N32" i="29"/>
  <c r="D549" i="29"/>
  <c r="K228" i="29"/>
  <c r="G799" i="29"/>
  <c r="N259" i="29"/>
  <c r="G899" i="29"/>
  <c r="G827" i="29"/>
  <c r="M26" i="29"/>
  <c r="L242" i="29"/>
  <c r="H735" i="29"/>
  <c r="K74" i="29"/>
  <c r="E745" i="29"/>
  <c r="D498" i="29"/>
  <c r="G783" i="29"/>
  <c r="H877" i="29"/>
  <c r="K162" i="29"/>
  <c r="G685" i="29"/>
  <c r="E916" i="29"/>
  <c r="C515" i="29"/>
  <c r="E908" i="29"/>
  <c r="M332" i="29"/>
  <c r="G463" i="29"/>
  <c r="N149" i="29"/>
  <c r="M14" i="29"/>
  <c r="M237" i="29"/>
  <c r="C796" i="29"/>
  <c r="M213" i="29"/>
  <c r="M163" i="29"/>
  <c r="F812" i="29"/>
  <c r="L808" i="29"/>
  <c r="C724" i="29"/>
  <c r="L18" i="29"/>
  <c r="H867" i="29"/>
  <c r="N198" i="29"/>
  <c r="E736" i="29"/>
  <c r="H394" i="29"/>
  <c r="D755" i="29"/>
  <c r="D397" i="29"/>
  <c r="G777" i="29"/>
  <c r="D699" i="29"/>
  <c r="D716" i="29"/>
  <c r="M175" i="29"/>
  <c r="N349" i="29"/>
  <c r="G300" i="29"/>
  <c r="L594" i="29"/>
  <c r="F696" i="29"/>
  <c r="L865" i="29"/>
  <c r="F632" i="29"/>
  <c r="N382" i="29"/>
  <c r="N878" i="29"/>
  <c r="H581" i="29"/>
  <c r="D318" i="29"/>
  <c r="F771" i="29"/>
  <c r="E742" i="29"/>
  <c r="F664" i="29"/>
  <c r="M78" i="29"/>
  <c r="N290" i="29"/>
  <c r="G657" i="29"/>
  <c r="L82" i="29"/>
  <c r="K234" i="29"/>
  <c r="L289" i="29"/>
  <c r="L153" i="29"/>
  <c r="L130" i="29"/>
  <c r="K108" i="29"/>
  <c r="K298" i="29"/>
  <c r="G818" i="29"/>
  <c r="F425" i="29"/>
  <c r="E744" i="29"/>
  <c r="E811" i="29"/>
  <c r="F525" i="29"/>
  <c r="H813" i="29"/>
  <c r="E731" i="29"/>
  <c r="D714" i="29"/>
  <c r="F853" i="29"/>
  <c r="L25" i="29"/>
  <c r="L225" i="29"/>
  <c r="H758" i="29"/>
  <c r="K272" i="29"/>
  <c r="M265" i="29"/>
  <c r="E903" i="29"/>
  <c r="N717" i="29"/>
  <c r="M38" i="29"/>
  <c r="F917" i="29"/>
  <c r="L325" i="29"/>
  <c r="K275" i="29"/>
  <c r="K322" i="29"/>
  <c r="M127" i="29"/>
  <c r="M340" i="29"/>
  <c r="M184" i="29"/>
  <c r="K225" i="29"/>
  <c r="H788" i="29"/>
  <c r="M202" i="29"/>
  <c r="M263" i="29"/>
  <c r="M137" i="29"/>
  <c r="L245" i="29"/>
  <c r="K587" i="29"/>
  <c r="N836" i="29"/>
  <c r="K701" i="29"/>
  <c r="N573" i="29"/>
  <c r="P72" i="29"/>
  <c r="L360" i="29"/>
  <c r="P238" i="29"/>
  <c r="N617" i="29"/>
  <c r="K397" i="29"/>
  <c r="K633" i="29"/>
  <c r="L188" i="29"/>
  <c r="D813" i="29"/>
  <c r="N183" i="29"/>
  <c r="H613" i="29"/>
  <c r="M36" i="29"/>
  <c r="F540" i="29"/>
  <c r="K346" i="29"/>
  <c r="K98" i="29"/>
  <c r="F891" i="29"/>
  <c r="H386" i="29"/>
  <c r="H903" i="29"/>
  <c r="K193" i="29"/>
  <c r="N23" i="29"/>
  <c r="D790" i="29"/>
  <c r="K159" i="29"/>
  <c r="M210" i="29"/>
  <c r="L348" i="29"/>
  <c r="N680" i="29"/>
  <c r="N182" i="29"/>
  <c r="N145" i="29"/>
  <c r="D855" i="29"/>
  <c r="H647" i="29"/>
  <c r="M86" i="29"/>
  <c r="L602" i="29"/>
  <c r="K795" i="29"/>
  <c r="K301" i="29"/>
  <c r="P252" i="29"/>
  <c r="K306" i="29"/>
  <c r="K626" i="29"/>
  <c r="M454" i="29"/>
  <c r="N529" i="29"/>
  <c r="K457" i="29"/>
  <c r="N741" i="29"/>
  <c r="R33" i="29"/>
  <c r="K211" i="29"/>
  <c r="M484" i="29"/>
  <c r="K821" i="29"/>
  <c r="N310" i="29"/>
  <c r="M682" i="29"/>
  <c r="L204" i="29"/>
  <c r="K431" i="29"/>
  <c r="Q51" i="29"/>
  <c r="N118" i="29"/>
  <c r="E420" i="29"/>
  <c r="D710" i="29"/>
  <c r="L84" i="29"/>
  <c r="K252" i="29"/>
  <c r="N632" i="29"/>
  <c r="N702" i="29"/>
  <c r="L448" i="29"/>
  <c r="H601" i="29"/>
  <c r="N236" i="29"/>
  <c r="M329" i="29"/>
  <c r="K55" i="29"/>
  <c r="N666" i="29"/>
  <c r="M518" i="29"/>
  <c r="L159" i="29"/>
  <c r="K738" i="29"/>
  <c r="N196" i="29"/>
  <c r="Q92" i="29"/>
  <c r="K144" i="29"/>
  <c r="N898" i="29"/>
  <c r="M288" i="29"/>
  <c r="L690" i="29"/>
  <c r="P346" i="29"/>
  <c r="L12" i="29"/>
  <c r="L335" i="29"/>
  <c r="K802" i="29"/>
  <c r="M287" i="29"/>
  <c r="N188" i="29"/>
  <c r="K158" i="29"/>
  <c r="M655" i="29"/>
  <c r="E836" i="29"/>
  <c r="D720" i="29"/>
  <c r="L205" i="29"/>
  <c r="E876" i="29"/>
  <c r="K274" i="29"/>
  <c r="K425" i="29"/>
  <c r="M285" i="29"/>
  <c r="M271" i="29"/>
  <c r="M649" i="29"/>
  <c r="M741" i="29"/>
  <c r="M656" i="29"/>
  <c r="N450" i="29"/>
  <c r="P165" i="29"/>
  <c r="N428" i="29"/>
  <c r="R334" i="29"/>
  <c r="M588" i="29"/>
  <c r="K539" i="29"/>
  <c r="G825" i="29"/>
  <c r="M209" i="29"/>
  <c r="M500" i="29"/>
  <c r="L396" i="29"/>
  <c r="N468" i="29"/>
  <c r="J43" i="29"/>
  <c r="K541" i="29"/>
  <c r="M82" i="29"/>
  <c r="N655" i="29"/>
  <c r="N696" i="29"/>
  <c r="L44" i="29"/>
  <c r="K270" i="29"/>
  <c r="N36" i="29"/>
  <c r="K279" i="29"/>
  <c r="M685" i="29"/>
  <c r="M732" i="29"/>
  <c r="H808" i="29"/>
  <c r="L869" i="29"/>
  <c r="N165" i="29"/>
  <c r="L901" i="29"/>
  <c r="N489" i="29"/>
  <c r="K43" i="29"/>
  <c r="K67" i="29"/>
  <c r="L435" i="29"/>
  <c r="L281" i="29"/>
  <c r="L81" i="29"/>
  <c r="L386" i="29"/>
  <c r="K732" i="29"/>
  <c r="L567" i="29"/>
  <c r="K368" i="29"/>
  <c r="J199" i="29"/>
  <c r="N392" i="29"/>
  <c r="N649" i="29"/>
  <c r="N463" i="29"/>
  <c r="L395" i="29"/>
  <c r="K143" i="29"/>
  <c r="M489" i="29"/>
  <c r="L136" i="29"/>
  <c r="D844" i="29"/>
  <c r="M100" i="29"/>
  <c r="L235" i="29"/>
  <c r="P123" i="29"/>
  <c r="N218" i="29"/>
  <c r="Q61" i="29"/>
  <c r="L331" i="29"/>
  <c r="N756" i="29"/>
  <c r="L267" i="29"/>
  <c r="N240" i="29"/>
  <c r="L320" i="29"/>
  <c r="M684" i="29"/>
  <c r="L771" i="29"/>
  <c r="L640" i="29"/>
  <c r="K453" i="29"/>
  <c r="N801" i="29"/>
  <c r="N319" i="29"/>
  <c r="N727" i="29"/>
  <c r="N340" i="29"/>
  <c r="K903" i="29"/>
  <c r="E456" i="29"/>
  <c r="L246" i="29"/>
  <c r="E600" i="29"/>
  <c r="N9" i="29"/>
  <c r="L40" i="29"/>
  <c r="N821" i="29"/>
  <c r="M257" i="29"/>
  <c r="L271" i="29"/>
  <c r="L247" i="29"/>
  <c r="M604" i="29"/>
  <c r="K734" i="29"/>
  <c r="Q211" i="29"/>
  <c r="N798" i="29"/>
  <c r="K293" i="29"/>
  <c r="M912" i="29"/>
  <c r="L904" i="29"/>
  <c r="K383" i="29"/>
  <c r="K371" i="29"/>
  <c r="N646" i="29"/>
  <c r="M701" i="29"/>
  <c r="M326" i="29"/>
  <c r="M55" i="29"/>
  <c r="R170" i="29"/>
  <c r="L74" i="29"/>
  <c r="L282" i="29"/>
  <c r="H700" i="29"/>
  <c r="M775" i="29"/>
  <c r="M550" i="29"/>
  <c r="L730" i="29"/>
  <c r="L489" i="29"/>
  <c r="M491" i="29"/>
  <c r="M379" i="29"/>
  <c r="K835" i="29"/>
  <c r="L85" i="29"/>
  <c r="L219" i="29"/>
  <c r="F888" i="29"/>
  <c r="C867" i="29"/>
  <c r="K537" i="29"/>
  <c r="K403" i="29"/>
  <c r="K653" i="29"/>
  <c r="L571" i="29"/>
  <c r="N510" i="29"/>
  <c r="L237" i="29"/>
  <c r="J229" i="29"/>
  <c r="M642" i="29"/>
  <c r="K503" i="29"/>
  <c r="L560" i="29"/>
  <c r="N399" i="29"/>
  <c r="N661" i="29"/>
  <c r="K219" i="29"/>
  <c r="P633" i="29"/>
  <c r="R352" i="29"/>
  <c r="N555" i="29"/>
  <c r="R12" i="29"/>
  <c r="L606" i="29"/>
  <c r="K491" i="29"/>
  <c r="F805" i="29"/>
  <c r="N667" i="29"/>
  <c r="K722" i="29"/>
  <c r="M194" i="29"/>
  <c r="P105" i="29"/>
  <c r="N605" i="29"/>
  <c r="K282" i="29"/>
  <c r="M758" i="29"/>
  <c r="N315" i="29"/>
  <c r="K400" i="29"/>
  <c r="L582" i="29"/>
  <c r="P610" i="29"/>
  <c r="K916" i="29"/>
  <c r="N745" i="29"/>
  <c r="P908" i="29"/>
  <c r="K348" i="29"/>
  <c r="M727" i="29"/>
  <c r="N800" i="29"/>
  <c r="Q252" i="29"/>
  <c r="K428" i="29"/>
  <c r="N869" i="29"/>
  <c r="N437" i="29"/>
  <c r="D441" i="29"/>
  <c r="N346" i="29"/>
  <c r="K437" i="29"/>
  <c r="D630" i="29"/>
  <c r="F846" i="29"/>
  <c r="E888" i="29"/>
  <c r="L213" i="29"/>
  <c r="H820" i="29"/>
  <c r="F449" i="29"/>
  <c r="H773" i="29"/>
  <c r="N95" i="29"/>
  <c r="G788" i="29"/>
  <c r="L132" i="29"/>
  <c r="E803" i="29"/>
  <c r="M396" i="29"/>
  <c r="L189" i="29"/>
  <c r="F911" i="29"/>
  <c r="N67" i="29"/>
  <c r="M544" i="29"/>
  <c r="E882" i="29"/>
  <c r="E323" i="29"/>
  <c r="L741" i="29"/>
  <c r="N287" i="29"/>
  <c r="N351" i="29"/>
  <c r="L534" i="29"/>
  <c r="L291" i="29"/>
  <c r="M882" i="29"/>
  <c r="J123" i="29"/>
  <c r="Q74" i="29"/>
  <c r="M164" i="29"/>
  <c r="M224" i="29"/>
  <c r="K709" i="29"/>
  <c r="K311" i="29"/>
  <c r="M673" i="29"/>
  <c r="N60" i="29"/>
  <c r="K684" i="29"/>
  <c r="L305" i="29"/>
  <c r="M314" i="29"/>
  <c r="M555" i="29"/>
  <c r="F794" i="29"/>
  <c r="E909" i="29"/>
  <c r="K262" i="29"/>
  <c r="D828" i="29"/>
  <c r="M218" i="29"/>
  <c r="K472" i="29"/>
  <c r="M517" i="29"/>
  <c r="M318" i="29"/>
  <c r="L218" i="29"/>
  <c r="Q86" i="29"/>
  <c r="M485" i="29"/>
  <c r="K336" i="29"/>
  <c r="K468" i="29"/>
  <c r="K189" i="29"/>
  <c r="K265" i="29"/>
  <c r="Q314" i="29"/>
  <c r="K171" i="29"/>
  <c r="K248" i="29"/>
  <c r="R155" i="29"/>
  <c r="M706" i="29"/>
  <c r="N431" i="29"/>
  <c r="M553" i="29"/>
  <c r="L663" i="29"/>
  <c r="N827" i="29"/>
  <c r="K399" i="29"/>
  <c r="M305" i="29"/>
  <c r="N807" i="29"/>
  <c r="M564" i="29"/>
  <c r="K694" i="29"/>
  <c r="L265" i="29"/>
  <c r="N363" i="29"/>
  <c r="N356" i="29"/>
  <c r="G853" i="29"/>
  <c r="D717" i="29"/>
  <c r="L293" i="29"/>
  <c r="G771" i="29"/>
  <c r="H912" i="29"/>
  <c r="N299" i="29"/>
  <c r="L522" i="29"/>
  <c r="L64" i="29"/>
  <c r="L805" i="29"/>
  <c r="L550" i="29"/>
  <c r="M509" i="29"/>
  <c r="L154" i="29"/>
  <c r="P219" i="29"/>
  <c r="K573" i="29"/>
  <c r="M468" i="29"/>
  <c r="L498" i="29"/>
  <c r="P380" i="29"/>
  <c r="M533" i="29"/>
  <c r="K217" i="29"/>
  <c r="L751" i="29"/>
  <c r="M512" i="29"/>
  <c r="M162" i="29"/>
  <c r="L578" i="29"/>
  <c r="M781" i="29"/>
  <c r="L461" i="29"/>
  <c r="L60" i="29"/>
  <c r="R468" i="29"/>
  <c r="D894" i="29"/>
  <c r="L240" i="29"/>
  <c r="M106" i="29"/>
  <c r="N62" i="29"/>
  <c r="M207" i="29"/>
  <c r="M270" i="29"/>
  <c r="N558" i="29"/>
  <c r="M582" i="29"/>
  <c r="Q353" i="29"/>
  <c r="L874" i="29"/>
  <c r="N814" i="29"/>
  <c r="K477" i="29"/>
  <c r="F832" i="29"/>
  <c r="M816" i="29"/>
  <c r="J179" i="29"/>
  <c r="N860" i="29"/>
  <c r="K187" i="29"/>
  <c r="L650" i="29"/>
  <c r="L789" i="29"/>
  <c r="N848" i="29"/>
  <c r="L146" i="29"/>
  <c r="L573" i="29"/>
  <c r="R58" i="29"/>
  <c r="N557" i="29"/>
  <c r="M841" i="29"/>
  <c r="H551" i="29"/>
  <c r="H798" i="29"/>
  <c r="G455" i="29"/>
  <c r="L21" i="29"/>
  <c r="H873" i="29"/>
  <c r="M483" i="29"/>
  <c r="L402" i="29"/>
  <c r="K39" i="29"/>
  <c r="N411" i="29"/>
  <c r="J213" i="29"/>
  <c r="N157" i="29"/>
  <c r="K441" i="29"/>
  <c r="M346" i="29"/>
  <c r="M385" i="29"/>
  <c r="M888" i="29"/>
  <c r="N840" i="29"/>
  <c r="M423" i="29"/>
  <c r="Q216" i="29"/>
  <c r="K783" i="29"/>
  <c r="L175" i="29"/>
  <c r="L444" i="29"/>
  <c r="K605" i="29"/>
  <c r="K236" i="29"/>
  <c r="L332" i="29"/>
  <c r="K494" i="29"/>
  <c r="F613" i="29"/>
  <c r="H898" i="29"/>
  <c r="F743" i="29"/>
  <c r="K287" i="29"/>
  <c r="M543" i="29"/>
  <c r="K759" i="29"/>
  <c r="N225" i="29"/>
  <c r="L166" i="29"/>
  <c r="L726" i="29"/>
  <c r="K333" i="29"/>
  <c r="M785" i="29"/>
  <c r="R171" i="29"/>
  <c r="K182" i="29"/>
  <c r="K778" i="29"/>
  <c r="N606" i="29"/>
  <c r="M198" i="29"/>
  <c r="P24" i="29"/>
  <c r="R286" i="29"/>
  <c r="M291" i="29"/>
  <c r="L538" i="29"/>
  <c r="L917" i="29"/>
  <c r="L369" i="29"/>
  <c r="L57" i="29"/>
  <c r="M404" i="29"/>
  <c r="M566" i="29"/>
  <c r="M189" i="29"/>
  <c r="N50" i="29"/>
  <c r="P294" i="29"/>
  <c r="C646" i="29"/>
  <c r="N93" i="29"/>
  <c r="K726" i="29"/>
  <c r="H908" i="29"/>
  <c r="H823" i="29"/>
  <c r="H833" i="29"/>
  <c r="M397" i="29"/>
  <c r="M425" i="29"/>
  <c r="L375" i="29"/>
  <c r="R119" i="29"/>
  <c r="L848" i="29"/>
  <c r="M286" i="29"/>
  <c r="L227" i="29"/>
  <c r="N681" i="29"/>
  <c r="M74" i="29"/>
  <c r="M71" i="29"/>
  <c r="M419" i="29"/>
  <c r="L168" i="29"/>
  <c r="N760" i="29"/>
  <c r="L742" i="29"/>
  <c r="M646" i="29"/>
  <c r="K550" i="29"/>
  <c r="D904" i="29"/>
  <c r="L75" i="29"/>
  <c r="J75" i="29" s="1"/>
  <c r="G774" i="29"/>
  <c r="E856" i="29"/>
  <c r="D903" i="29"/>
  <c r="G422" i="29"/>
  <c r="M89" i="29"/>
  <c r="N359" i="29"/>
  <c r="M88" i="29"/>
  <c r="D746" i="29"/>
  <c r="F797" i="29"/>
  <c r="M359" i="29"/>
  <c r="L401" i="29"/>
  <c r="D777" i="29"/>
  <c r="L87" i="29"/>
  <c r="L109" i="29"/>
  <c r="H909" i="29"/>
  <c r="L491" i="29"/>
  <c r="H807" i="29"/>
  <c r="M658" i="29"/>
  <c r="H830" i="29"/>
  <c r="K422" i="29"/>
  <c r="M822" i="29"/>
  <c r="L439" i="29"/>
  <c r="N373" i="29"/>
  <c r="M525" i="29"/>
  <c r="N864" i="29"/>
  <c r="K813" i="29"/>
  <c r="K75" i="29"/>
  <c r="N799" i="29"/>
  <c r="N334" i="29"/>
  <c r="M405" i="29"/>
  <c r="P106" i="29"/>
  <c r="K116" i="29"/>
  <c r="K86" i="29"/>
  <c r="Q644" i="29"/>
  <c r="N732" i="29"/>
  <c r="L743" i="29"/>
  <c r="K56" i="29"/>
  <c r="L31" i="29"/>
  <c r="E741" i="29"/>
  <c r="N215" i="29"/>
  <c r="M15" i="29"/>
  <c r="M661" i="29"/>
  <c r="Q109" i="29"/>
  <c r="N455" i="29"/>
  <c r="K681" i="29"/>
  <c r="M740" i="29"/>
  <c r="N34" i="29"/>
  <c r="M438" i="29"/>
  <c r="N825" i="29"/>
  <c r="K664" i="29"/>
  <c r="K201" i="29"/>
  <c r="L695" i="29"/>
  <c r="J104" i="29"/>
  <c r="D851" i="29"/>
  <c r="N375" i="29"/>
  <c r="L551" i="29"/>
  <c r="L762" i="29"/>
  <c r="L106" i="29"/>
  <c r="M501" i="29"/>
  <c r="L530" i="29"/>
  <c r="M495" i="29"/>
  <c r="K857" i="29"/>
  <c r="N563" i="29"/>
  <c r="G821" i="29"/>
  <c r="N615" i="29"/>
  <c r="K607" i="29"/>
  <c r="E709" i="29"/>
  <c r="L264" i="29"/>
  <c r="G616" i="29"/>
  <c r="M296" i="29"/>
  <c r="K96" i="29"/>
  <c r="L548" i="29"/>
  <c r="D784" i="29"/>
  <c r="N273" i="29"/>
  <c r="J372" i="29"/>
  <c r="L558" i="29"/>
  <c r="M204" i="29"/>
  <c r="K688" i="29"/>
  <c r="M324" i="29"/>
  <c r="K242" i="29"/>
  <c r="N669" i="29"/>
  <c r="M441" i="29"/>
  <c r="K127" i="29"/>
  <c r="L487" i="29"/>
  <c r="N325" i="29"/>
  <c r="M833" i="29"/>
  <c r="N249" i="29"/>
  <c r="Q489" i="29"/>
  <c r="M696" i="29"/>
  <c r="F868" i="29"/>
  <c r="K558" i="29"/>
  <c r="K268" i="29"/>
  <c r="L58" i="29"/>
  <c r="N519" i="29"/>
  <c r="L300" i="29"/>
  <c r="G701" i="29"/>
  <c r="M191" i="29"/>
  <c r="E694" i="29"/>
  <c r="G656" i="29"/>
  <c r="L768" i="29"/>
  <c r="K451" i="29"/>
  <c r="K10" i="29"/>
  <c r="M268" i="29"/>
  <c r="M516" i="29"/>
  <c r="M311" i="29"/>
  <c r="K460" i="29"/>
  <c r="Q376" i="29"/>
  <c r="N209" i="29"/>
  <c r="N515" i="29"/>
  <c r="M716" i="29"/>
  <c r="M200" i="29"/>
  <c r="N611" i="29"/>
  <c r="K147" i="29"/>
  <c r="P399" i="29"/>
  <c r="M637" i="29"/>
  <c r="M41" i="29"/>
  <c r="N398" i="29"/>
  <c r="Q164" i="29"/>
  <c r="N300" i="29"/>
  <c r="M90" i="29"/>
  <c r="H783" i="29"/>
  <c r="H378" i="29"/>
  <c r="C756" i="29"/>
  <c r="L193" i="29"/>
  <c r="L309" i="29"/>
  <c r="N598" i="29"/>
  <c r="M393" i="29"/>
  <c r="L135" i="29"/>
  <c r="N278" i="29"/>
  <c r="Q547" i="29"/>
  <c r="N326" i="29"/>
  <c r="M112" i="29"/>
  <c r="K691" i="29"/>
  <c r="G881" i="29"/>
  <c r="G847" i="29"/>
  <c r="R151" i="29"/>
  <c r="K89" i="29"/>
  <c r="L191" i="29"/>
  <c r="M278" i="29"/>
  <c r="M643" i="29"/>
  <c r="N79" i="29"/>
  <c r="H890" i="29"/>
  <c r="M354" i="29"/>
  <c r="M376" i="29"/>
  <c r="N505" i="29"/>
  <c r="D789" i="29"/>
  <c r="N48" i="29"/>
  <c r="H474" i="29"/>
  <c r="K58" i="29"/>
  <c r="L790" i="29"/>
  <c r="D724" i="29"/>
  <c r="N397" i="29"/>
  <c r="K895" i="29"/>
  <c r="K100" i="29"/>
  <c r="K507" i="29"/>
  <c r="M686" i="29"/>
  <c r="Q683" i="29"/>
  <c r="N316" i="29"/>
  <c r="M6" i="29"/>
  <c r="Q36" i="29"/>
  <c r="M124" i="29"/>
  <c r="K661" i="29"/>
  <c r="M498" i="29"/>
  <c r="N604" i="29"/>
  <c r="K203" i="29"/>
  <c r="N394" i="29"/>
  <c r="L238" i="29"/>
  <c r="R98" i="29"/>
  <c r="F809" i="29"/>
  <c r="R26" i="29"/>
  <c r="L819" i="29"/>
  <c r="N439" i="29"/>
  <c r="K335" i="29"/>
  <c r="M178" i="29"/>
  <c r="M416" i="29"/>
  <c r="M151" i="29"/>
  <c r="K119" i="29"/>
  <c r="F746" i="29"/>
  <c r="K118" i="29"/>
  <c r="K125" i="29"/>
  <c r="N220" i="29"/>
  <c r="K30" i="29"/>
  <c r="N473" i="29"/>
  <c r="N511" i="29"/>
  <c r="M274" i="29"/>
  <c r="Q53" i="29"/>
  <c r="L652" i="29"/>
  <c r="N444" i="29"/>
  <c r="L30" i="29"/>
  <c r="M730" i="29"/>
  <c r="M321" i="29"/>
  <c r="K509" i="29"/>
  <c r="K85" i="29"/>
  <c r="N314" i="29"/>
  <c r="N910" i="29"/>
  <c r="K510" i="29"/>
  <c r="K123" i="29"/>
  <c r="F725" i="29"/>
  <c r="D721" i="29"/>
  <c r="C662" i="29"/>
  <c r="G798" i="29"/>
  <c r="F666" i="29"/>
  <c r="L523" i="29"/>
  <c r="C697" i="29"/>
  <c r="G741" i="29"/>
  <c r="M47" i="29"/>
  <c r="N547" i="29"/>
  <c r="L124" i="29"/>
  <c r="K15" i="29"/>
  <c r="J96" i="29"/>
  <c r="H781" i="29"/>
  <c r="L141" i="29"/>
  <c r="N216" i="29"/>
  <c r="N385" i="29"/>
  <c r="N181" i="29"/>
  <c r="M21" i="29"/>
  <c r="N125" i="29"/>
  <c r="K329" i="29"/>
  <c r="N324" i="29"/>
  <c r="P368" i="29"/>
  <c r="M432" i="29"/>
  <c r="K300" i="29"/>
  <c r="L592" i="29"/>
  <c r="K736" i="29"/>
  <c r="L760" i="29"/>
  <c r="N583" i="29"/>
  <c r="M611" i="29"/>
  <c r="M537" i="29"/>
  <c r="N651" i="29"/>
  <c r="K145" i="29"/>
  <c r="L900" i="29"/>
  <c r="L464" i="29"/>
  <c r="L255" i="29"/>
  <c r="K200" i="29"/>
  <c r="L778" i="29"/>
  <c r="G471" i="29"/>
  <c r="E868" i="29"/>
  <c r="M308" i="29"/>
  <c r="M172" i="29"/>
  <c r="F769" i="29"/>
  <c r="L323" i="29"/>
  <c r="M120" i="29"/>
  <c r="N146" i="29"/>
  <c r="N512" i="29"/>
  <c r="N467" i="29"/>
  <c r="K419" i="29"/>
  <c r="L457" i="29"/>
  <c r="J457" i="29" s="1"/>
  <c r="L729" i="29"/>
  <c r="N197" i="29"/>
  <c r="N418" i="29"/>
  <c r="K469" i="29"/>
  <c r="K374" i="29"/>
  <c r="L52" i="29"/>
  <c r="N683" i="29"/>
  <c r="K570" i="29"/>
  <c r="M659" i="29"/>
  <c r="M330" i="29"/>
  <c r="N416" i="29"/>
  <c r="D682" i="29"/>
  <c r="L618" i="29"/>
  <c r="H671" i="29"/>
  <c r="K652" i="29"/>
  <c r="N916" i="29"/>
  <c r="L181" i="29"/>
  <c r="N488" i="29"/>
  <c r="K834" i="29"/>
  <c r="M392" i="29"/>
  <c r="E904" i="29"/>
  <c r="D494" i="29"/>
  <c r="L250" i="29"/>
  <c r="M84" i="29"/>
  <c r="F774" i="29"/>
  <c r="K845" i="29"/>
  <c r="N740" i="29"/>
  <c r="N302" i="29"/>
  <c r="L572" i="29"/>
  <c r="N677" i="29"/>
  <c r="L398" i="29"/>
  <c r="Q323" i="29"/>
  <c r="L738" i="29"/>
  <c r="M377" i="29"/>
  <c r="N472" i="29"/>
  <c r="M902" i="29"/>
  <c r="N452" i="29"/>
  <c r="K177" i="29"/>
  <c r="L831" i="29"/>
  <c r="K312" i="29"/>
  <c r="L763" i="29"/>
  <c r="K467" i="29"/>
  <c r="N826" i="29"/>
  <c r="M526" i="29"/>
  <c r="L436" i="29"/>
  <c r="M520" i="29"/>
  <c r="N71" i="29"/>
  <c r="M169" i="29"/>
  <c r="G867" i="29"/>
  <c r="G737" i="29"/>
  <c r="N140" i="29"/>
  <c r="K455" i="29"/>
  <c r="K179" i="29"/>
  <c r="M733" i="29"/>
  <c r="N103" i="29"/>
  <c r="K522" i="29"/>
  <c r="K621" i="29"/>
  <c r="M182" i="29"/>
  <c r="L524" i="29"/>
  <c r="L397" i="29"/>
  <c r="M492" i="29"/>
  <c r="K814" i="29"/>
  <c r="K73" i="29"/>
  <c r="K819" i="29"/>
  <c r="K165" i="29"/>
  <c r="Q69" i="29"/>
  <c r="D686" i="29"/>
  <c r="K761" i="29"/>
  <c r="L129" i="29"/>
  <c r="L546" i="29"/>
  <c r="L752" i="29"/>
  <c r="K874" i="29"/>
  <c r="E877" i="29"/>
  <c r="G759" i="29"/>
  <c r="L9" i="29"/>
  <c r="F849" i="29"/>
  <c r="F565" i="29"/>
  <c r="J16" i="29"/>
  <c r="K465" i="29"/>
  <c r="N536" i="29"/>
  <c r="M774" i="29"/>
  <c r="Q378" i="29"/>
  <c r="R106" i="29"/>
  <c r="M33" i="29"/>
  <c r="K711" i="29"/>
  <c r="L434" i="29"/>
  <c r="K240" i="29"/>
  <c r="N305" i="29"/>
  <c r="N427" i="29"/>
  <c r="N166" i="29"/>
  <c r="L426" i="29"/>
  <c r="L506" i="29"/>
  <c r="J72" i="29"/>
  <c r="M851" i="29"/>
  <c r="M427" i="29"/>
  <c r="K63" i="29"/>
  <c r="N670" i="29"/>
  <c r="M409" i="29"/>
  <c r="F710" i="29"/>
  <c r="M298" i="29"/>
  <c r="N280" i="29"/>
  <c r="M568" i="29"/>
  <c r="N521" i="29"/>
  <c r="K154" i="29"/>
  <c r="P183" i="29"/>
  <c r="N699" i="29"/>
  <c r="M246" i="29"/>
  <c r="L445" i="29"/>
  <c r="L384" i="29"/>
  <c r="F773" i="29"/>
  <c r="N595" i="29"/>
  <c r="M17" i="29"/>
  <c r="M103" i="29"/>
  <c r="L228" i="29"/>
  <c r="M846" i="29"/>
  <c r="Q68" i="29"/>
  <c r="E911" i="29"/>
  <c r="N170" i="29"/>
  <c r="K883" i="29"/>
  <c r="N417" i="29"/>
  <c r="K470" i="29"/>
  <c r="M728" i="29"/>
  <c r="H897" i="29"/>
  <c r="L877" i="29"/>
  <c r="M863" i="29"/>
  <c r="L574" i="29"/>
  <c r="M389" i="29"/>
  <c r="M46" i="29"/>
  <c r="C716" i="29"/>
  <c r="C831" i="29"/>
  <c r="D748" i="29"/>
  <c r="G838" i="29"/>
  <c r="M838" i="29"/>
  <c r="K314" i="29"/>
  <c r="N94" i="29"/>
  <c r="Q18" i="29"/>
  <c r="N641" i="29"/>
  <c r="K404" i="29"/>
  <c r="L809" i="29"/>
  <c r="L416" i="29"/>
  <c r="G810" i="29"/>
  <c r="N28" i="29"/>
  <c r="M535" i="29"/>
  <c r="L660" i="29"/>
  <c r="K339" i="29"/>
  <c r="K593" i="29"/>
  <c r="P527" i="29"/>
  <c r="K572" i="29"/>
  <c r="N430" i="29"/>
  <c r="L243" i="29"/>
  <c r="N687" i="29"/>
  <c r="N804" i="29"/>
  <c r="L467" i="29"/>
  <c r="H608" i="29"/>
  <c r="M140" i="29"/>
  <c r="L216" i="29"/>
  <c r="F737" i="29"/>
  <c r="K379" i="29"/>
  <c r="M710" i="29"/>
  <c r="R837" i="29"/>
  <c r="L679" i="29"/>
  <c r="M372" i="29"/>
  <c r="L70" i="29"/>
  <c r="L563" i="29"/>
  <c r="M837" i="29"/>
  <c r="L248" i="29"/>
  <c r="L781" i="29"/>
  <c r="Q192" i="29"/>
  <c r="J713" i="29"/>
  <c r="N562" i="29"/>
  <c r="N695" i="29"/>
  <c r="N640" i="29"/>
  <c r="M559" i="29"/>
  <c r="P582" i="29"/>
  <c r="N608" i="29"/>
  <c r="N186" i="29"/>
  <c r="Q794" i="29"/>
  <c r="P214" i="29"/>
  <c r="N691" i="29"/>
  <c r="L737" i="29"/>
  <c r="P554" i="29"/>
  <c r="P584" i="29"/>
  <c r="M507" i="29"/>
  <c r="F667" i="29"/>
  <c r="Q484" i="29"/>
  <c r="L134" i="29"/>
  <c r="Q171" i="29"/>
  <c r="K805" i="29"/>
  <c r="M395" i="29"/>
  <c r="M375" i="29"/>
  <c r="N227" i="29"/>
  <c r="K679" i="29"/>
  <c r="R501" i="29"/>
  <c r="L801" i="29"/>
  <c r="Q427" i="29"/>
  <c r="Q21" i="29"/>
  <c r="L912" i="29"/>
  <c r="L911" i="29"/>
  <c r="R255" i="29"/>
  <c r="L630" i="29"/>
  <c r="M868" i="29"/>
  <c r="K861" i="29"/>
  <c r="K564" i="29"/>
  <c r="K350" i="29"/>
  <c r="F484" i="29"/>
  <c r="H911" i="29"/>
  <c r="F678" i="29"/>
  <c r="F680" i="29"/>
  <c r="N38" i="29"/>
  <c r="L367" i="29"/>
  <c r="K260" i="29"/>
  <c r="K257" i="29"/>
  <c r="F802" i="29"/>
  <c r="L646" i="29"/>
  <c r="L35" i="29"/>
  <c r="J35" i="29" s="1"/>
  <c r="P249" i="29"/>
  <c r="M203" i="29"/>
  <c r="M240" i="29"/>
  <c r="N8" i="29"/>
  <c r="N244" i="29"/>
  <c r="C752" i="29"/>
  <c r="G413" i="29"/>
  <c r="K149" i="29"/>
  <c r="K749" i="29"/>
  <c r="N21" i="29"/>
  <c r="R72" i="29"/>
  <c r="L776" i="29"/>
  <c r="N432" i="29"/>
  <c r="G885" i="29"/>
  <c r="N380" i="29"/>
  <c r="N660" i="29"/>
  <c r="L897" i="29"/>
  <c r="K508" i="29"/>
  <c r="H759" i="29"/>
  <c r="N523" i="29"/>
  <c r="N173" i="29"/>
  <c r="L453" i="29"/>
  <c r="K151" i="29"/>
  <c r="K719" i="29"/>
  <c r="N281" i="29"/>
  <c r="N298" i="29"/>
  <c r="K856" i="29"/>
  <c r="F708" i="29"/>
  <c r="N307" i="29"/>
  <c r="N174" i="29"/>
  <c r="L476" i="29"/>
  <c r="H695" i="29"/>
  <c r="N447" i="29"/>
  <c r="N388" i="29"/>
  <c r="N474" i="29"/>
  <c r="L634" i="29"/>
  <c r="N206" i="29"/>
  <c r="F820" i="29"/>
  <c r="L404" i="29"/>
  <c r="J404" i="29" s="1"/>
  <c r="L617" i="29"/>
  <c r="N590" i="29"/>
  <c r="N43" i="29"/>
  <c r="R42" i="29"/>
  <c r="L353" i="29"/>
  <c r="N68" i="29"/>
  <c r="R189" i="29"/>
  <c r="R318" i="29"/>
  <c r="N542" i="29"/>
  <c r="N854" i="29"/>
  <c r="N673" i="29"/>
  <c r="K131" i="29"/>
  <c r="L709" i="29"/>
  <c r="M796" i="29"/>
  <c r="L914" i="29"/>
  <c r="L414" i="29"/>
  <c r="N401" i="29"/>
  <c r="N875" i="29"/>
  <c r="N493" i="29"/>
  <c r="K256" i="29"/>
  <c r="L405" i="29"/>
  <c r="G673" i="29"/>
  <c r="K229" i="29"/>
  <c r="N85" i="29"/>
  <c r="N97" i="29"/>
  <c r="M668" i="29"/>
  <c r="K286" i="29"/>
  <c r="D734" i="29"/>
  <c r="P303" i="29"/>
  <c r="L452" i="29"/>
  <c r="L694" i="29"/>
  <c r="M350" i="29"/>
  <c r="N896" i="29"/>
  <c r="M504" i="29"/>
  <c r="L569" i="29"/>
  <c r="K647" i="29"/>
  <c r="M105" i="29"/>
  <c r="N344" i="29"/>
  <c r="R404" i="29"/>
  <c r="N559" i="29"/>
  <c r="K197" i="29"/>
  <c r="L362" i="29"/>
  <c r="N838" i="29"/>
  <c r="M145" i="29"/>
  <c r="K733" i="29"/>
  <c r="N348" i="29"/>
  <c r="F712" i="29"/>
  <c r="M125" i="29"/>
  <c r="L36" i="29"/>
  <c r="H885" i="29"/>
  <c r="N69" i="29"/>
  <c r="N352" i="29"/>
  <c r="M510" i="29"/>
  <c r="K208" i="29"/>
  <c r="M557" i="29"/>
  <c r="Q586" i="29"/>
  <c r="K390" i="29"/>
  <c r="N381" i="29"/>
  <c r="K540" i="29"/>
  <c r="L619" i="29"/>
  <c r="N241" i="29"/>
  <c r="L707" i="29"/>
  <c r="K6" i="29"/>
  <c r="G801" i="29"/>
  <c r="K828" i="29"/>
  <c r="N803" i="29"/>
  <c r="N712" i="29"/>
  <c r="L71" i="29"/>
  <c r="M896" i="29"/>
  <c r="M599" i="29"/>
  <c r="M327" i="29"/>
  <c r="L806" i="29"/>
  <c r="L32" i="29"/>
  <c r="K406" i="29"/>
  <c r="C800" i="29"/>
  <c r="M437" i="29"/>
  <c r="M135" i="29"/>
  <c r="K135" i="29"/>
  <c r="K547" i="29"/>
  <c r="M348" i="29"/>
  <c r="K392" i="29"/>
  <c r="K91" i="29"/>
  <c r="L350" i="29"/>
  <c r="M431" i="29"/>
  <c r="M890" i="29"/>
  <c r="L753" i="29"/>
  <c r="L261" i="29"/>
  <c r="L834" i="29"/>
  <c r="L418" i="29"/>
  <c r="K365" i="29"/>
  <c r="N759" i="29"/>
  <c r="L815" i="29"/>
  <c r="M317" i="29"/>
  <c r="N500" i="29"/>
  <c r="N904" i="29"/>
  <c r="N454" i="29"/>
  <c r="M93" i="29"/>
  <c r="M592" i="29"/>
  <c r="M31" i="29"/>
  <c r="N311" i="29"/>
  <c r="L500" i="29"/>
  <c r="D800" i="29"/>
  <c r="K345" i="29"/>
  <c r="K245" i="29"/>
  <c r="K850" i="29"/>
  <c r="N412" i="29"/>
  <c r="L609" i="29"/>
  <c r="N504" i="29"/>
  <c r="K332" i="29"/>
  <c r="L409" i="29"/>
  <c r="L326" i="29"/>
  <c r="N229" i="29"/>
  <c r="L692" i="29"/>
  <c r="M569" i="29"/>
  <c r="R86" i="29"/>
  <c r="M910" i="29"/>
  <c r="K672" i="29"/>
  <c r="R197" i="29"/>
  <c r="K424" i="29"/>
  <c r="M783" i="29"/>
  <c r="N628" i="29"/>
  <c r="N751" i="29"/>
  <c r="K102" i="29"/>
  <c r="K486" i="29"/>
  <c r="K546" i="29"/>
  <c r="L788" i="29"/>
  <c r="F825" i="29"/>
  <c r="K163" i="29"/>
  <c r="F561" i="29"/>
  <c r="G831" i="29"/>
  <c r="N114" i="29"/>
  <c r="M96" i="29"/>
  <c r="M367" i="29"/>
  <c r="L553" i="29"/>
  <c r="L449" i="29"/>
  <c r="L387" i="29"/>
  <c r="R280" i="29"/>
  <c r="N391" i="29"/>
  <c r="E786" i="29"/>
  <c r="L616" i="29"/>
  <c r="Q203" i="29"/>
  <c r="D868" i="29"/>
  <c r="N824" i="29"/>
  <c r="K214" i="29"/>
  <c r="K496" i="29"/>
  <c r="J518" i="29"/>
  <c r="K566" i="29"/>
  <c r="L48" i="29"/>
  <c r="M446" i="29"/>
  <c r="M575" i="29"/>
  <c r="L212" i="29"/>
  <c r="K439" i="29"/>
  <c r="M892" i="29"/>
  <c r="N266" i="29"/>
  <c r="R118" i="29"/>
  <c r="K485" i="29"/>
  <c r="K122" i="29"/>
  <c r="M214" i="29"/>
  <c r="N210" i="29"/>
  <c r="L769" i="29"/>
  <c r="Q166" i="29"/>
  <c r="K331" i="29"/>
  <c r="M618" i="29"/>
  <c r="K894" i="29"/>
  <c r="L422" i="29"/>
  <c r="R324" i="29"/>
  <c r="R787" i="29"/>
  <c r="P805" i="29"/>
  <c r="L547" i="29"/>
  <c r="R495" i="29"/>
  <c r="P623" i="29"/>
  <c r="P217" i="29"/>
  <c r="E849" i="29"/>
  <c r="M644" i="29"/>
  <c r="L525" i="29"/>
  <c r="N65" i="29"/>
  <c r="G914" i="29"/>
  <c r="G828" i="29"/>
  <c r="K304" i="29"/>
  <c r="K534" i="29"/>
  <c r="L757" i="29"/>
  <c r="M457" i="29"/>
  <c r="M434" i="29"/>
  <c r="K174" i="29"/>
  <c r="N458" i="29"/>
  <c r="M136" i="29"/>
  <c r="G886" i="29"/>
  <c r="M134" i="29"/>
  <c r="N176" i="29"/>
  <c r="L144" i="29"/>
  <c r="K173" i="29"/>
  <c r="H785" i="29"/>
  <c r="K812" i="29"/>
  <c r="L355" i="29"/>
  <c r="N772" i="29"/>
  <c r="R144" i="29"/>
  <c r="N37" i="29"/>
  <c r="N265" i="29"/>
  <c r="N194" i="29"/>
  <c r="E852" i="29"/>
  <c r="L314" i="29"/>
  <c r="N514" i="29"/>
  <c r="K548" i="29"/>
  <c r="K559" i="29"/>
  <c r="Q35" i="29"/>
  <c r="K584" i="29"/>
  <c r="L190" i="29"/>
  <c r="P313" i="29"/>
  <c r="M770" i="29"/>
  <c r="L508" i="29"/>
  <c r="L840" i="29"/>
  <c r="N330" i="29"/>
  <c r="F821" i="29"/>
  <c r="N150" i="29"/>
  <c r="L148" i="29"/>
  <c r="H774" i="29"/>
  <c r="L485" i="29"/>
  <c r="K79" i="29"/>
  <c r="N494" i="29"/>
  <c r="K781" i="29"/>
  <c r="N763" i="29"/>
  <c r="K685" i="29"/>
  <c r="N734" i="29"/>
  <c r="R36" i="29"/>
  <c r="M146" i="29"/>
  <c r="K462" i="29"/>
  <c r="P220" i="29"/>
  <c r="N217" i="29"/>
  <c r="N20" i="29"/>
  <c r="M915" i="29"/>
  <c r="N70" i="29"/>
  <c r="N718" i="29"/>
  <c r="M412" i="29"/>
  <c r="M482" i="29"/>
  <c r="K269" i="29"/>
  <c r="K42" i="29"/>
  <c r="K83" i="29"/>
  <c r="L714" i="29"/>
  <c r="L97" i="29"/>
  <c r="M243" i="29"/>
  <c r="M787" i="29"/>
  <c r="M850" i="29"/>
  <c r="M313" i="29"/>
  <c r="M276" i="29"/>
  <c r="L140" i="29"/>
  <c r="M45" i="29"/>
  <c r="E899" i="29"/>
  <c r="N92" i="29"/>
  <c r="M788" i="29"/>
  <c r="K357" i="29"/>
  <c r="N739" i="29"/>
  <c r="K710" i="29"/>
  <c r="L272" i="29"/>
  <c r="L127" i="29"/>
  <c r="L570" i="29"/>
  <c r="E889" i="29"/>
  <c r="M497" i="29"/>
  <c r="M303" i="29"/>
  <c r="M654" i="29"/>
  <c r="N251" i="29"/>
  <c r="L599" i="29"/>
  <c r="N212" i="29"/>
  <c r="N496" i="29"/>
  <c r="L302" i="29"/>
  <c r="K33" i="29"/>
  <c r="K690" i="29"/>
  <c r="K493" i="29"/>
  <c r="K238" i="29"/>
  <c r="M700" i="29"/>
  <c r="F877" i="29"/>
  <c r="L308" i="29"/>
  <c r="E583" i="29"/>
  <c r="N284" i="29"/>
  <c r="H795" i="29"/>
  <c r="L858" i="29"/>
  <c r="M353" i="29"/>
  <c r="N138" i="29"/>
  <c r="N846" i="29"/>
  <c r="N297" i="29"/>
  <c r="K438" i="29"/>
  <c r="L472" i="29"/>
  <c r="L345" i="29"/>
  <c r="M458" i="29"/>
  <c r="L232" i="29"/>
  <c r="N294" i="29"/>
  <c r="L440" i="29"/>
  <c r="M847" i="29"/>
  <c r="K766" i="29"/>
  <c r="Q379" i="29"/>
  <c r="N506" i="29"/>
  <c r="M108" i="29"/>
  <c r="L686" i="29"/>
  <c r="L273" i="29"/>
  <c r="L580" i="29"/>
  <c r="K223" i="29"/>
  <c r="K178" i="29"/>
  <c r="L10" i="29"/>
  <c r="N142" i="29"/>
  <c r="D736" i="29"/>
  <c r="D865" i="29"/>
  <c r="M328" i="29"/>
  <c r="K657" i="29"/>
  <c r="L515" i="29"/>
  <c r="M486" i="29"/>
  <c r="N627" i="29"/>
  <c r="L704" i="29"/>
  <c r="M226" i="29"/>
  <c r="K386" i="29"/>
  <c r="M381" i="29"/>
  <c r="K342" i="29"/>
  <c r="K807" i="29"/>
  <c r="L684" i="29"/>
  <c r="M524" i="29"/>
  <c r="L637" i="29"/>
  <c r="Q205" i="29"/>
  <c r="N353" i="29"/>
  <c r="K444" i="29"/>
  <c r="P304" i="29"/>
  <c r="J91" i="29"/>
  <c r="D812" i="29"/>
  <c r="H862" i="29"/>
  <c r="E718" i="29"/>
  <c r="G662" i="29"/>
  <c r="L799" i="29"/>
  <c r="K561" i="29"/>
  <c r="N40" i="29"/>
  <c r="L363" i="29"/>
  <c r="P90" i="29"/>
  <c r="L304" i="29"/>
  <c r="K585" i="29"/>
  <c r="M771" i="29"/>
  <c r="N237" i="29"/>
  <c r="L678" i="29"/>
  <c r="Q124" i="29"/>
  <c r="M50" i="29"/>
  <c r="N805" i="29"/>
  <c r="K370" i="29"/>
  <c r="M186" i="29"/>
  <c r="K291" i="29"/>
  <c r="M745" i="29"/>
  <c r="M77" i="29"/>
  <c r="N329" i="29"/>
  <c r="N501" i="29"/>
  <c r="L745" i="29"/>
  <c r="N833" i="29"/>
  <c r="K294" i="29"/>
  <c r="N552" i="29"/>
  <c r="L466" i="29"/>
  <c r="L423" i="29"/>
  <c r="N538" i="29"/>
  <c r="N223" i="29"/>
  <c r="D536" i="29"/>
  <c r="M310" i="29"/>
  <c r="M273" i="29"/>
  <c r="H651" i="29"/>
  <c r="P39" i="29"/>
  <c r="M212" i="29"/>
  <c r="M129" i="29"/>
  <c r="M614" i="29"/>
  <c r="L654" i="29"/>
  <c r="K233" i="29"/>
  <c r="J253" i="29"/>
  <c r="R591" i="29"/>
  <c r="F793" i="29"/>
  <c r="K716" i="29"/>
  <c r="L269" i="29"/>
  <c r="J99" i="29"/>
  <c r="N361" i="29"/>
  <c r="M299" i="29"/>
  <c r="L575" i="29"/>
  <c r="P336" i="29"/>
  <c r="G875" i="29"/>
  <c r="L38" i="29"/>
  <c r="M621" i="29"/>
  <c r="E502" i="29"/>
  <c r="E713" i="29"/>
  <c r="K170" i="29"/>
  <c r="H600" i="29"/>
  <c r="H812" i="29"/>
  <c r="E870" i="29"/>
  <c r="G906" i="29"/>
  <c r="F631" i="29"/>
  <c r="L125" i="29"/>
  <c r="M239" i="29"/>
  <c r="D614" i="29"/>
  <c r="D905" i="29"/>
  <c r="K358" i="29"/>
  <c r="N46" i="29"/>
  <c r="M92" i="29"/>
  <c r="K32" i="29"/>
  <c r="K523" i="29"/>
  <c r="N482" i="29"/>
  <c r="N124" i="29"/>
  <c r="K447" i="29"/>
  <c r="K770" i="29"/>
  <c r="L826" i="29"/>
  <c r="L777" i="29"/>
  <c r="L120" i="29"/>
  <c r="N747" i="29"/>
  <c r="K410" i="29"/>
  <c r="C764" i="29"/>
  <c r="L811" i="29"/>
  <c r="K354" i="29"/>
  <c r="M634" i="29"/>
  <c r="N11" i="29"/>
  <c r="N690" i="29"/>
  <c r="M779" i="29"/>
  <c r="N433" i="29"/>
  <c r="L381" i="29"/>
  <c r="K568" i="29"/>
  <c r="L347" i="29"/>
  <c r="C684" i="29"/>
  <c r="D893" i="29"/>
  <c r="N306" i="29"/>
  <c r="M28" i="29"/>
  <c r="N705" i="29"/>
  <c r="L758" i="29"/>
  <c r="F858" i="29"/>
  <c r="P907" i="29"/>
  <c r="L337" i="29"/>
  <c r="N707" i="29"/>
  <c r="L251" i="29"/>
  <c r="N436" i="29"/>
  <c r="M294" i="29"/>
  <c r="M338" i="29"/>
  <c r="L118" i="29"/>
  <c r="K150" i="29"/>
  <c r="N355" i="29"/>
  <c r="Q96" i="29"/>
  <c r="L224" i="29"/>
  <c r="M612" i="29"/>
  <c r="K604" i="29"/>
  <c r="R541" i="29"/>
  <c r="N654" i="29"/>
  <c r="N389" i="29"/>
  <c r="N372" i="29"/>
  <c r="N378" i="29"/>
  <c r="K483" i="29"/>
  <c r="L579" i="29"/>
  <c r="K782" i="29"/>
  <c r="N258" i="29"/>
  <c r="K69" i="29"/>
  <c r="M368" i="29"/>
  <c r="N708" i="29"/>
  <c r="K184" i="29"/>
  <c r="G697" i="29"/>
  <c r="F845" i="29"/>
  <c r="K363" i="29"/>
  <c r="N754" i="29"/>
  <c r="N789" i="29"/>
  <c r="K107" i="29"/>
  <c r="M66" i="29"/>
  <c r="N700" i="29"/>
  <c r="N509" i="29"/>
  <c r="K68" i="29"/>
  <c r="L376" i="29"/>
  <c r="P56" i="29"/>
  <c r="C835" i="29"/>
  <c r="P302" i="29"/>
  <c r="N224" i="29"/>
  <c r="K824" i="29"/>
  <c r="N386" i="29"/>
  <c r="Q200" i="29"/>
  <c r="M576" i="29"/>
  <c r="L603" i="29"/>
  <c r="M361" i="29"/>
  <c r="L54" i="29"/>
  <c r="R365" i="29"/>
  <c r="N274" i="29"/>
  <c r="N327" i="29"/>
  <c r="L20" i="29"/>
  <c r="G738" i="29"/>
  <c r="E552" i="29"/>
  <c r="M154" i="29"/>
  <c r="K906" i="29"/>
  <c r="L451" i="29"/>
  <c r="L241" i="29"/>
  <c r="M448" i="29"/>
  <c r="N39" i="29"/>
  <c r="M192" i="29"/>
  <c r="L706" i="29"/>
  <c r="L838" i="29"/>
  <c r="F914" i="29"/>
  <c r="R219" i="29"/>
  <c r="P156" i="29"/>
  <c r="N133" i="29"/>
  <c r="M586" i="29"/>
  <c r="N594" i="29"/>
  <c r="N792" i="29"/>
  <c r="L480" i="29"/>
  <c r="P60" i="29"/>
  <c r="L377" i="29"/>
  <c r="J377" i="29" s="1"/>
  <c r="L494" i="29"/>
  <c r="K433" i="29"/>
  <c r="L382" i="29"/>
  <c r="K290" i="29"/>
  <c r="L226" i="29"/>
  <c r="G742" i="29"/>
  <c r="E791" i="29"/>
  <c r="M623" i="29"/>
  <c r="N371" i="29"/>
  <c r="L871" i="29"/>
  <c r="L328" i="29"/>
  <c r="K549" i="29"/>
  <c r="L774" i="29"/>
  <c r="M347" i="29"/>
  <c r="R145" i="29"/>
  <c r="L361" i="29"/>
  <c r="M370" i="29"/>
  <c r="L307" i="29"/>
  <c r="M548" i="29"/>
  <c r="K578" i="29"/>
  <c r="M713" i="29"/>
  <c r="P30" i="29"/>
  <c r="N744" i="29"/>
  <c r="M539" i="29"/>
  <c r="K356" i="29"/>
  <c r="M5" i="29"/>
  <c r="E917" i="29"/>
  <c r="C598" i="29"/>
  <c r="L263" i="29"/>
  <c r="L23" i="29"/>
  <c r="L202" i="29"/>
  <c r="K224" i="29"/>
  <c r="M358" i="29"/>
  <c r="N204" i="29"/>
  <c r="K910" i="29"/>
  <c r="M80" i="29"/>
  <c r="K49" i="29"/>
  <c r="K617" i="29"/>
  <c r="N407" i="29"/>
  <c r="M85" i="29"/>
  <c r="M617" i="29"/>
  <c r="K484" i="29"/>
  <c r="K205" i="29"/>
  <c r="F864" i="29"/>
  <c r="P55" i="29"/>
  <c r="K195" i="29"/>
  <c r="M453" i="29"/>
  <c r="Q222" i="29"/>
  <c r="N790" i="29"/>
  <c r="M455" i="29"/>
  <c r="N862" i="29"/>
  <c r="M767" i="29"/>
  <c r="N567" i="29"/>
  <c r="L80" i="29"/>
  <c r="Q453" i="29"/>
  <c r="M472" i="29"/>
  <c r="M606" i="29"/>
  <c r="M428" i="29"/>
  <c r="E789" i="29"/>
  <c r="N207" i="29"/>
  <c r="K104" i="29"/>
  <c r="H573" i="29"/>
  <c r="M101" i="29"/>
  <c r="K552" i="29"/>
  <c r="L177" i="29"/>
  <c r="K797" i="29"/>
  <c r="M814" i="29"/>
  <c r="N239" i="29"/>
  <c r="N295" i="29"/>
  <c r="N597" i="29"/>
  <c r="K669" i="29"/>
  <c r="K35" i="29"/>
  <c r="P301" i="29"/>
  <c r="M98" i="29"/>
  <c r="L544" i="29"/>
  <c r="L837" i="29"/>
  <c r="P250" i="29"/>
  <c r="H875" i="29"/>
  <c r="G789" i="29"/>
  <c r="F511" i="29"/>
  <c r="M277" i="29"/>
  <c r="E834" i="29"/>
  <c r="L163" i="29"/>
  <c r="E695" i="29"/>
  <c r="K198" i="29"/>
  <c r="J88" i="29"/>
  <c r="F575" i="29"/>
  <c r="H714" i="29"/>
  <c r="L433" i="29"/>
  <c r="M258" i="29"/>
  <c r="H630" i="29"/>
  <c r="M319" i="29"/>
  <c r="K53" i="29"/>
  <c r="F552" i="29"/>
  <c r="F810" i="29"/>
  <c r="F878" i="29"/>
  <c r="G513" i="29"/>
  <c r="F907" i="29"/>
  <c r="K12" i="29"/>
  <c r="K610" i="29"/>
  <c r="K226" i="29"/>
  <c r="L786" i="29"/>
  <c r="K310" i="29"/>
  <c r="L624" i="29"/>
  <c r="L462" i="29"/>
  <c r="M63" i="29"/>
  <c r="M411" i="29"/>
  <c r="K557" i="29"/>
  <c r="M452" i="29"/>
  <c r="K742" i="29"/>
  <c r="L688" i="29"/>
  <c r="E841" i="29"/>
  <c r="R161" i="29"/>
  <c r="M193" i="29"/>
  <c r="M264" i="29"/>
  <c r="C851" i="29"/>
  <c r="P293" i="29"/>
  <c r="N277" i="29"/>
  <c r="M306" i="29"/>
  <c r="M24" i="29"/>
  <c r="L165" i="29"/>
  <c r="M336" i="29"/>
  <c r="L343" i="29"/>
  <c r="N753" i="29"/>
  <c r="K323" i="29"/>
  <c r="M558" i="29"/>
  <c r="K648" i="29"/>
  <c r="M161" i="29"/>
  <c r="K164" i="29"/>
  <c r="K865" i="29"/>
  <c r="K115" i="29"/>
  <c r="E861" i="29"/>
  <c r="P110" i="29"/>
  <c r="N130" i="29"/>
  <c r="N742" i="29"/>
  <c r="P269" i="29"/>
  <c r="P489" i="29"/>
  <c r="N201" i="29"/>
  <c r="K401" i="29"/>
  <c r="M546" i="29"/>
  <c r="H765" i="29"/>
  <c r="N508" i="29"/>
  <c r="K625" i="29"/>
  <c r="M908" i="29"/>
  <c r="L664" i="29"/>
  <c r="K426" i="29"/>
  <c r="N837" i="29"/>
  <c r="K446" i="29"/>
  <c r="E874" i="29"/>
  <c r="G486" i="29"/>
  <c r="L316" i="29"/>
  <c r="F895" i="29"/>
  <c r="N127" i="29"/>
  <c r="K767" i="29"/>
  <c r="K660" i="29"/>
  <c r="K449" i="29"/>
  <c r="L257" i="29"/>
  <c r="K612" i="29"/>
  <c r="M176" i="29"/>
  <c r="M627" i="29"/>
  <c r="K760" i="29"/>
  <c r="M433" i="29"/>
  <c r="N263" i="29"/>
  <c r="J321" i="29"/>
  <c r="K596" i="29"/>
  <c r="N449" i="29"/>
  <c r="K344" i="29"/>
  <c r="Q735" i="29"/>
  <c r="N664" i="29"/>
  <c r="E755" i="29"/>
  <c r="N571" i="29"/>
  <c r="N462" i="29"/>
  <c r="L298" i="29"/>
  <c r="P126" i="29"/>
  <c r="L176" i="29"/>
  <c r="L477" i="29"/>
  <c r="N164" i="29"/>
  <c r="N283" i="29"/>
  <c r="G584" i="29"/>
  <c r="C732" i="29"/>
  <c r="M580" i="29"/>
  <c r="N56" i="29"/>
  <c r="M778" i="29"/>
  <c r="L256" i="29"/>
  <c r="N345" i="29"/>
  <c r="M436" i="29"/>
  <c r="L507" i="29"/>
  <c r="M913" i="29"/>
  <c r="M570" i="29"/>
  <c r="M864" i="29"/>
  <c r="K913" i="29"/>
  <c r="K712" i="29"/>
  <c r="K27" i="29"/>
  <c r="R210" i="29"/>
  <c r="L813" i="29"/>
  <c r="K551" i="29"/>
  <c r="N497" i="29"/>
  <c r="M839" i="29"/>
  <c r="L539" i="29"/>
  <c r="M61" i="29"/>
  <c r="M325" i="29"/>
  <c r="M390" i="29"/>
  <c r="L172" i="29"/>
  <c r="K28" i="29"/>
  <c r="L138" i="29"/>
  <c r="N147" i="29"/>
  <c r="M519" i="29"/>
  <c r="K516" i="29"/>
  <c r="L276" i="29"/>
  <c r="P228" i="29"/>
  <c r="L217" i="29"/>
  <c r="M177" i="29"/>
  <c r="Q90" i="29"/>
  <c r="K299" i="29"/>
  <c r="L283" i="29"/>
  <c r="L142" i="29"/>
  <c r="L705" i="29"/>
  <c r="C916" i="29"/>
  <c r="M670" i="29"/>
  <c r="K791" i="29"/>
  <c r="L755" i="29"/>
  <c r="L39" i="29"/>
  <c r="M418" i="29"/>
  <c r="M867" i="29"/>
  <c r="D849" i="29"/>
  <c r="F548" i="29"/>
  <c r="K141" i="29"/>
  <c r="K11" i="29"/>
  <c r="E722" i="29"/>
  <c r="L746" i="29"/>
  <c r="M584" i="29"/>
  <c r="K890" i="29"/>
  <c r="N844" i="29"/>
  <c r="N550" i="29"/>
  <c r="K479" i="29"/>
  <c r="K360" i="29"/>
  <c r="L887" i="29"/>
  <c r="M401" i="29"/>
  <c r="J67" i="29"/>
  <c r="M809" i="29"/>
  <c r="K95" i="29"/>
  <c r="N200" i="29"/>
  <c r="M880" i="29"/>
  <c r="L458" i="29"/>
  <c r="L185" i="29"/>
  <c r="N440" i="29"/>
  <c r="K502" i="29"/>
  <c r="K341" i="29"/>
  <c r="L666" i="29"/>
  <c r="J308" i="29"/>
  <c r="K847" i="29"/>
  <c r="L608" i="29"/>
  <c r="K676" i="29"/>
  <c r="Q67" i="29"/>
  <c r="K417" i="29"/>
  <c r="N44" i="29"/>
  <c r="K14" i="29"/>
  <c r="M215" i="29"/>
  <c r="H645" i="29"/>
  <c r="L252" i="29"/>
  <c r="E659" i="29"/>
  <c r="L295" i="29"/>
  <c r="N252" i="29"/>
  <c r="N776" i="29"/>
  <c r="L89" i="29"/>
  <c r="C845" i="29"/>
  <c r="N784" i="29"/>
  <c r="J187" i="29"/>
  <c r="P693" i="29"/>
  <c r="N255" i="29"/>
  <c r="M439" i="29"/>
  <c r="M467" i="29"/>
  <c r="K786" i="29"/>
  <c r="K842" i="29"/>
  <c r="M731" i="29"/>
  <c r="L656" i="29"/>
  <c r="L334" i="29"/>
  <c r="L110" i="29"/>
  <c r="Q46" i="29"/>
  <c r="L207" i="29"/>
  <c r="L739" i="29"/>
  <c r="L513" i="29"/>
  <c r="L24" i="29"/>
  <c r="K598" i="29"/>
  <c r="M211" i="29"/>
  <c r="M331" i="29"/>
  <c r="N551" i="29"/>
  <c r="K161" i="29"/>
  <c r="M342" i="29"/>
  <c r="N134" i="29"/>
  <c r="K863" i="29"/>
  <c r="L564" i="29"/>
  <c r="P729" i="29"/>
  <c r="K454" i="29"/>
  <c r="L565" i="29"/>
  <c r="M836" i="29"/>
  <c r="M876" i="29"/>
  <c r="N342" i="29"/>
  <c r="R203" i="29"/>
  <c r="Q136" i="29"/>
  <c r="K696" i="29"/>
  <c r="N678" i="29"/>
  <c r="K866" i="29"/>
  <c r="M805" i="29"/>
  <c r="N778" i="29"/>
  <c r="R503" i="29"/>
  <c r="R164" i="29"/>
  <c r="M345" i="29"/>
  <c r="R128" i="29"/>
  <c r="P213" i="29"/>
  <c r="L724" i="29"/>
  <c r="M79" i="29"/>
  <c r="R235" i="29"/>
  <c r="H841" i="29"/>
  <c r="M674" i="29"/>
  <c r="K440" i="29"/>
  <c r="K285" i="29"/>
  <c r="L354" i="29"/>
  <c r="N213" i="29"/>
  <c r="K840" i="29"/>
  <c r="K637" i="29"/>
  <c r="M657" i="29"/>
  <c r="N270" i="29"/>
  <c r="Q603" i="29"/>
  <c r="P588" i="29"/>
  <c r="P159" i="29"/>
  <c r="P45" i="29"/>
  <c r="M694" i="29"/>
  <c r="Q70" i="29"/>
  <c r="J452" i="29"/>
  <c r="M650" i="29"/>
  <c r="P345" i="29"/>
  <c r="M909" i="29"/>
  <c r="N788" i="29"/>
  <c r="P282" i="29"/>
  <c r="N403" i="29"/>
  <c r="N282" i="29"/>
  <c r="M766" i="29"/>
  <c r="C784" i="29"/>
  <c r="K105" i="29"/>
  <c r="P22" i="29"/>
  <c r="P701" i="29"/>
  <c r="P680" i="29"/>
  <c r="P795" i="29"/>
  <c r="P433" i="29"/>
  <c r="K463" i="29"/>
  <c r="P339" i="29"/>
  <c r="L825" i="29"/>
  <c r="Q451" i="29"/>
  <c r="P295" i="29"/>
  <c r="K535" i="29"/>
  <c r="P781" i="29"/>
  <c r="P241" i="29"/>
  <c r="E846" i="29"/>
  <c r="K432" i="29"/>
  <c r="K249" i="29"/>
  <c r="M356" i="29"/>
  <c r="L502" i="29"/>
  <c r="N13" i="29"/>
  <c r="J484" i="29"/>
  <c r="N537" i="29"/>
  <c r="J811" i="29"/>
  <c r="Q185" i="29"/>
  <c r="P857" i="29"/>
  <c r="Q157" i="29"/>
  <c r="R91" i="29"/>
  <c r="N420" i="29"/>
  <c r="K565" i="29"/>
  <c r="Q98" i="29"/>
  <c r="N414" i="29"/>
  <c r="M854" i="29"/>
  <c r="P386" i="29"/>
  <c r="K619" i="29"/>
  <c r="K693" i="29"/>
  <c r="R640" i="29"/>
  <c r="R593" i="29"/>
  <c r="M373" i="29"/>
  <c r="L223" i="29"/>
  <c r="N487" i="29"/>
  <c r="L180" i="29"/>
  <c r="L15" i="29"/>
  <c r="N495" i="29"/>
  <c r="N400" i="29"/>
  <c r="P125" i="29"/>
  <c r="M554" i="29"/>
  <c r="L527" i="29"/>
  <c r="K784" i="29"/>
  <c r="K237" i="29"/>
  <c r="Q245" i="29"/>
  <c r="Q452" i="29"/>
  <c r="J494" i="29"/>
  <c r="J163" i="29"/>
  <c r="P789" i="29"/>
  <c r="K452" i="29"/>
  <c r="N710" i="29"/>
  <c r="K692" i="29"/>
  <c r="P436" i="29"/>
  <c r="R181" i="29"/>
  <c r="N572" i="29"/>
  <c r="R709" i="29"/>
  <c r="N419" i="29"/>
  <c r="N887" i="29"/>
  <c r="M323" i="29"/>
  <c r="R248" i="29"/>
  <c r="R595" i="29"/>
  <c r="P207" i="29"/>
  <c r="P14" i="29"/>
  <c r="P638" i="29"/>
  <c r="L383" i="29"/>
  <c r="J348" i="29"/>
  <c r="L393" i="29"/>
  <c r="K213" i="29"/>
  <c r="M254" i="29"/>
  <c r="L403" i="29"/>
  <c r="N441" i="29"/>
  <c r="L492" i="29"/>
  <c r="R167" i="29"/>
  <c r="N719" i="29"/>
  <c r="K700" i="29"/>
  <c r="R287" i="29"/>
  <c r="Q464" i="29"/>
  <c r="M742" i="29"/>
  <c r="L358" i="29"/>
  <c r="R277" i="29"/>
  <c r="C215" i="29"/>
  <c r="M786" i="29"/>
  <c r="M449" i="29"/>
  <c r="Q342" i="29"/>
  <c r="Q247" i="29"/>
  <c r="P398" i="29"/>
  <c r="K418" i="29"/>
  <c r="P742" i="29"/>
  <c r="Q130" i="29"/>
  <c r="L481" i="29"/>
  <c r="L839" i="29"/>
  <c r="Q263" i="29"/>
  <c r="R40" i="29"/>
  <c r="G718" i="29"/>
  <c r="L274" i="29"/>
  <c r="Q27" i="29"/>
  <c r="L315" i="29"/>
  <c r="K343" i="29"/>
  <c r="L517" i="29"/>
  <c r="N478" i="29"/>
  <c r="K654" i="29"/>
  <c r="N650" i="29"/>
  <c r="L438" i="29"/>
  <c r="Q52" i="29"/>
  <c r="N890" i="29"/>
  <c r="P479" i="29"/>
  <c r="R795" i="29"/>
  <c r="N766" i="29"/>
  <c r="K673" i="29"/>
  <c r="P99" i="29"/>
  <c r="K611" i="29"/>
  <c r="N777" i="29"/>
  <c r="P318" i="29"/>
  <c r="P579" i="29"/>
  <c r="K445" i="29"/>
  <c r="K905" i="29"/>
  <c r="R538" i="29"/>
  <c r="Q526" i="29"/>
  <c r="P427" i="29"/>
  <c r="K309" i="29"/>
  <c r="R449" i="29"/>
  <c r="R499" i="29"/>
  <c r="L210" i="29"/>
  <c r="K839" i="29"/>
  <c r="N292" i="29"/>
  <c r="N701" i="29"/>
  <c r="N882" i="29"/>
  <c r="N525" i="29"/>
  <c r="M170" i="29"/>
  <c r="K77" i="29"/>
  <c r="L645" i="29"/>
  <c r="K715" i="29"/>
  <c r="J433" i="29"/>
  <c r="N580" i="29"/>
  <c r="P254" i="29"/>
  <c r="P464" i="29"/>
  <c r="L456" i="29"/>
  <c r="K882" i="29"/>
  <c r="Q220" i="29"/>
  <c r="L559" i="29"/>
  <c r="L740" i="29"/>
  <c r="R245" i="29"/>
  <c r="P239" i="29"/>
  <c r="R70" i="29"/>
  <c r="Q256" i="29"/>
  <c r="R537" i="29"/>
  <c r="N720" i="29"/>
  <c r="P78" i="29"/>
  <c r="M826" i="29"/>
  <c r="R594" i="29"/>
  <c r="K175" i="29"/>
  <c r="R288" i="29"/>
  <c r="K461" i="29"/>
  <c r="M583" i="29"/>
  <c r="M417" i="29"/>
  <c r="K52" i="29"/>
  <c r="M315" i="29"/>
  <c r="K340" i="29"/>
  <c r="H849" i="29"/>
  <c r="K608" i="29"/>
  <c r="J758" i="29"/>
  <c r="M853" i="29"/>
  <c r="Q505" i="29"/>
  <c r="P34" i="29"/>
  <c r="M593" i="29"/>
  <c r="N438" i="29"/>
  <c r="Q851" i="29"/>
  <c r="K283" i="29"/>
  <c r="K787" i="29"/>
  <c r="R568" i="29"/>
  <c r="N18" i="29"/>
  <c r="L330" i="29"/>
  <c r="Q93" i="29"/>
  <c r="Q843" i="29"/>
  <c r="N828" i="29"/>
  <c r="M639" i="29"/>
  <c r="R29" i="29"/>
  <c r="P573" i="29"/>
  <c r="Q344" i="29"/>
  <c r="L662" i="29"/>
  <c r="Q176" i="29"/>
  <c r="P222" i="29"/>
  <c r="N498" i="29"/>
  <c r="L833" i="29"/>
  <c r="N743" i="29"/>
  <c r="R367" i="29"/>
  <c r="N758" i="29"/>
  <c r="P900" i="29"/>
  <c r="Q306" i="29"/>
  <c r="M561" i="29"/>
  <c r="Q509" i="29"/>
  <c r="P676" i="29"/>
  <c r="L249" i="29"/>
  <c r="P717" i="29"/>
  <c r="P531" i="29"/>
  <c r="R605" i="29"/>
  <c r="Q702" i="29"/>
  <c r="R323" i="29"/>
  <c r="J386" i="29"/>
  <c r="Q669" i="29"/>
  <c r="R136" i="29"/>
  <c r="R730" i="29"/>
  <c r="R61" i="29"/>
  <c r="R915" i="29"/>
  <c r="N863" i="29"/>
  <c r="R892" i="29"/>
  <c r="Q646" i="29"/>
  <c r="R833" i="29"/>
  <c r="J472" i="29"/>
  <c r="K739" i="29"/>
  <c r="R700" i="29"/>
  <c r="N706" i="29"/>
  <c r="K148" i="29"/>
  <c r="Q59" i="29"/>
  <c r="L493" i="29"/>
  <c r="M333" i="29"/>
  <c r="E712" i="29"/>
  <c r="K555" i="29"/>
  <c r="M794" i="29"/>
  <c r="K471" i="29"/>
  <c r="N723" i="29"/>
  <c r="Q611" i="29"/>
  <c r="P770" i="29"/>
  <c r="Q726" i="29"/>
  <c r="Q517" i="29"/>
  <c r="P648" i="29"/>
  <c r="E898" i="29"/>
  <c r="N575" i="29"/>
  <c r="M562" i="29"/>
  <c r="P176" i="29"/>
  <c r="N586" i="29"/>
  <c r="N445" i="29"/>
  <c r="N832" i="29"/>
  <c r="K361" i="29"/>
  <c r="L244" i="29"/>
  <c r="L364" i="29"/>
  <c r="K636" i="29"/>
  <c r="N377" i="29"/>
  <c r="K490" i="29"/>
  <c r="N256" i="29"/>
  <c r="Q78" i="29"/>
  <c r="Q139" i="29"/>
  <c r="M862" i="29"/>
  <c r="N588" i="29"/>
  <c r="K235" i="29"/>
  <c r="M738" i="29"/>
  <c r="L876" i="29"/>
  <c r="Q488" i="29"/>
  <c r="M801" i="29"/>
  <c r="Q236" i="29"/>
  <c r="M759" i="29"/>
  <c r="P567" i="29"/>
  <c r="R429" i="29"/>
  <c r="M307" i="29"/>
  <c r="K668" i="29"/>
  <c r="J726" i="29"/>
  <c r="Q704" i="29"/>
  <c r="K526" i="29"/>
  <c r="M32" i="29"/>
  <c r="N554" i="29"/>
  <c r="L258" i="29"/>
  <c r="N704" i="29"/>
  <c r="K124" i="29"/>
  <c r="N25" i="29"/>
  <c r="N513" i="29"/>
  <c r="K579" i="29"/>
  <c r="P139" i="29"/>
  <c r="K142" i="29"/>
  <c r="Q450" i="29"/>
  <c r="P826" i="29"/>
  <c r="R414" i="29"/>
  <c r="L775" i="29"/>
  <c r="L908" i="29"/>
  <c r="Q582" i="29"/>
  <c r="P408" i="29"/>
  <c r="N619" i="29"/>
  <c r="Q79" i="29"/>
  <c r="K899" i="29"/>
  <c r="N909" i="29"/>
  <c r="P580" i="29"/>
  <c r="R748" i="29"/>
  <c r="M406" i="29"/>
  <c r="R113" i="29"/>
  <c r="L625" i="29"/>
  <c r="N711" i="29"/>
  <c r="N453" i="29"/>
  <c r="L549" i="29"/>
  <c r="M283" i="29"/>
  <c r="N543" i="29"/>
  <c r="L389" i="29"/>
  <c r="L766" i="29"/>
  <c r="M399" i="29"/>
  <c r="P11" i="29"/>
  <c r="K717" i="29"/>
  <c r="L531" i="29"/>
  <c r="M904" i="29"/>
  <c r="M729" i="29"/>
  <c r="Q168" i="29"/>
  <c r="N852" i="29"/>
  <c r="M487" i="29"/>
  <c r="K725" i="29"/>
  <c r="R519" i="29"/>
  <c r="M665" i="29"/>
  <c r="Q13" i="29"/>
  <c r="K699" i="29"/>
  <c r="M589" i="29"/>
  <c r="M829" i="29"/>
  <c r="J874" i="29"/>
  <c r="Q674" i="29"/>
  <c r="Q198" i="29"/>
  <c r="Q533" i="29"/>
  <c r="M879" i="29"/>
  <c r="K525" i="29"/>
  <c r="N530" i="29"/>
  <c r="K567" i="29"/>
  <c r="R867" i="29"/>
  <c r="Q858" i="29"/>
  <c r="M865" i="29"/>
  <c r="K111" i="29"/>
  <c r="K385" i="29"/>
  <c r="M29" i="29"/>
  <c r="K665" i="29"/>
  <c r="K843" i="29"/>
  <c r="M122" i="29"/>
  <c r="L50" i="29"/>
  <c r="K281" i="29"/>
  <c r="Q368" i="29"/>
  <c r="Q28" i="29"/>
  <c r="M875" i="29"/>
  <c r="M648" i="29"/>
  <c r="K873" i="29"/>
  <c r="L863" i="29"/>
  <c r="L612" i="29"/>
  <c r="H718" i="29"/>
  <c r="K764" i="29"/>
  <c r="Q147" i="29"/>
  <c r="K359" i="29"/>
  <c r="Q84" i="29"/>
  <c r="Q283" i="29"/>
  <c r="P622" i="29"/>
  <c r="M630" i="29"/>
  <c r="K794" i="29"/>
  <c r="E717" i="29"/>
  <c r="L459" i="29"/>
  <c r="Q43" i="29"/>
  <c r="P98" i="29"/>
  <c r="K892" i="29"/>
  <c r="N532" i="29"/>
  <c r="J171" i="29"/>
  <c r="N230" i="29"/>
  <c r="P189" i="29"/>
  <c r="R132" i="29"/>
  <c r="M534" i="29"/>
  <c r="N246" i="29"/>
  <c r="N387" i="29"/>
  <c r="P119" i="29"/>
  <c r="P10" i="29"/>
  <c r="R88" i="29"/>
  <c r="L613" i="29"/>
  <c r="Q510" i="29"/>
  <c r="M81" i="29"/>
  <c r="L317" i="29"/>
  <c r="P108" i="29"/>
  <c r="P627" i="29"/>
  <c r="L644" i="29"/>
  <c r="P96" i="29"/>
  <c r="K505" i="29"/>
  <c r="K686" i="29"/>
  <c r="M721" i="29"/>
  <c r="K810" i="29"/>
  <c r="Q193" i="29"/>
  <c r="K517" i="29"/>
  <c r="N774" i="29"/>
  <c r="L708" i="29"/>
  <c r="K707" i="29"/>
  <c r="M341" i="29"/>
  <c r="M281" i="29"/>
  <c r="L750" i="29"/>
  <c r="M579" i="29"/>
  <c r="L380" i="29"/>
  <c r="M515" i="29"/>
  <c r="N709" i="29"/>
  <c r="M144" i="29"/>
  <c r="Q373" i="29"/>
  <c r="J120" i="29"/>
  <c r="N600" i="29"/>
  <c r="Q225" i="29"/>
  <c r="R156" i="29"/>
  <c r="Q307" i="29"/>
  <c r="M647" i="29"/>
  <c r="P264" i="29"/>
  <c r="R732" i="29"/>
  <c r="L888" i="29"/>
  <c r="M87" i="29"/>
  <c r="R257" i="29"/>
  <c r="J664" i="29"/>
  <c r="K407" i="29"/>
  <c r="Q244" i="29"/>
  <c r="P744" i="29"/>
  <c r="K663" i="29"/>
  <c r="K221" i="29"/>
  <c r="R99" i="29"/>
  <c r="K543" i="29"/>
  <c r="K349" i="29"/>
  <c r="M797" i="29"/>
  <c r="P137" i="29"/>
  <c r="J558" i="29"/>
  <c r="N524" i="29"/>
  <c r="J420" i="29"/>
  <c r="N448" i="29"/>
  <c r="M735" i="29"/>
  <c r="Q226" i="29"/>
  <c r="R15" i="29"/>
  <c r="R187" i="29"/>
  <c r="Q293" i="29"/>
  <c r="R10" i="29"/>
  <c r="P6" i="29"/>
  <c r="M403" i="29"/>
  <c r="P911" i="29"/>
  <c r="Q619" i="29"/>
  <c r="M451" i="29"/>
  <c r="R227" i="29"/>
  <c r="Q128" i="29"/>
  <c r="Q310" i="29"/>
  <c r="N811" i="29"/>
  <c r="M746" i="29"/>
  <c r="Q899" i="29"/>
  <c r="L680" i="29"/>
  <c r="K527" i="29"/>
  <c r="Q369" i="29"/>
  <c r="R710" i="29"/>
  <c r="L277" i="29"/>
  <c r="N621" i="29"/>
  <c r="K780" i="29"/>
  <c r="K458" i="29"/>
  <c r="G836" i="29"/>
  <c r="K811" i="29"/>
  <c r="K388" i="29"/>
  <c r="N404" i="29"/>
  <c r="L715" i="29"/>
  <c r="Q24" i="29"/>
  <c r="K581" i="29"/>
  <c r="L537" i="29"/>
  <c r="Q277" i="29"/>
  <c r="K674" i="29"/>
  <c r="Q66" i="29"/>
  <c r="P404" i="29"/>
  <c r="K772" i="29"/>
  <c r="Q337" i="29"/>
  <c r="P678" i="29"/>
  <c r="Q77" i="29"/>
  <c r="M156" i="29"/>
  <c r="M551" i="29"/>
  <c r="N357" i="29"/>
  <c r="K295" i="29"/>
  <c r="N623" i="29"/>
  <c r="M322" i="29"/>
  <c r="K829" i="29"/>
  <c r="P550" i="29"/>
  <c r="N665" i="29"/>
  <c r="L669" i="29"/>
  <c r="L496" i="29"/>
  <c r="L795" i="29"/>
  <c r="R681" i="29"/>
  <c r="L455" i="29"/>
  <c r="L773" i="29"/>
  <c r="P529" i="29"/>
  <c r="M878" i="29"/>
  <c r="R430" i="29"/>
  <c r="R444" i="29"/>
  <c r="R345" i="29"/>
  <c r="P151" i="29"/>
  <c r="L653" i="29"/>
  <c r="L716" i="29"/>
  <c r="H750" i="29"/>
  <c r="N286" i="29"/>
  <c r="M459" i="29"/>
  <c r="N333" i="29"/>
  <c r="M505" i="29"/>
  <c r="M247" i="29"/>
  <c r="M302" i="29"/>
  <c r="K328" i="29"/>
  <c r="N502" i="29"/>
  <c r="M697" i="29"/>
  <c r="L545" i="29"/>
  <c r="K765" i="29"/>
  <c r="P528" i="29"/>
  <c r="P89" i="29"/>
  <c r="C853" i="29"/>
  <c r="L846" i="29"/>
  <c r="Q813" i="29"/>
  <c r="Q370" i="29"/>
  <c r="L891" i="29"/>
  <c r="Q901" i="29"/>
  <c r="R415" i="29"/>
  <c r="P270" i="29"/>
  <c r="R218" i="29"/>
  <c r="R392" i="29"/>
  <c r="M869" i="29"/>
  <c r="L744" i="29"/>
  <c r="K575" i="29"/>
  <c r="L847" i="29"/>
  <c r="K655" i="29"/>
  <c r="K364" i="29"/>
  <c r="R590" i="29"/>
  <c r="Q367" i="29"/>
  <c r="M601" i="29"/>
  <c r="K511" i="29"/>
  <c r="L665" i="29"/>
  <c r="H835" i="29"/>
  <c r="F876" i="29"/>
  <c r="R135" i="29"/>
  <c r="G758" i="29"/>
  <c r="L526" i="29"/>
  <c r="L322" i="29"/>
  <c r="Q85" i="29"/>
  <c r="Q295" i="29"/>
  <c r="N634" i="29"/>
  <c r="P557" i="29"/>
  <c r="N693" i="29"/>
  <c r="P452" i="29"/>
  <c r="K769" i="29"/>
  <c r="P82" i="29"/>
  <c r="L807" i="29"/>
  <c r="R737" i="29"/>
  <c r="P888" i="29"/>
  <c r="R35" i="29"/>
  <c r="K662" i="29"/>
  <c r="P443" i="29"/>
  <c r="P835" i="29"/>
  <c r="N162" i="29"/>
  <c r="L748" i="29"/>
  <c r="R760" i="29"/>
  <c r="R510" i="29"/>
  <c r="M60" i="29"/>
  <c r="G811" i="29"/>
  <c r="L667" i="29"/>
  <c r="L818" i="29"/>
  <c r="P88" i="29"/>
  <c r="L576" i="29"/>
  <c r="M260" i="29"/>
  <c r="L509" i="29"/>
  <c r="K381" i="29"/>
  <c r="L137" i="29"/>
  <c r="L812" i="29"/>
  <c r="R117" i="29"/>
  <c r="R320" i="29"/>
  <c r="P522" i="29"/>
  <c r="R683" i="29"/>
  <c r="P281" i="29"/>
  <c r="M613" i="29"/>
  <c r="P79" i="29"/>
  <c r="L673" i="29"/>
  <c r="Q502" i="29"/>
  <c r="N880" i="29"/>
  <c r="L519" i="29"/>
  <c r="M737" i="29"/>
  <c r="K837" i="29"/>
  <c r="R276" i="29"/>
  <c r="Q548" i="29"/>
  <c r="P26" i="29"/>
  <c r="L711" i="29"/>
  <c r="R5" i="29"/>
  <c r="L532" i="29"/>
  <c r="M380" i="29"/>
  <c r="N408" i="29"/>
  <c r="K602" i="29"/>
  <c r="K571" i="29"/>
  <c r="M420" i="29"/>
  <c r="N233" i="29"/>
  <c r="M511" i="29"/>
  <c r="L126" i="29"/>
  <c r="L556" i="29"/>
  <c r="L503" i="29"/>
  <c r="K521" i="29"/>
  <c r="P135" i="29"/>
  <c r="C564" i="29"/>
  <c r="M739" i="29"/>
  <c r="P116" i="29"/>
  <c r="J274" i="29"/>
  <c r="Q653" i="29"/>
  <c r="L415" i="29"/>
  <c r="M600" i="29"/>
  <c r="P192" i="29"/>
  <c r="N423" i="29"/>
  <c r="M565" i="29"/>
  <c r="K893" i="29"/>
  <c r="K600" i="29"/>
  <c r="M462" i="29"/>
  <c r="N364" i="29"/>
  <c r="R182" i="29"/>
  <c r="P130" i="29"/>
  <c r="L446" i="29"/>
  <c r="M49" i="29"/>
  <c r="M72" i="29"/>
  <c r="K756" i="29"/>
  <c r="M806" i="29"/>
  <c r="M626" i="29"/>
  <c r="M624" i="29"/>
  <c r="L529" i="29"/>
  <c r="M563" i="29"/>
  <c r="M591" i="29"/>
  <c r="M762" i="29"/>
  <c r="N589" i="29"/>
  <c r="P440" i="29"/>
  <c r="L836" i="29"/>
  <c r="J790" i="29"/>
  <c r="M364" i="29"/>
  <c r="N901" i="29"/>
  <c r="Q346" i="29"/>
  <c r="Q76" i="29"/>
  <c r="Q821" i="29"/>
  <c r="N254" i="29"/>
  <c r="Q108" i="29"/>
  <c r="Q481" i="29"/>
  <c r="N581" i="29"/>
  <c r="Q331" i="29"/>
  <c r="M57" i="29"/>
  <c r="Q490" i="29"/>
  <c r="P499" i="29"/>
  <c r="P236" i="29"/>
  <c r="L278" i="29"/>
  <c r="P484" i="29"/>
  <c r="R581" i="29"/>
  <c r="L510" i="29"/>
  <c r="N568" i="29"/>
  <c r="R212" i="29"/>
  <c r="K815" i="29"/>
  <c r="K820" i="29"/>
  <c r="P442" i="29"/>
  <c r="P400" i="29"/>
  <c r="M818" i="29"/>
  <c r="Q268" i="29"/>
  <c r="L399" i="29"/>
  <c r="M828" i="29"/>
  <c r="Q769" i="29"/>
  <c r="J776" i="29"/>
  <c r="R826" i="29"/>
  <c r="R101" i="29"/>
  <c r="L832" i="29"/>
  <c r="L311" i="29"/>
  <c r="M387" i="29"/>
  <c r="L344" i="29"/>
  <c r="J695" i="29"/>
  <c r="M906" i="29"/>
  <c r="F777" i="29"/>
  <c r="Q117" i="29"/>
  <c r="K667" i="29"/>
  <c r="P154" i="29"/>
  <c r="N775" i="29"/>
  <c r="R184" i="29"/>
  <c r="P350" i="29"/>
  <c r="L342" i="29"/>
  <c r="Q20" i="29"/>
  <c r="Q456" i="29"/>
  <c r="M911" i="29"/>
  <c r="K199" i="29"/>
  <c r="R153" i="29"/>
  <c r="P8" i="29"/>
  <c r="L254" i="29"/>
  <c r="Q99" i="29"/>
  <c r="M444" i="29"/>
  <c r="L407" i="29"/>
  <c r="N576" i="29"/>
  <c r="N888" i="29"/>
  <c r="M871" i="29"/>
  <c r="N843" i="29"/>
  <c r="K591" i="29"/>
  <c r="R825" i="29"/>
  <c r="K730" i="29"/>
  <c r="L615" i="29"/>
  <c r="M874" i="29"/>
  <c r="P167" i="29"/>
  <c r="P558" i="29"/>
  <c r="P42" i="29"/>
  <c r="L478" i="29"/>
  <c r="J774" i="29"/>
  <c r="L543" i="29"/>
  <c r="P25" i="29"/>
  <c r="L881" i="29"/>
  <c r="P347" i="29"/>
  <c r="M262" i="29"/>
  <c r="L339" i="29"/>
  <c r="M9" i="29"/>
  <c r="M625" i="29"/>
  <c r="K443" i="29"/>
  <c r="N320" i="29"/>
  <c r="M615" i="29"/>
  <c r="K247" i="29"/>
  <c r="K677" i="29"/>
  <c r="L702" i="29"/>
  <c r="N393" i="29"/>
  <c r="P145" i="29"/>
  <c r="N425" i="29"/>
  <c r="Q757" i="29"/>
  <c r="P382" i="29"/>
  <c r="N587" i="29"/>
  <c r="Q181" i="29"/>
  <c r="R864" i="29"/>
  <c r="M715" i="29"/>
  <c r="N480" i="29"/>
  <c r="R671" i="29"/>
  <c r="P188" i="29"/>
  <c r="P578" i="29"/>
  <c r="N715" i="29"/>
  <c r="N765" i="29"/>
  <c r="M633" i="29"/>
  <c r="R224" i="29"/>
  <c r="Q561" i="29"/>
  <c r="P671" i="29"/>
  <c r="K563" i="29"/>
  <c r="M692" i="29"/>
  <c r="Q608" i="29"/>
  <c r="M234" i="29"/>
  <c r="N260" i="29"/>
  <c r="D898" i="29"/>
  <c r="M667" i="29"/>
  <c r="L427" i="29"/>
  <c r="L454" i="29"/>
  <c r="M640" i="29"/>
  <c r="N658" i="29"/>
  <c r="L280" i="29"/>
  <c r="L590" i="29"/>
  <c r="M378" i="29"/>
  <c r="K909" i="29"/>
  <c r="P43" i="29"/>
  <c r="R237" i="29"/>
  <c r="J502" i="29"/>
  <c r="L499" i="29"/>
  <c r="P720" i="29"/>
  <c r="P521" i="29"/>
  <c r="K531" i="29"/>
  <c r="K398" i="29"/>
  <c r="K456" i="29"/>
  <c r="M542" i="29"/>
  <c r="Q29" i="29"/>
  <c r="Q435" i="29"/>
  <c r="Q257" i="29"/>
  <c r="Q115" i="29"/>
  <c r="M726" i="29"/>
  <c r="N443" i="29"/>
  <c r="M545" i="29"/>
  <c r="K833" i="29"/>
  <c r="J19" i="29"/>
  <c r="M261" i="29"/>
  <c r="N107" i="29"/>
  <c r="R208" i="29"/>
  <c r="L469" i="29"/>
  <c r="L152" i="29"/>
  <c r="L611" i="29"/>
  <c r="L486" i="29"/>
  <c r="M398" i="29"/>
  <c r="Q233" i="29"/>
  <c r="R154" i="29"/>
  <c r="Q213" i="29"/>
  <c r="Q834" i="29"/>
  <c r="J282" i="29"/>
  <c r="N835" i="29"/>
  <c r="M671" i="29"/>
  <c r="Q572" i="29"/>
  <c r="Q483" i="29"/>
  <c r="R111" i="29"/>
  <c r="M360" i="29"/>
  <c r="M664" i="29"/>
  <c r="K614" i="29"/>
  <c r="M702" i="29"/>
  <c r="R114" i="29"/>
  <c r="P23" i="29"/>
  <c r="N872" i="29"/>
  <c r="P205" i="29"/>
  <c r="K776" i="29"/>
  <c r="K827" i="29"/>
  <c r="Q312" i="29"/>
  <c r="N214" i="29"/>
  <c r="M40" i="29"/>
  <c r="K296" i="29"/>
  <c r="L796" i="29"/>
  <c r="L577" i="29"/>
  <c r="F841" i="29"/>
  <c r="K412" i="29"/>
  <c r="L475" i="29"/>
  <c r="Q141" i="29"/>
  <c r="M605" i="29"/>
  <c r="P12" i="29"/>
  <c r="K896" i="29"/>
  <c r="M466" i="29"/>
  <c r="P201" i="29"/>
  <c r="N405" i="29"/>
  <c r="Q322" i="29"/>
  <c r="Q259" i="29"/>
  <c r="M652" i="29"/>
  <c r="R421" i="29"/>
  <c r="M734" i="29"/>
  <c r="N490" i="29"/>
  <c r="L823" i="29"/>
  <c r="P330" i="29"/>
  <c r="N906" i="29"/>
  <c r="P268" i="29"/>
  <c r="R670" i="29"/>
  <c r="Q573" i="29"/>
  <c r="N132" i="29"/>
  <c r="L658" i="29"/>
  <c r="K429" i="29"/>
  <c r="L677" i="29"/>
  <c r="K196" i="29"/>
  <c r="N544" i="29"/>
  <c r="M152" i="29"/>
  <c r="M712" i="29"/>
  <c r="M460" i="29"/>
  <c r="M188" i="29"/>
  <c r="M823" i="29"/>
  <c r="L696" i="29"/>
  <c r="K519" i="29"/>
  <c r="M645" i="29"/>
  <c r="N644" i="29"/>
  <c r="Q11" i="29"/>
  <c r="R27" i="29"/>
  <c r="P121" i="29"/>
  <c r="N694" i="29"/>
  <c r="R728" i="29"/>
  <c r="M792" i="29"/>
  <c r="K324" i="29"/>
  <c r="Q424" i="29"/>
  <c r="Q446" i="29"/>
  <c r="N422" i="29"/>
  <c r="M571" i="29"/>
  <c r="Q640" i="29"/>
  <c r="R512" i="29"/>
  <c r="R221" i="29"/>
  <c r="L482" i="29"/>
  <c r="Q387" i="29"/>
  <c r="F890" i="29"/>
  <c r="L285" i="29"/>
  <c r="R885" i="29"/>
  <c r="Q364" i="29"/>
  <c r="L723" i="29"/>
  <c r="M782" i="29"/>
  <c r="N672" i="29"/>
  <c r="M597" i="29"/>
  <c r="L880" i="29"/>
  <c r="R630" i="29"/>
  <c r="P122" i="29"/>
  <c r="N477" i="29"/>
  <c r="Q148" i="29"/>
  <c r="K476" i="29"/>
  <c r="P566" i="29"/>
  <c r="R363" i="29"/>
  <c r="C163" i="29"/>
  <c r="C741" i="29"/>
  <c r="P417" i="29"/>
  <c r="R686" i="29"/>
  <c r="J169" i="29"/>
  <c r="R576" i="29"/>
  <c r="P424" i="29"/>
  <c r="R64" i="29"/>
  <c r="P549" i="29"/>
  <c r="P387" i="29"/>
  <c r="Q159" i="29"/>
  <c r="C195" i="29"/>
  <c r="Q384" i="29"/>
  <c r="P612" i="29"/>
  <c r="K589" i="29"/>
  <c r="P152" i="29"/>
  <c r="P604" i="29"/>
  <c r="M464" i="29"/>
  <c r="M699" i="29"/>
  <c r="K855" i="29"/>
  <c r="N703" i="29"/>
  <c r="L581" i="29"/>
  <c r="K373" i="29"/>
  <c r="L725" i="29"/>
  <c r="Q242" i="29"/>
  <c r="R431" i="29"/>
  <c r="J61" i="29"/>
  <c r="Q499" i="29"/>
  <c r="N818" i="29"/>
  <c r="Q700" i="29"/>
  <c r="R408" i="29"/>
  <c r="R578" i="29"/>
  <c r="Q540" i="29"/>
  <c r="J547" i="29"/>
  <c r="P886" i="29"/>
  <c r="P353" i="29"/>
  <c r="Q386" i="29"/>
  <c r="R368" i="29"/>
  <c r="P609" i="29"/>
  <c r="Q565" i="29"/>
  <c r="L374" i="29"/>
  <c r="N313" i="29"/>
  <c r="M513" i="29"/>
  <c r="N625" i="29"/>
  <c r="P807" i="29"/>
  <c r="P639" i="29"/>
  <c r="N907" i="29"/>
  <c r="N87" i="29"/>
  <c r="N716" i="29"/>
  <c r="K846" i="29"/>
  <c r="M309" i="29"/>
  <c r="R291" i="29"/>
  <c r="M574" i="29"/>
  <c r="N471" i="29"/>
  <c r="R92" i="29"/>
  <c r="N871" i="29"/>
  <c r="K687" i="29"/>
  <c r="R173" i="29"/>
  <c r="N553" i="29"/>
  <c r="P723" i="29"/>
  <c r="L655" i="29"/>
  <c r="M222" i="29"/>
  <c r="R461" i="29"/>
  <c r="L294" i="29"/>
  <c r="K631" i="29"/>
  <c r="L909" i="29"/>
  <c r="L552" i="29"/>
  <c r="N338" i="29"/>
  <c r="R295" i="29"/>
  <c r="K325" i="29"/>
  <c r="J8" i="29"/>
  <c r="K97" i="29"/>
  <c r="M415" i="29"/>
  <c r="L643" i="29"/>
  <c r="Q142" i="29"/>
  <c r="P247" i="29"/>
  <c r="Q208" i="29"/>
  <c r="N764" i="29"/>
  <c r="Q781" i="29"/>
  <c r="Q587" i="29"/>
  <c r="R94" i="29"/>
  <c r="R262" i="29"/>
  <c r="L411" i="29"/>
  <c r="N769" i="29"/>
  <c r="R481" i="29"/>
  <c r="Q187" i="29"/>
  <c r="L542" i="29"/>
  <c r="N639" i="29"/>
  <c r="Q319" i="29"/>
  <c r="R13" i="29"/>
  <c r="F654" i="29"/>
  <c r="L441" i="29"/>
  <c r="K702" i="29"/>
  <c r="K852" i="29"/>
  <c r="L810" i="29"/>
  <c r="M422" i="29"/>
  <c r="M293" i="29"/>
  <c r="L379" i="29"/>
  <c r="N546" i="29"/>
  <c r="P246" i="29"/>
  <c r="M793" i="29"/>
  <c r="R441" i="29"/>
  <c r="R165" i="29"/>
  <c r="N831" i="29"/>
  <c r="K366" i="29"/>
  <c r="P129" i="29"/>
  <c r="K544" i="29"/>
  <c r="P206" i="29"/>
  <c r="K800" i="29"/>
  <c r="P288" i="29"/>
  <c r="Q135" i="29"/>
  <c r="R326" i="29"/>
  <c r="P784" i="29"/>
  <c r="Q732" i="29"/>
  <c r="P478" i="29"/>
  <c r="P169" i="29"/>
  <c r="P669" i="29"/>
  <c r="P696" i="29"/>
  <c r="K415" i="29"/>
  <c r="Q82" i="29"/>
  <c r="C601" i="29"/>
  <c r="G883" i="29"/>
  <c r="K741" i="29"/>
  <c r="M231" i="29"/>
  <c r="M689" i="29"/>
  <c r="M608" i="29"/>
  <c r="M119" i="29"/>
  <c r="K580" i="29"/>
  <c r="L164" i="29"/>
  <c r="Q362" i="29"/>
  <c r="K416" i="29"/>
  <c r="Q351" i="29"/>
  <c r="L720" i="29"/>
  <c r="Q358" i="29"/>
  <c r="R198" i="29"/>
  <c r="Q675" i="29"/>
  <c r="R76" i="29"/>
  <c r="R388" i="29"/>
  <c r="C600" i="29"/>
  <c r="P831" i="29"/>
  <c r="R120" i="29"/>
  <c r="R169" i="29"/>
  <c r="K121" i="29"/>
  <c r="Q217" i="29"/>
  <c r="R843" i="29"/>
  <c r="R23" i="29"/>
  <c r="M635" i="29"/>
  <c r="P267" i="29"/>
  <c r="Q267" i="29"/>
  <c r="Q727" i="29"/>
  <c r="L601" i="29"/>
  <c r="D827" i="29"/>
  <c r="M410" i="29"/>
  <c r="N874" i="29"/>
  <c r="L749" i="29"/>
  <c r="E892" i="29"/>
  <c r="K278" i="29"/>
  <c r="L359" i="29"/>
  <c r="M530" i="29"/>
  <c r="P107" i="29"/>
  <c r="P209" i="29"/>
  <c r="N858" i="29"/>
  <c r="M371" i="29"/>
  <c r="Q854" i="29"/>
  <c r="N540" i="29"/>
  <c r="J359" i="29"/>
  <c r="K434" i="29"/>
  <c r="P616" i="29"/>
  <c r="P132" i="29"/>
  <c r="L329" i="29"/>
  <c r="R283" i="29"/>
  <c r="F830" i="29"/>
  <c r="K915" i="29"/>
  <c r="N539" i="29"/>
  <c r="P670" i="29"/>
  <c r="L641" i="29"/>
  <c r="M369" i="29"/>
  <c r="P823" i="29"/>
  <c r="R14" i="29"/>
  <c r="L230" i="29"/>
  <c r="L859" i="29"/>
  <c r="N729" i="29"/>
  <c r="K317" i="29"/>
  <c r="K70" i="29"/>
  <c r="L610" i="29"/>
  <c r="N156" i="29"/>
  <c r="N781" i="29"/>
  <c r="L239" i="29"/>
  <c r="K763" i="29"/>
  <c r="L817" i="29"/>
  <c r="N911" i="29"/>
  <c r="R137" i="29"/>
  <c r="P647" i="29"/>
  <c r="P450" i="29"/>
  <c r="M465" i="29"/>
  <c r="P488" i="29"/>
  <c r="Q228" i="29"/>
  <c r="K704" i="29"/>
  <c r="Q179" i="29"/>
  <c r="R566" i="29"/>
  <c r="P59" i="29"/>
  <c r="L697" i="29"/>
  <c r="R146" i="29"/>
  <c r="P162" i="29"/>
  <c r="N643" i="29"/>
  <c r="M744" i="29"/>
  <c r="R220" i="29"/>
  <c r="L764" i="29"/>
  <c r="J858" i="29"/>
  <c r="L370" i="29"/>
  <c r="K216" i="29"/>
  <c r="E820" i="29"/>
  <c r="M469" i="29"/>
  <c r="K347" i="29"/>
  <c r="K31" i="29"/>
  <c r="N335" i="29"/>
  <c r="Q280" i="29"/>
  <c r="M679" i="29"/>
  <c r="K514" i="29"/>
  <c r="P166" i="29"/>
  <c r="P306" i="29"/>
  <c r="K744" i="29"/>
  <c r="K718" i="29"/>
  <c r="R346" i="29"/>
  <c r="P842" i="29"/>
  <c r="L512" i="29"/>
  <c r="N636" i="29"/>
  <c r="N614" i="29"/>
  <c r="L747" i="29"/>
  <c r="M602" i="29"/>
  <c r="P878" i="29"/>
  <c r="P844" i="29"/>
  <c r="K706" i="29"/>
  <c r="M678" i="29"/>
  <c r="M895" i="29"/>
  <c r="L627" i="29"/>
  <c r="K689" i="29"/>
  <c r="M866" i="29"/>
  <c r="R717" i="29"/>
  <c r="L306" i="29"/>
  <c r="N733" i="29"/>
  <c r="N810" i="29"/>
  <c r="K482" i="29"/>
  <c r="J582" i="29"/>
  <c r="Q321" i="29"/>
  <c r="N668" i="29"/>
  <c r="M477" i="29"/>
  <c r="K779" i="29"/>
  <c r="Q789" i="29"/>
  <c r="N731" i="29"/>
  <c r="R54" i="29"/>
  <c r="R487" i="29"/>
  <c r="Q38" i="29"/>
  <c r="C294" i="29"/>
  <c r="Q22" i="29"/>
  <c r="J170" i="29"/>
  <c r="M900" i="29"/>
  <c r="C274" i="29"/>
  <c r="P530" i="29"/>
  <c r="J402" i="29"/>
  <c r="L636" i="29"/>
  <c r="J694" i="29"/>
  <c r="Q641" i="29"/>
  <c r="R331" i="29"/>
  <c r="R698" i="29"/>
  <c r="P571" i="29"/>
  <c r="C13" i="29"/>
  <c r="Q708" i="29"/>
  <c r="Q118" i="29"/>
  <c r="L156" i="29"/>
  <c r="N365" i="29"/>
  <c r="Q175" i="29"/>
  <c r="N520" i="29"/>
  <c r="N31" i="29"/>
  <c r="D901" i="29"/>
  <c r="J40" i="29"/>
  <c r="K129" i="29"/>
  <c r="N29" i="29"/>
  <c r="L390" i="29"/>
  <c r="P57" i="29"/>
  <c r="Q355" i="29"/>
  <c r="M804" i="29"/>
  <c r="R868" i="29"/>
  <c r="N679" i="29"/>
  <c r="N891" i="29"/>
  <c r="N856" i="29"/>
  <c r="K830" i="29"/>
  <c r="P688" i="29"/>
  <c r="L620" i="29"/>
  <c r="M680" i="29"/>
  <c r="Q103" i="29"/>
  <c r="Q42" i="29"/>
  <c r="N746" i="29"/>
  <c r="M916" i="29"/>
  <c r="N671" i="29"/>
  <c r="N154" i="29"/>
  <c r="N293" i="29"/>
  <c r="F834" i="29"/>
  <c r="K886" i="29"/>
  <c r="K288" i="29"/>
  <c r="P265" i="29"/>
  <c r="Q458" i="29"/>
  <c r="L853" i="29"/>
  <c r="N812" i="29"/>
  <c r="K506" i="29"/>
  <c r="N830" i="29"/>
  <c r="P142" i="29"/>
  <c r="J269" i="29"/>
  <c r="M440" i="29"/>
  <c r="R188" i="29"/>
  <c r="K212" i="29"/>
  <c r="N570" i="29"/>
  <c r="Q134" i="29"/>
  <c r="P413" i="29"/>
  <c r="M503" i="29"/>
  <c r="M481" i="29"/>
  <c r="M267" i="29"/>
  <c r="N914" i="29"/>
  <c r="L672" i="29"/>
  <c r="N63" i="29"/>
  <c r="P215" i="29"/>
  <c r="N541" i="29"/>
  <c r="M777" i="29"/>
  <c r="K351" i="29"/>
  <c r="L504" i="29"/>
  <c r="N390" i="29"/>
  <c r="K790" i="29"/>
  <c r="Q606" i="29"/>
  <c r="N7" i="29"/>
  <c r="N175" i="29"/>
  <c r="P687" i="29"/>
  <c r="R18" i="29"/>
  <c r="N202" i="29"/>
  <c r="P253" i="29"/>
  <c r="R310" i="29"/>
  <c r="N676" i="29"/>
  <c r="P41" i="29"/>
  <c r="R693" i="29"/>
  <c r="R786" i="29"/>
  <c r="K609" i="29"/>
  <c r="N653" i="29"/>
  <c r="R186" i="29"/>
  <c r="R527" i="29"/>
  <c r="M402" i="29"/>
  <c r="L262" i="29"/>
  <c r="Q15" i="29"/>
  <c r="E914" i="29"/>
  <c r="K315" i="29"/>
  <c r="M111" i="29"/>
  <c r="M297" i="29"/>
  <c r="N211" i="29"/>
  <c r="N682" i="29"/>
  <c r="L905" i="29"/>
  <c r="K792" i="29"/>
  <c r="Q320" i="29"/>
  <c r="M683" i="29"/>
  <c r="P230" i="29"/>
  <c r="P37" i="29"/>
  <c r="Q680" i="29"/>
  <c r="Q422" i="29"/>
  <c r="L822" i="29"/>
  <c r="Q32" i="29"/>
  <c r="M752" i="29"/>
  <c r="P378" i="29"/>
  <c r="J160" i="29"/>
  <c r="P276" i="29"/>
  <c r="P363" i="29"/>
  <c r="L866" i="29"/>
  <c r="L647" i="29"/>
  <c r="Q230" i="29"/>
  <c r="N358" i="29"/>
  <c r="M421" i="29"/>
  <c r="M506" i="29"/>
  <c r="Q796" i="29"/>
  <c r="Q153" i="29"/>
  <c r="M628" i="29"/>
  <c r="M532" i="29"/>
  <c r="P422" i="29"/>
  <c r="N22" i="29"/>
  <c r="H886" i="29"/>
  <c r="L158" i="29"/>
  <c r="M567" i="29"/>
  <c r="H855" i="29"/>
  <c r="M37" i="29"/>
  <c r="K57" i="29"/>
  <c r="N638" i="29"/>
  <c r="M736" i="29"/>
  <c r="Q771" i="29"/>
  <c r="R475" i="29"/>
  <c r="K382" i="29"/>
  <c r="N596" i="29"/>
  <c r="Q122" i="29"/>
  <c r="P109" i="29"/>
  <c r="K867" i="29"/>
  <c r="N626" i="29"/>
  <c r="L907" i="29"/>
  <c r="Q574" i="29"/>
  <c r="N556" i="29"/>
  <c r="R25" i="29"/>
  <c r="N817" i="29"/>
  <c r="N317" i="29"/>
  <c r="Q352" i="29"/>
  <c r="P625" i="29"/>
  <c r="P533" i="29"/>
  <c r="M185" i="29"/>
  <c r="M780" i="29"/>
  <c r="R57" i="29"/>
  <c r="N112" i="29"/>
  <c r="L221" i="29"/>
  <c r="K133" i="29"/>
  <c r="M842" i="29"/>
  <c r="N301" i="29"/>
  <c r="K498" i="29"/>
  <c r="P285" i="29"/>
  <c r="M445" i="29"/>
  <c r="K698" i="29"/>
  <c r="P520" i="29"/>
  <c r="P211" i="29"/>
  <c r="Q30" i="29"/>
  <c r="P310" i="29"/>
  <c r="Q528" i="29"/>
  <c r="P574" i="29"/>
  <c r="M594" i="29"/>
  <c r="N577" i="29"/>
  <c r="M755" i="29"/>
  <c r="R407" i="29"/>
  <c r="L712" i="29"/>
  <c r="R397" i="29"/>
  <c r="Q476" i="29"/>
  <c r="L562" i="29"/>
  <c r="L586" i="29"/>
  <c r="P290" i="29"/>
  <c r="L835" i="29"/>
  <c r="P279" i="29"/>
  <c r="J468" i="29"/>
  <c r="K728" i="29"/>
  <c r="P348" i="29"/>
  <c r="L767" i="29"/>
  <c r="K737" i="29"/>
  <c r="L102" i="29"/>
  <c r="N476" i="29"/>
  <c r="K583" i="29"/>
  <c r="Q570" i="29"/>
  <c r="R89" i="29"/>
  <c r="P803" i="29"/>
  <c r="R401" i="29"/>
  <c r="R285" i="29"/>
  <c r="N517" i="29"/>
  <c r="Q699" i="29"/>
  <c r="R726" i="29"/>
  <c r="L870" i="29"/>
  <c r="L735" i="29"/>
  <c r="R87" i="29"/>
  <c r="L231" i="29"/>
  <c r="J753" i="29"/>
  <c r="R685" i="29"/>
  <c r="R877" i="29"/>
  <c r="K775" i="29"/>
  <c r="N686" i="29"/>
  <c r="P87" i="29"/>
  <c r="K735" i="29"/>
  <c r="Q44" i="29"/>
  <c r="L447" i="29"/>
  <c r="N785" i="29"/>
  <c r="J341" i="29"/>
  <c r="K613" i="29"/>
  <c r="L727" i="29"/>
  <c r="P309" i="29"/>
  <c r="Q83" i="29"/>
  <c r="P411" i="29"/>
  <c r="N384" i="29"/>
  <c r="K620" i="29"/>
  <c r="N714" i="29"/>
  <c r="M355" i="29"/>
  <c r="N492" i="29"/>
  <c r="Q210" i="29"/>
  <c r="P331" i="29"/>
  <c r="L336" i="29"/>
  <c r="L873" i="29"/>
  <c r="L555" i="29"/>
  <c r="P517" i="29"/>
  <c r="M531" i="29"/>
  <c r="K615" i="29"/>
  <c r="K586" i="29"/>
  <c r="Q599" i="29"/>
  <c r="Q915" i="29"/>
  <c r="K771" i="29"/>
  <c r="Q642" i="29"/>
  <c r="N527" i="29"/>
  <c r="Q60" i="29"/>
  <c r="M349" i="29"/>
  <c r="R60" i="29"/>
  <c r="N410" i="29"/>
  <c r="R202" i="29"/>
  <c r="P335" i="29"/>
  <c r="K132" i="29"/>
  <c r="P273" i="29"/>
  <c r="J353" i="29"/>
  <c r="R256" i="29"/>
  <c r="N486" i="29"/>
  <c r="P140" i="29"/>
  <c r="K513" i="29"/>
  <c r="K740" i="29"/>
  <c r="P52" i="29"/>
  <c r="P326" i="29"/>
  <c r="N748" i="29"/>
  <c r="P675" i="29"/>
  <c r="N850" i="29"/>
  <c r="M245" i="29"/>
  <c r="D884" i="29"/>
  <c r="M384" i="29"/>
  <c r="Q45" i="29"/>
  <c r="M400" i="29"/>
  <c r="J203" i="29"/>
  <c r="M887" i="29"/>
  <c r="M717" i="29"/>
  <c r="M750" i="29"/>
  <c r="Q896" i="29"/>
  <c r="R74" i="29"/>
  <c r="R678" i="29"/>
  <c r="P28" i="29"/>
  <c r="M877" i="29"/>
  <c r="R636" i="29"/>
  <c r="N761" i="29"/>
  <c r="L878" i="29"/>
  <c r="Q620" i="29"/>
  <c r="Q299" i="29"/>
  <c r="J553" i="29"/>
  <c r="Q221" i="29"/>
  <c r="Q151" i="29"/>
  <c r="L42" i="29"/>
  <c r="N531" i="29"/>
  <c r="Q10" i="29"/>
  <c r="L598" i="29"/>
  <c r="R279" i="29"/>
  <c r="K512" i="29"/>
  <c r="Q167" i="29"/>
  <c r="K532" i="29"/>
  <c r="N58" i="29"/>
  <c r="N849" i="29"/>
  <c r="K755" i="29"/>
  <c r="Q455" i="29"/>
  <c r="Q340" i="29"/>
  <c r="M743" i="29"/>
  <c r="M474" i="29"/>
  <c r="L717" i="29"/>
  <c r="P590" i="29"/>
  <c r="P812" i="29"/>
  <c r="R67" i="29"/>
  <c r="R43" i="29"/>
  <c r="R738" i="29"/>
  <c r="M669" i="29"/>
  <c r="R32" i="29"/>
  <c r="R130" i="29"/>
  <c r="Q800" i="29"/>
  <c r="M835" i="29"/>
  <c r="N549" i="29"/>
  <c r="P168" i="29"/>
  <c r="P572" i="29"/>
  <c r="R462" i="29"/>
  <c r="M856" i="29"/>
  <c r="M812" i="29"/>
  <c r="G778" i="29"/>
  <c r="K562" i="29"/>
  <c r="K576" i="29"/>
  <c r="M13" i="29"/>
  <c r="M754" i="29"/>
  <c r="D764" i="29"/>
  <c r="K414" i="29"/>
  <c r="L417" i="29"/>
  <c r="P103" i="29"/>
  <c r="M523" i="29"/>
  <c r="N722" i="29"/>
  <c r="P27" i="29"/>
  <c r="P409" i="29"/>
  <c r="M595" i="29"/>
  <c r="N662" i="29"/>
  <c r="N479" i="29"/>
  <c r="Q161" i="29"/>
  <c r="R17" i="29"/>
  <c r="K500" i="29"/>
  <c r="N637" i="29"/>
  <c r="R750" i="29"/>
  <c r="R483" i="29"/>
  <c r="N768" i="29"/>
  <c r="R600" i="29"/>
  <c r="K881" i="29"/>
  <c r="M413" i="29"/>
  <c r="Q447" i="29"/>
  <c r="R909" i="29"/>
  <c r="N873" i="29"/>
  <c r="K157" i="29"/>
  <c r="L683" i="29"/>
  <c r="N616" i="29"/>
  <c r="N466" i="29"/>
  <c r="L47" i="29"/>
  <c r="M414" i="29"/>
  <c r="L583" i="29"/>
  <c r="K277" i="29"/>
  <c r="N750" i="29"/>
  <c r="R336" i="29"/>
  <c r="N469" i="29"/>
  <c r="M769" i="29"/>
  <c r="M885" i="29"/>
  <c r="Q591" i="29"/>
  <c r="M709" i="29"/>
  <c r="K871" i="29"/>
  <c r="R536" i="29"/>
  <c r="P451" i="29"/>
  <c r="J298" i="29"/>
  <c r="N593" i="29"/>
  <c r="P568" i="29"/>
  <c r="P654" i="29"/>
  <c r="M610" i="29"/>
  <c r="R45" i="29"/>
  <c r="P592" i="29"/>
  <c r="N771" i="29"/>
  <c r="Q808" i="29"/>
  <c r="C795" i="29"/>
  <c r="P333" i="29"/>
  <c r="K139" i="29"/>
  <c r="K616" i="29"/>
  <c r="Q5" i="29"/>
  <c r="K646" i="29"/>
  <c r="M366" i="29"/>
  <c r="P94" i="29"/>
  <c r="M765" i="29"/>
  <c r="L333" i="29"/>
  <c r="K727" i="29"/>
  <c r="L490" i="29"/>
  <c r="R22" i="29"/>
  <c r="R229" i="29"/>
  <c r="Q833" i="29"/>
  <c r="J438" i="29"/>
  <c r="K376" i="29"/>
  <c r="J409" i="29"/>
  <c r="Q751" i="29"/>
  <c r="P62" i="29"/>
  <c r="L600" i="29"/>
  <c r="M488" i="29"/>
  <c r="P439" i="29"/>
  <c r="P235" i="29"/>
  <c r="P338" i="29"/>
  <c r="P743" i="29"/>
  <c r="K809" i="29"/>
  <c r="P297" i="29"/>
  <c r="R241" i="29"/>
  <c r="P414" i="29"/>
  <c r="D779" i="29"/>
  <c r="L178" i="29"/>
  <c r="L173" i="29"/>
  <c r="L595" i="29"/>
  <c r="M748" i="29"/>
  <c r="M616" i="29"/>
  <c r="J316" i="29"/>
  <c r="K680" i="29"/>
  <c r="R608" i="29"/>
  <c r="M289" i="29"/>
  <c r="N336" i="29"/>
  <c r="J904" i="29"/>
  <c r="J813" i="29"/>
  <c r="R315" i="29"/>
  <c r="N728" i="29"/>
  <c r="P7" i="29"/>
  <c r="P210" i="29"/>
  <c r="J766" i="29"/>
  <c r="L184" i="29"/>
  <c r="N674" i="29"/>
  <c r="Q780" i="29"/>
  <c r="L722" i="29"/>
  <c r="L428" i="29"/>
  <c r="N409" i="29"/>
  <c r="P384" i="29"/>
  <c r="R77" i="29"/>
  <c r="N647" i="29"/>
  <c r="P143" i="29"/>
  <c r="R858" i="29"/>
  <c r="P827" i="29"/>
  <c r="K912" i="29"/>
  <c r="R274" i="29"/>
  <c r="N328" i="29"/>
  <c r="L463" i="29"/>
  <c r="L787" i="29"/>
  <c r="Q775" i="29"/>
  <c r="R79" i="29"/>
  <c r="P320" i="29"/>
  <c r="L765" i="29"/>
  <c r="M382" i="29"/>
  <c r="M899" i="29"/>
  <c r="P73" i="29"/>
  <c r="L814" i="29"/>
  <c r="P44" i="29"/>
  <c r="C811" i="29"/>
  <c r="Q566" i="29"/>
  <c r="L864" i="29"/>
  <c r="P910" i="29"/>
  <c r="J859" i="29"/>
  <c r="M238" i="29"/>
  <c r="M383" i="29"/>
  <c r="K372" i="29"/>
  <c r="K481" i="29"/>
  <c r="K624" i="29"/>
  <c r="K670" i="29"/>
  <c r="P63" i="29"/>
  <c r="N47" i="29"/>
  <c r="Q825" i="29"/>
  <c r="N446" i="29"/>
  <c r="P379" i="29"/>
  <c r="K533" i="29"/>
  <c r="Q366" i="29"/>
  <c r="K112" i="29"/>
  <c r="L632" i="29"/>
  <c r="R305" i="29"/>
  <c r="N518" i="29"/>
  <c r="R231" i="29"/>
  <c r="N725" i="29"/>
  <c r="K160" i="29"/>
  <c r="L303" i="29"/>
  <c r="M65" i="29"/>
  <c r="N548" i="29"/>
  <c r="M173" i="29"/>
  <c r="N168" i="29"/>
  <c r="M206" i="29"/>
  <c r="J293" i="29"/>
  <c r="R213" i="29"/>
  <c r="R269" i="29"/>
  <c r="M718" i="29"/>
  <c r="K872" i="29"/>
  <c r="P516" i="29"/>
  <c r="Q625" i="29"/>
  <c r="N724" i="29"/>
  <c r="Q72" i="29"/>
  <c r="L520" i="29"/>
  <c r="N406" i="29"/>
  <c r="Q152" i="29"/>
  <c r="Q197" i="29"/>
  <c r="N685" i="29"/>
  <c r="R316" i="29"/>
  <c r="R330" i="29"/>
  <c r="E824" i="29"/>
  <c r="K408" i="29"/>
  <c r="K697" i="29"/>
  <c r="K264" i="29"/>
  <c r="N383" i="29"/>
  <c r="L14" i="29"/>
  <c r="J14" i="29" s="1"/>
  <c r="M756" i="29"/>
  <c r="K284" i="29"/>
  <c r="K530" i="29"/>
  <c r="R148" i="29"/>
  <c r="P314" i="29"/>
  <c r="K313" i="29"/>
  <c r="Q748" i="29"/>
  <c r="P114" i="29"/>
  <c r="Q58" i="29"/>
  <c r="M456" i="29"/>
  <c r="Q782" i="29"/>
  <c r="Q878" i="29"/>
  <c r="M800" i="29"/>
  <c r="R8" i="29"/>
  <c r="Q873" i="29"/>
  <c r="M707" i="29"/>
  <c r="N656" i="29"/>
  <c r="J476" i="29"/>
  <c r="R800" i="29"/>
  <c r="L882" i="29"/>
  <c r="N569" i="29"/>
  <c r="Q250" i="29"/>
  <c r="M463" i="29"/>
  <c r="K754" i="29"/>
  <c r="K745" i="29"/>
  <c r="R606" i="29"/>
  <c r="C859" i="29"/>
  <c r="M478" i="29"/>
  <c r="M232" i="29"/>
  <c r="M763" i="29"/>
  <c r="K634" i="29"/>
  <c r="L710" i="29"/>
  <c r="N184" i="29"/>
  <c r="R51" i="29"/>
  <c r="L779" i="29"/>
  <c r="R223" i="29"/>
  <c r="L719" i="29"/>
  <c r="L761" i="29"/>
  <c r="L584" i="29"/>
  <c r="R616" i="29"/>
  <c r="Q170" i="29"/>
  <c r="N736" i="29"/>
  <c r="N879" i="29"/>
  <c r="K524" i="29"/>
  <c r="P69" i="29"/>
  <c r="Q264" i="29"/>
  <c r="L733" i="29"/>
  <c r="K375" i="29"/>
  <c r="Q500" i="29"/>
  <c r="R645" i="29"/>
  <c r="M479" i="29"/>
  <c r="K751" i="29"/>
  <c r="R242" i="29"/>
  <c r="J531" i="29"/>
  <c r="L368" i="29"/>
  <c r="N35" i="29"/>
  <c r="L195" i="29"/>
  <c r="J139" i="29"/>
  <c r="N484" i="29"/>
  <c r="N787" i="29"/>
  <c r="N180" i="29"/>
  <c r="L845" i="29"/>
  <c r="E862" i="29"/>
  <c r="M227" i="29"/>
  <c r="K638" i="29"/>
  <c r="R195" i="29"/>
  <c r="N857" i="29"/>
  <c r="Q459" i="29"/>
  <c r="R805" i="29"/>
  <c r="P204" i="29"/>
  <c r="L651" i="29"/>
  <c r="P325" i="29"/>
  <c r="P586" i="29"/>
  <c r="P100" i="29"/>
  <c r="N599" i="29"/>
  <c r="Q269" i="29"/>
  <c r="L631" i="29"/>
  <c r="N802" i="29"/>
  <c r="Q485" i="29"/>
  <c r="Q402" i="29"/>
  <c r="L857" i="29"/>
  <c r="L554" i="29"/>
  <c r="R297" i="29"/>
  <c r="N413" i="29"/>
  <c r="L33" i="29"/>
  <c r="N12" i="29"/>
  <c r="P160" i="29"/>
  <c r="P362" i="29"/>
  <c r="L497" i="29"/>
  <c r="K20" i="29"/>
  <c r="L516" i="29"/>
  <c r="L319" i="29"/>
  <c r="M720" i="29"/>
  <c r="M761" i="29"/>
  <c r="M704" i="29"/>
  <c r="D841" i="29"/>
  <c r="Q345" i="29"/>
  <c r="L780" i="29"/>
  <c r="Q253" i="29"/>
  <c r="L270" i="29"/>
  <c r="M386" i="29"/>
  <c r="N561" i="29"/>
  <c r="N435" i="29"/>
  <c r="P65" i="29"/>
  <c r="P738" i="29"/>
  <c r="P76" i="29"/>
  <c r="K914" i="29"/>
  <c r="M528" i="29"/>
  <c r="L514" i="29"/>
  <c r="M20" i="29"/>
  <c r="M693" i="29"/>
  <c r="M859" i="29"/>
  <c r="H896" i="29"/>
  <c r="N737" i="29"/>
  <c r="K495" i="29"/>
  <c r="R312" i="29"/>
  <c r="N528" i="29"/>
  <c r="K464" i="29"/>
  <c r="K355" i="29"/>
  <c r="L299" i="29"/>
  <c r="M845" i="29"/>
  <c r="P225" i="29"/>
  <c r="M408" i="29"/>
  <c r="M502" i="29"/>
  <c r="N780" i="29"/>
  <c r="R471" i="29"/>
  <c r="K695" i="29"/>
  <c r="M629" i="29"/>
  <c r="K420" i="29"/>
  <c r="K879" i="29"/>
  <c r="R342" i="29"/>
  <c r="Q279" i="29"/>
  <c r="P864" i="29"/>
  <c r="K773" i="29"/>
  <c r="L700" i="29"/>
  <c r="R583" i="29"/>
  <c r="M603" i="29"/>
  <c r="N396" i="29"/>
  <c r="M705" i="29"/>
  <c r="Q583" i="29"/>
  <c r="L371" i="29"/>
  <c r="N289" i="29"/>
  <c r="L659" i="29"/>
  <c r="P707" i="29"/>
  <c r="K92" i="29"/>
  <c r="P54" i="29"/>
  <c r="R344" i="29"/>
  <c r="P818" i="29"/>
  <c r="P555" i="29"/>
  <c r="R477" i="29"/>
  <c r="Q288" i="29"/>
  <c r="L626" i="29"/>
  <c r="R69" i="29"/>
  <c r="L471" i="29"/>
  <c r="R304" i="29"/>
  <c r="Q125" i="29"/>
  <c r="K748" i="29"/>
  <c r="P808" i="29"/>
  <c r="P519" i="29"/>
  <c r="Q523" i="29"/>
  <c r="C339" i="29"/>
  <c r="Q887" i="29"/>
  <c r="Q616" i="29"/>
  <c r="M860" i="29"/>
  <c r="C411" i="29"/>
  <c r="R854" i="29"/>
  <c r="Q809" i="29"/>
  <c r="C508" i="29"/>
  <c r="M538" i="29"/>
  <c r="R307" i="29"/>
  <c r="C351" i="29"/>
  <c r="R464" i="29"/>
  <c r="R140" i="29"/>
  <c r="Q542" i="29"/>
  <c r="N631" i="29"/>
  <c r="P504" i="29"/>
  <c r="K387" i="29"/>
  <c r="L318" i="29"/>
  <c r="M815" i="29"/>
  <c r="Q768" i="29"/>
  <c r="M749" i="29"/>
  <c r="K644" i="29"/>
  <c r="Q914" i="29"/>
  <c r="K908" i="29"/>
  <c r="M541" i="29"/>
  <c r="R745" i="29"/>
  <c r="P837" i="29"/>
  <c r="P840" i="29"/>
  <c r="R829" i="29"/>
  <c r="R502" i="29"/>
  <c r="C428" i="29"/>
  <c r="R841" i="29"/>
  <c r="Q589" i="29"/>
  <c r="P662" i="29"/>
  <c r="C363" i="29"/>
  <c r="R281" i="29"/>
  <c r="Q444" i="29"/>
  <c r="C706" i="29"/>
  <c r="R110" i="29"/>
  <c r="R491" i="29"/>
  <c r="P332" i="29"/>
  <c r="M529" i="29"/>
  <c r="L535" i="29"/>
  <c r="N565" i="29"/>
  <c r="L793" i="29"/>
  <c r="M607" i="29"/>
  <c r="L236" i="29"/>
  <c r="P792" i="29"/>
  <c r="C43" i="29"/>
  <c r="P85" i="29"/>
  <c r="R804" i="29"/>
  <c r="Q339" i="29"/>
  <c r="K683" i="29"/>
  <c r="K599" i="29"/>
  <c r="N582" i="29"/>
  <c r="R445" i="29"/>
  <c r="K887" i="29"/>
  <c r="M8" i="29"/>
  <c r="Q666" i="29"/>
  <c r="J417" i="29"/>
  <c r="P563" i="29"/>
  <c r="K884" i="29"/>
  <c r="P259" i="29"/>
  <c r="P546" i="29"/>
  <c r="J634" i="29"/>
  <c r="P673" i="29"/>
  <c r="Q361" i="29"/>
  <c r="P916" i="29"/>
  <c r="Q399" i="29"/>
  <c r="Q286" i="29"/>
  <c r="K595" i="29"/>
  <c r="F813" i="29"/>
  <c r="P251" i="29"/>
  <c r="P366" i="29"/>
  <c r="M181" i="29"/>
  <c r="P182" i="29"/>
  <c r="K427" i="29"/>
  <c r="L327" i="29"/>
  <c r="N806" i="29"/>
  <c r="K678" i="29"/>
  <c r="Q235" i="29"/>
  <c r="P809" i="29"/>
  <c r="R332" i="29"/>
  <c r="Q328" i="29"/>
  <c r="N894" i="29"/>
  <c r="R831" i="29"/>
  <c r="P663" i="29"/>
  <c r="K762" i="29"/>
  <c r="L893" i="29"/>
  <c r="R122" i="29"/>
  <c r="Q81" i="29"/>
  <c r="R525" i="29"/>
  <c r="Q665" i="29"/>
  <c r="C540" i="29"/>
  <c r="Q112" i="29"/>
  <c r="R812" i="29"/>
  <c r="R855" i="29"/>
  <c r="C793" i="29"/>
  <c r="P280" i="29"/>
  <c r="R899" i="29"/>
  <c r="C717" i="29"/>
  <c r="Q742" i="29"/>
  <c r="N296" i="29"/>
  <c r="N271" i="29"/>
  <c r="R453" i="29"/>
  <c r="R65" i="29"/>
  <c r="R28" i="29"/>
  <c r="R356" i="29"/>
  <c r="L642" i="29"/>
  <c r="Q438" i="29"/>
  <c r="P595" i="29"/>
  <c r="N318" i="29"/>
  <c r="N783" i="29"/>
  <c r="P759" i="29"/>
  <c r="R347" i="29"/>
  <c r="R634" i="29"/>
  <c r="R470" i="29"/>
  <c r="Q326" i="29"/>
  <c r="J52" i="29"/>
  <c r="Q764" i="29"/>
  <c r="P535" i="29"/>
  <c r="Q738" i="29"/>
  <c r="N819" i="29"/>
  <c r="Q338" i="29"/>
  <c r="Q593" i="29"/>
  <c r="Q724" i="29"/>
  <c r="R402" i="29"/>
  <c r="R150" i="29"/>
  <c r="L78" i="29"/>
  <c r="R675" i="29"/>
  <c r="L425" i="29"/>
  <c r="Q354" i="29"/>
  <c r="M891" i="29"/>
  <c r="K708" i="29"/>
  <c r="M666" i="29"/>
  <c r="M881" i="29"/>
  <c r="R582" i="29"/>
  <c r="M858" i="29"/>
  <c r="M447" i="29"/>
  <c r="P880" i="29"/>
  <c r="Q791" i="29"/>
  <c r="R199" i="29"/>
  <c r="P538" i="29"/>
  <c r="R422" i="29"/>
  <c r="C711" i="29"/>
  <c r="Q333" i="29"/>
  <c r="Q248" i="29"/>
  <c r="Q772" i="29"/>
  <c r="N730" i="29"/>
  <c r="R889" i="29"/>
  <c r="R39" i="29"/>
  <c r="C56" i="29"/>
  <c r="R455" i="29"/>
  <c r="R682" i="29"/>
  <c r="R252" i="29"/>
  <c r="J272" i="29"/>
  <c r="P560" i="29"/>
  <c r="Q460" i="29"/>
  <c r="M820" i="29"/>
  <c r="M339" i="29"/>
  <c r="P53" i="29"/>
  <c r="R139" i="29"/>
  <c r="N892" i="29"/>
  <c r="R172" i="29"/>
  <c r="K788" i="29"/>
  <c r="M280" i="29"/>
  <c r="P854" i="29"/>
  <c r="M703" i="29"/>
  <c r="Q110" i="29"/>
  <c r="K622" i="29"/>
  <c r="P38" i="29"/>
  <c r="P341" i="29"/>
  <c r="M883" i="29"/>
  <c r="Q149" i="29"/>
  <c r="C637" i="29"/>
  <c r="Q191" i="29"/>
  <c r="Q429" i="29"/>
  <c r="P456" i="29"/>
  <c r="J613" i="29"/>
  <c r="Q265" i="29"/>
  <c r="Q624" i="29"/>
  <c r="Q766" i="29"/>
  <c r="R596" i="29"/>
  <c r="R820" i="29"/>
  <c r="R73" i="29"/>
  <c r="L898" i="29"/>
  <c r="K705" i="29"/>
  <c r="P806" i="29"/>
  <c r="L585" i="29"/>
  <c r="Q37" i="29"/>
  <c r="M903" i="29"/>
  <c r="N607" i="29"/>
  <c r="N688" i="29"/>
  <c r="R194" i="29"/>
  <c r="K650" i="29"/>
  <c r="L843" i="29"/>
  <c r="R63" i="29"/>
  <c r="Q535" i="29"/>
  <c r="P97" i="29"/>
  <c r="Q496" i="29"/>
  <c r="R823" i="29"/>
  <c r="Q690" i="29"/>
  <c r="Q165" i="29"/>
  <c r="Q162" i="29"/>
  <c r="J807" i="29"/>
  <c r="Q900" i="29"/>
  <c r="R418" i="29"/>
  <c r="R311" i="29"/>
  <c r="R679" i="29"/>
  <c r="R811" i="29"/>
  <c r="Q578" i="29"/>
  <c r="Q687" i="29"/>
  <c r="Q894" i="29"/>
  <c r="Q261" i="29"/>
  <c r="J808" i="29"/>
  <c r="N535" i="29"/>
  <c r="K869" i="29"/>
  <c r="P343" i="29"/>
  <c r="R656" i="29"/>
  <c r="K391" i="29"/>
  <c r="J667" i="29"/>
  <c r="Q817" i="29"/>
  <c r="P607" i="29"/>
  <c r="R870" i="29"/>
  <c r="J825" i="29"/>
  <c r="Q292" i="29"/>
  <c r="R580" i="29"/>
  <c r="P476" i="29"/>
  <c r="L754" i="29"/>
  <c r="M552" i="29"/>
  <c r="M830" i="29"/>
  <c r="C478" i="29"/>
  <c r="C299" i="29"/>
  <c r="R903" i="29"/>
  <c r="J243" i="29"/>
  <c r="J618" i="29"/>
  <c r="Q285" i="29"/>
  <c r="R765" i="29"/>
  <c r="J554" i="29"/>
  <c r="R442" i="29"/>
  <c r="J295" i="29"/>
  <c r="C398" i="29"/>
  <c r="C347" i="29"/>
  <c r="J857" i="29"/>
  <c r="Q592" i="29"/>
  <c r="L450" i="29"/>
  <c r="R247" i="29"/>
  <c r="R81" i="29"/>
  <c r="R638" i="29"/>
  <c r="C159" i="29"/>
  <c r="R268" i="29"/>
  <c r="P889" i="29"/>
  <c r="R619" i="29"/>
  <c r="Q390" i="29"/>
  <c r="P824" i="29"/>
  <c r="P597" i="29"/>
  <c r="R466" i="29"/>
  <c r="Q406" i="29"/>
  <c r="P510" i="29"/>
  <c r="Q847" i="29"/>
  <c r="C675" i="29"/>
  <c r="J7" i="29"/>
  <c r="C577" i="29"/>
  <c r="J70" i="29"/>
  <c r="R451" i="29"/>
  <c r="R872" i="29"/>
  <c r="C15" i="29"/>
  <c r="C705" i="29"/>
  <c r="C444" i="29"/>
  <c r="C558" i="29"/>
  <c r="J501" i="29"/>
  <c r="P799" i="29"/>
  <c r="J543" i="29"/>
  <c r="J80" i="29"/>
  <c r="R406" i="29"/>
  <c r="C636" i="29"/>
  <c r="K793" i="29"/>
  <c r="Q618" i="29"/>
  <c r="P870" i="29"/>
  <c r="J522" i="29"/>
  <c r="Q123" i="29"/>
  <c r="C681" i="29"/>
  <c r="R744" i="29"/>
  <c r="R569" i="29"/>
  <c r="Q472" i="29"/>
  <c r="J53" i="29"/>
  <c r="P324" i="29"/>
  <c r="Q632" i="29"/>
  <c r="R529" i="29"/>
  <c r="P420" i="29"/>
  <c r="R222" i="29"/>
  <c r="P613" i="29"/>
  <c r="J423" i="29"/>
  <c r="J416" i="29"/>
  <c r="J239" i="29"/>
  <c r="C199" i="29"/>
  <c r="J717" i="29"/>
  <c r="C243" i="29"/>
  <c r="Q137" i="29"/>
  <c r="R492" i="29"/>
  <c r="P470" i="29"/>
  <c r="P626" i="29"/>
  <c r="M221" i="29"/>
  <c r="Q144" i="29"/>
  <c r="M514" i="29"/>
  <c r="Q391" i="29"/>
  <c r="K878" i="29"/>
  <c r="L373" i="29"/>
  <c r="N755" i="29"/>
  <c r="K901" i="29"/>
  <c r="P501" i="29"/>
  <c r="P128" i="29"/>
  <c r="P401" i="29"/>
  <c r="R378" i="29"/>
  <c r="R177" i="29"/>
  <c r="R294" i="29"/>
  <c r="R463" i="29"/>
  <c r="Q57" i="29"/>
  <c r="Q54" i="29"/>
  <c r="N749" i="29"/>
  <c r="P634" i="29"/>
  <c r="N578" i="29"/>
  <c r="R476" i="29"/>
  <c r="L830" i="29"/>
  <c r="K474" i="29"/>
  <c r="R871" i="29"/>
  <c r="L589" i="29"/>
  <c r="M695" i="29"/>
  <c r="R272" i="29"/>
  <c r="L473" i="29"/>
  <c r="Q330" i="29"/>
  <c r="Q512" i="29"/>
  <c r="P429" i="29"/>
  <c r="R166" i="29"/>
  <c r="Q842" i="29"/>
  <c r="P322" i="29"/>
  <c r="C761" i="29"/>
  <c r="N889" i="29"/>
  <c r="Q359" i="29"/>
  <c r="R400" i="29"/>
  <c r="P721" i="29"/>
  <c r="R59" i="29"/>
  <c r="Q50" i="29"/>
  <c r="L868" i="29"/>
  <c r="Q575" i="29"/>
  <c r="P375" i="29"/>
  <c r="J39" i="29"/>
  <c r="Q416" i="29"/>
  <c r="P841" i="29"/>
  <c r="J525" i="29"/>
  <c r="Q767" i="29"/>
  <c r="N135" i="29"/>
  <c r="K480" i="29"/>
  <c r="P364" i="29"/>
  <c r="Q31" i="29"/>
  <c r="K556" i="29"/>
  <c r="P817" i="29"/>
  <c r="M873" i="29"/>
  <c r="M388" i="29"/>
  <c r="K603" i="29"/>
  <c r="P628" i="29"/>
  <c r="J848" i="29"/>
  <c r="L566" i="29"/>
  <c r="P286" i="29"/>
  <c r="Q360" i="29"/>
  <c r="Q774" i="29"/>
  <c r="Q678" i="29"/>
  <c r="J280" i="29"/>
  <c r="K880" i="29"/>
  <c r="P906" i="29"/>
  <c r="P834" i="29"/>
  <c r="C330" i="29"/>
  <c r="R496" i="29"/>
  <c r="Q737" i="29"/>
  <c r="Q715" i="29"/>
  <c r="P20" i="29"/>
  <c r="M894" i="29"/>
  <c r="R373" i="29"/>
  <c r="K93" i="29"/>
  <c r="R586" i="29"/>
  <c r="R752" i="29"/>
  <c r="K180" i="29"/>
  <c r="L899" i="29"/>
  <c r="R661" i="29"/>
  <c r="L533" i="29"/>
  <c r="K487" i="29"/>
  <c r="N483" i="29"/>
  <c r="M819" i="29"/>
  <c r="K888" i="29"/>
  <c r="Q758" i="29"/>
  <c r="M834" i="29"/>
  <c r="Q394" i="29"/>
  <c r="R90" i="29"/>
  <c r="R104" i="29"/>
  <c r="P684" i="29"/>
  <c r="K529" i="29"/>
  <c r="N459" i="29"/>
  <c r="P665" i="29"/>
  <c r="Q240" i="29"/>
  <c r="P149" i="29"/>
  <c r="P712" i="29"/>
  <c r="N867" i="29"/>
  <c r="R361" i="29"/>
  <c r="R845" i="29"/>
  <c r="C105" i="29"/>
  <c r="R735" i="29"/>
  <c r="J275" i="29"/>
  <c r="Q126" i="29"/>
  <c r="J27" i="29"/>
  <c r="Q133" i="29"/>
  <c r="Q202" i="29"/>
  <c r="R327" i="29"/>
  <c r="J144" i="29"/>
  <c r="R890" i="29"/>
  <c r="P9" i="29"/>
  <c r="K553" i="29"/>
  <c r="R914" i="29"/>
  <c r="L410" i="29"/>
  <c r="Q219" i="29"/>
  <c r="L621" i="29"/>
  <c r="M753" i="29"/>
  <c r="R847" i="29"/>
  <c r="P445" i="29"/>
  <c r="Q494" i="29"/>
  <c r="R859" i="29"/>
  <c r="R719" i="29"/>
  <c r="P112" i="29"/>
  <c r="R353" i="29"/>
  <c r="M577" i="29"/>
  <c r="P454" i="29"/>
  <c r="P374" i="29"/>
  <c r="J810" i="29"/>
  <c r="P237" i="29"/>
  <c r="M698" i="29"/>
  <c r="K321" i="29"/>
  <c r="P138" i="29"/>
  <c r="Q779" i="29"/>
  <c r="Q911" i="29"/>
  <c r="M490" i="29"/>
  <c r="Q411" i="29"/>
  <c r="Q417" i="29"/>
  <c r="L842" i="29"/>
  <c r="Q281" i="29"/>
  <c r="L430" i="29"/>
  <c r="K488" i="29"/>
  <c r="Q392" i="29"/>
  <c r="Q612" i="29"/>
  <c r="N877" i="29"/>
  <c r="P705" i="29"/>
  <c r="P733" i="29"/>
  <c r="J181" i="29"/>
  <c r="Q515" i="29"/>
  <c r="P556" i="29"/>
  <c r="P645" i="29"/>
  <c r="C240" i="29"/>
  <c r="L841" i="29"/>
  <c r="N721" i="29"/>
  <c r="P750" i="29"/>
  <c r="R718" i="29"/>
  <c r="R469" i="29"/>
  <c r="Q604" i="29"/>
  <c r="J399" i="29"/>
  <c r="P619" i="29"/>
  <c r="R20" i="29"/>
  <c r="Q859" i="29"/>
  <c r="C887" i="29"/>
  <c r="Q132" i="29"/>
  <c r="R251" i="29"/>
  <c r="J273" i="29"/>
  <c r="P679" i="29"/>
  <c r="R836" i="29"/>
  <c r="P418" i="29"/>
  <c r="P620" i="29"/>
  <c r="R121" i="29"/>
  <c r="M620" i="29"/>
  <c r="R48" i="29"/>
  <c r="R692" i="29"/>
  <c r="Q860" i="29"/>
  <c r="J437" i="29"/>
  <c r="R403" i="29"/>
  <c r="K870" i="29"/>
  <c r="R271" i="29"/>
  <c r="P746" i="29"/>
  <c r="R848" i="29"/>
  <c r="J278" i="29"/>
  <c r="C450" i="29"/>
  <c r="Q404" i="29"/>
  <c r="C665" i="29"/>
  <c r="Q487" i="29"/>
  <c r="C251" i="29"/>
  <c r="J101" i="29"/>
  <c r="J507" i="29"/>
  <c r="C903" i="29"/>
  <c r="C310" i="29"/>
  <c r="C905" i="29"/>
  <c r="J765" i="29"/>
  <c r="C633" i="29"/>
  <c r="L800" i="29"/>
  <c r="P77" i="29"/>
  <c r="P352" i="29"/>
  <c r="Q602" i="29"/>
  <c r="P134" i="29"/>
  <c r="P431" i="29"/>
  <c r="J270" i="29"/>
  <c r="Q909" i="29"/>
  <c r="R665" i="29"/>
  <c r="C505" i="29"/>
  <c r="R355" i="29"/>
  <c r="R658" i="29"/>
  <c r="Q562" i="29"/>
  <c r="R214" i="29"/>
  <c r="N770" i="29"/>
  <c r="M893" i="29"/>
  <c r="Q255" i="29"/>
  <c r="J193" i="29"/>
  <c r="Q282" i="29"/>
  <c r="J334" i="29"/>
  <c r="C44" i="29"/>
  <c r="C131" i="29"/>
  <c r="J221" i="29"/>
  <c r="C67" i="29"/>
  <c r="K889" i="29"/>
  <c r="C886" i="29"/>
  <c r="C639" i="29"/>
  <c r="C332" i="29"/>
  <c r="J251" i="29"/>
  <c r="M337" i="29"/>
  <c r="N507" i="29"/>
  <c r="C433" i="29"/>
  <c r="Q672" i="29"/>
  <c r="L862" i="29"/>
  <c r="P385" i="29"/>
  <c r="J287" i="29"/>
  <c r="R689" i="29"/>
  <c r="Q303" i="29"/>
  <c r="M687" i="29"/>
  <c r="C556" i="29"/>
  <c r="P641" i="29"/>
  <c r="P163" i="29"/>
  <c r="C647" i="29"/>
  <c r="M714" i="29"/>
  <c r="L734" i="29"/>
  <c r="Q832" i="29"/>
  <c r="Q629" i="29"/>
  <c r="C682" i="29"/>
  <c r="R434" i="29"/>
  <c r="Q274" i="29"/>
  <c r="J328" i="29"/>
  <c r="K818" i="29"/>
  <c r="Q305" i="29"/>
  <c r="C766" i="29"/>
  <c r="Q828" i="29"/>
  <c r="R904" i="29"/>
  <c r="P193" i="29"/>
  <c r="Q178" i="29"/>
  <c r="P92" i="29"/>
  <c r="K266" i="29"/>
  <c r="P493" i="29"/>
  <c r="J465" i="29"/>
  <c r="P31" i="29"/>
  <c r="L824" i="29"/>
  <c r="P58" i="29"/>
  <c r="J497" i="29"/>
  <c r="K497" i="29"/>
  <c r="M631" i="29"/>
  <c r="P811" i="29"/>
  <c r="P396" i="29"/>
  <c r="C372" i="29"/>
  <c r="P494" i="29"/>
  <c r="N475" i="29"/>
  <c r="J34" i="29"/>
  <c r="K777" i="29"/>
  <c r="K768" i="29"/>
  <c r="P173" i="29"/>
  <c r="J509" i="29"/>
  <c r="N620" i="29"/>
  <c r="Q776" i="29"/>
  <c r="P91" i="29"/>
  <c r="K606" i="29"/>
  <c r="N913" i="29"/>
  <c r="K518" i="29"/>
  <c r="L605" i="29"/>
  <c r="R615" i="29"/>
  <c r="L906" i="29"/>
  <c r="N584" i="29"/>
  <c r="K804" i="29"/>
  <c r="P272" i="29"/>
  <c r="P146" i="29"/>
  <c r="R878" i="29"/>
  <c r="J214" i="29"/>
  <c r="P148" i="29"/>
  <c r="P655" i="29"/>
  <c r="Q278" i="29"/>
  <c r="J395" i="29"/>
  <c r="N881" i="29"/>
  <c r="P524" i="29"/>
  <c r="Q560" i="29"/>
  <c r="P407" i="29"/>
  <c r="J795" i="29"/>
  <c r="P632" i="29"/>
  <c r="C260" i="29"/>
  <c r="L902" i="29"/>
  <c r="P899" i="29"/>
  <c r="L197" i="29"/>
  <c r="J707" i="29"/>
  <c r="L421" i="29"/>
  <c r="J421" i="29" s="1"/>
  <c r="J526" i="29"/>
  <c r="P203" i="29"/>
  <c r="N633" i="29"/>
  <c r="K501" i="29"/>
  <c r="Q753" i="29"/>
  <c r="K747" i="29"/>
  <c r="R437" i="29"/>
  <c r="L674" i="29"/>
  <c r="L829" i="29"/>
  <c r="Q19" i="29"/>
  <c r="R126" i="29"/>
  <c r="P462" i="29"/>
  <c r="R604" i="29"/>
  <c r="P644" i="29"/>
  <c r="P762" i="29"/>
  <c r="C562" i="29"/>
  <c r="P416" i="29"/>
  <c r="R601" i="29"/>
  <c r="R299" i="29"/>
  <c r="C85" i="29"/>
  <c r="Q504" i="29"/>
  <c r="R874" i="29"/>
  <c r="P704" i="29"/>
  <c r="Q811" i="29"/>
  <c r="L798" i="29"/>
  <c r="K796" i="29"/>
  <c r="N250" i="29"/>
  <c r="R41" i="29"/>
  <c r="P296" i="29"/>
  <c r="N842" i="29"/>
  <c r="Q63" i="29"/>
  <c r="R371" i="29"/>
  <c r="K832" i="29"/>
  <c r="M857" i="29"/>
  <c r="R391" i="29"/>
  <c r="K305" i="29"/>
  <c r="M889" i="29"/>
  <c r="R828" i="29"/>
  <c r="P879" i="29"/>
  <c r="J745" i="29"/>
  <c r="M884" i="29"/>
  <c r="P898" i="29"/>
  <c r="R533" i="29"/>
  <c r="R396" i="29"/>
  <c r="C346" i="29"/>
  <c r="Q380" i="29"/>
  <c r="P444" i="29"/>
  <c r="M675" i="29"/>
  <c r="R521" i="29"/>
  <c r="Q131" i="29"/>
  <c r="R846" i="29"/>
  <c r="C236" i="29"/>
  <c r="L687" i="29"/>
  <c r="R49" i="29"/>
  <c r="N603" i="29"/>
  <c r="L312" i="29"/>
  <c r="N629" i="29"/>
  <c r="L540" i="29"/>
  <c r="L782" i="29"/>
  <c r="N522" i="29"/>
  <c r="K816" i="29"/>
  <c r="L661" i="29"/>
  <c r="P618" i="29"/>
  <c r="R454" i="29"/>
  <c r="R215" i="29"/>
  <c r="M97" i="29"/>
  <c r="P47" i="29"/>
  <c r="P448" i="29"/>
  <c r="R759" i="29"/>
  <c r="P175" i="29"/>
  <c r="R564" i="29"/>
  <c r="P591" i="29"/>
  <c r="Q804" i="29"/>
  <c r="R216" i="29"/>
  <c r="R100" i="29"/>
  <c r="M773" i="29"/>
  <c r="R651" i="29"/>
  <c r="R561" i="29"/>
  <c r="C335" i="29"/>
  <c r="R751" i="29"/>
  <c r="Q682" i="29"/>
  <c r="N160" i="29"/>
  <c r="R573" i="29"/>
  <c r="K714" i="29"/>
  <c r="Q420" i="29"/>
  <c r="M10" i="29"/>
  <c r="R553" i="29"/>
  <c r="J838" i="29"/>
  <c r="Q304" i="29"/>
  <c r="K891" i="29"/>
  <c r="L296" i="29"/>
  <c r="N499" i="29"/>
  <c r="R263" i="29"/>
  <c r="M784" i="29"/>
  <c r="P482" i="29"/>
  <c r="Q613" i="29"/>
  <c r="R657" i="29"/>
  <c r="C497" i="29"/>
  <c r="P708" i="29"/>
  <c r="R840" i="29"/>
  <c r="N855" i="29"/>
  <c r="C252" i="29"/>
  <c r="P131" i="29"/>
  <c r="R626" i="29"/>
  <c r="C698" i="29"/>
  <c r="P773" i="29"/>
  <c r="Q518" i="29"/>
  <c r="P491" i="29"/>
  <c r="Q855" i="29"/>
  <c r="K592" i="29"/>
  <c r="P402" i="29"/>
  <c r="Q801" i="29"/>
  <c r="R635" i="29"/>
  <c r="Q895" i="29"/>
  <c r="R666" i="29"/>
  <c r="P629" i="29"/>
  <c r="C510" i="29"/>
  <c r="Q291" i="29"/>
  <c r="R82" i="29"/>
  <c r="P858" i="29"/>
  <c r="N853" i="29"/>
  <c r="C220" i="29"/>
  <c r="J806" i="29"/>
  <c r="N735" i="29"/>
  <c r="Q183" i="29"/>
  <c r="R296" i="29"/>
  <c r="P291" i="29"/>
  <c r="Q786" i="29"/>
  <c r="R866" i="29"/>
  <c r="J5" i="29"/>
  <c r="C409" i="29"/>
  <c r="J226" i="29"/>
  <c r="J220" i="29"/>
  <c r="J837" i="29"/>
  <c r="J177" i="29"/>
  <c r="C868" i="29"/>
  <c r="P70" i="29"/>
  <c r="C117" i="29"/>
  <c r="P562" i="29"/>
  <c r="C133" i="29"/>
  <c r="J370" i="29"/>
  <c r="Q439" i="29"/>
  <c r="J880" i="29"/>
  <c r="M914" i="29"/>
  <c r="R97" i="29"/>
  <c r="P674" i="29"/>
  <c r="R853" i="29"/>
  <c r="R627" i="29"/>
  <c r="R827" i="29"/>
  <c r="P216" i="29"/>
  <c r="R669" i="29"/>
  <c r="P308" i="29"/>
  <c r="C817" i="29"/>
  <c r="L879" i="29"/>
  <c r="C498" i="29"/>
  <c r="Q507" i="29"/>
  <c r="R504" i="29"/>
  <c r="R551" i="29"/>
  <c r="Q463" i="29"/>
  <c r="J643" i="29"/>
  <c r="R776" i="29"/>
  <c r="C649" i="29"/>
  <c r="C749" i="29"/>
  <c r="J504" i="29"/>
  <c r="C289" i="29"/>
  <c r="C483" i="29"/>
  <c r="R389" i="29"/>
  <c r="J54" i="29"/>
  <c r="R383" i="29"/>
  <c r="C5" i="29"/>
  <c r="C27" i="29"/>
  <c r="C841" i="29"/>
  <c r="P797" i="29"/>
  <c r="L587" i="29"/>
  <c r="R108" i="29"/>
  <c r="P127" i="29"/>
  <c r="P18" i="29"/>
  <c r="P474" i="29"/>
  <c r="N900" i="29"/>
  <c r="J453" i="29"/>
  <c r="L394" i="29"/>
  <c r="K448" i="29"/>
  <c r="P461" i="29"/>
  <c r="C231" i="29"/>
  <c r="Q492" i="29"/>
  <c r="Q516" i="29"/>
  <c r="C276" i="29"/>
  <c r="R387" i="29"/>
  <c r="R905" i="29"/>
  <c r="Q667" i="29"/>
  <c r="J787" i="29"/>
  <c r="R707" i="29"/>
  <c r="P596" i="29"/>
  <c r="P218" i="29"/>
  <c r="Q596" i="29"/>
  <c r="J314" i="29"/>
  <c r="P243" i="29"/>
  <c r="K389" i="29"/>
  <c r="J200" i="29"/>
  <c r="N622" i="29"/>
  <c r="P403" i="29"/>
  <c r="N610" i="29"/>
  <c r="K362" i="29"/>
  <c r="K393" i="29"/>
  <c r="M802" i="29"/>
  <c r="P576" i="29"/>
  <c r="J153" i="29"/>
  <c r="P668" i="29"/>
  <c r="P86" i="29"/>
  <c r="C674" i="29"/>
  <c r="R667" i="29"/>
  <c r="N895" i="29"/>
  <c r="R539" i="29"/>
  <c r="P611" i="29"/>
  <c r="M848" i="29"/>
  <c r="P202" i="29"/>
  <c r="N545" i="29"/>
  <c r="P737" i="29"/>
  <c r="P271" i="29"/>
  <c r="L94" i="29"/>
  <c r="P685" i="29"/>
  <c r="M536" i="29"/>
  <c r="K597" i="29"/>
  <c r="R275" i="29"/>
  <c r="L772" i="29"/>
  <c r="P724" i="29"/>
  <c r="R614" i="29"/>
  <c r="R134" i="29"/>
  <c r="Q549" i="29"/>
  <c r="Q335" i="29"/>
  <c r="C774" i="29"/>
  <c r="Q531" i="29"/>
  <c r="Q569" i="29"/>
  <c r="R712" i="29"/>
  <c r="J398" i="29"/>
  <c r="C806" i="29"/>
  <c r="P200" i="29"/>
  <c r="R688" i="29"/>
  <c r="N585" i="29"/>
  <c r="L357" i="29"/>
  <c r="R273" i="29"/>
  <c r="R351" i="29"/>
  <c r="P458" i="29"/>
  <c r="Q6" i="29"/>
  <c r="P505" i="29"/>
  <c r="J868" i="29"/>
  <c r="N42" i="29"/>
  <c r="L488" i="29"/>
  <c r="N369" i="29"/>
  <c r="P631" i="29"/>
  <c r="K504" i="29"/>
  <c r="L736" i="29"/>
  <c r="K594" i="29"/>
  <c r="P158" i="29"/>
  <c r="Q506" i="29"/>
  <c r="P221" i="29"/>
  <c r="L682" i="29"/>
  <c r="K492" i="29"/>
  <c r="R912" i="29"/>
  <c r="R597" i="29"/>
  <c r="K904" i="29"/>
  <c r="K466" i="29"/>
  <c r="Q718" i="29"/>
  <c r="R757" i="29"/>
  <c r="R558" i="29"/>
  <c r="Q194" i="29"/>
  <c r="P706" i="29"/>
  <c r="P212" i="29"/>
  <c r="R329" i="29"/>
  <c r="R911" i="29"/>
  <c r="Q614" i="29"/>
  <c r="R62" i="29"/>
  <c r="R908" i="29"/>
  <c r="K394" i="29"/>
  <c r="R384" i="29"/>
  <c r="K877" i="29"/>
  <c r="L693" i="29"/>
  <c r="P866" i="29"/>
  <c r="L894" i="29"/>
  <c r="N276" i="29"/>
  <c r="L635" i="29"/>
  <c r="J635" i="29" s="1"/>
  <c r="Q480" i="29"/>
  <c r="M641" i="29"/>
  <c r="N460" i="29"/>
  <c r="R555" i="29"/>
  <c r="M480" i="29"/>
  <c r="R412" i="29"/>
  <c r="R313" i="29"/>
  <c r="C36" i="29"/>
  <c r="J375" i="29"/>
  <c r="N908" i="29"/>
  <c r="P84" i="29"/>
  <c r="C671" i="29"/>
  <c r="R622" i="29"/>
  <c r="P298" i="29"/>
  <c r="R522" i="29"/>
  <c r="P503" i="29"/>
  <c r="M672" i="29"/>
  <c r="P198" i="29"/>
  <c r="Q880" i="29"/>
  <c r="P800" i="29"/>
  <c r="M907" i="29"/>
  <c r="P372" i="29"/>
  <c r="L301" i="29"/>
  <c r="L406" i="29"/>
  <c r="M708" i="29"/>
  <c r="K413" i="29"/>
  <c r="R545" i="29"/>
  <c r="R413" i="29"/>
  <c r="R258" i="29"/>
  <c r="K327" i="29"/>
  <c r="P179" i="29"/>
  <c r="N635" i="29"/>
  <c r="M799" i="29"/>
  <c r="Q413" i="29"/>
  <c r="P359" i="29"/>
  <c r="L827" i="29"/>
  <c r="M275" i="29"/>
  <c r="Q409" i="29"/>
  <c r="R756" i="29"/>
  <c r="N609" i="29"/>
  <c r="Q491" i="29"/>
  <c r="R447" i="29"/>
  <c r="P512" i="29"/>
  <c r="L820" i="29"/>
  <c r="K629" i="29"/>
  <c r="M724" i="29"/>
  <c r="R863" i="29"/>
  <c r="R488" i="29"/>
  <c r="N424" i="29"/>
  <c r="K798" i="29"/>
  <c r="Q685" i="29"/>
  <c r="R211" i="29"/>
  <c r="L671" i="29"/>
  <c r="K721" i="29"/>
  <c r="L483" i="29"/>
  <c r="J401" i="29"/>
  <c r="P16" i="29"/>
  <c r="L568" i="29"/>
  <c r="N726" i="29"/>
  <c r="J814" i="29"/>
  <c r="P653" i="29"/>
  <c r="P650" i="29"/>
  <c r="R142" i="29"/>
  <c r="Q815" i="29"/>
  <c r="Q382" i="29"/>
  <c r="N429" i="29"/>
  <c r="N592" i="29"/>
  <c r="Q676" i="29"/>
  <c r="R647" i="29"/>
  <c r="Q347" i="29"/>
  <c r="Q605" i="29"/>
  <c r="N675" i="29"/>
  <c r="R243" i="29"/>
  <c r="P698" i="29"/>
  <c r="R618" i="29"/>
  <c r="Q529" i="29"/>
  <c r="Q722" i="29"/>
  <c r="Q140" i="29"/>
  <c r="N822" i="29"/>
  <c r="Q698" i="29"/>
  <c r="Q785" i="29"/>
  <c r="Q761" i="29"/>
  <c r="P547" i="29"/>
  <c r="J829" i="29"/>
  <c r="Q462" i="29"/>
  <c r="P740" i="29"/>
  <c r="Q296" i="29"/>
  <c r="C707" i="29"/>
  <c r="P370" i="29"/>
  <c r="Q348" i="29"/>
  <c r="P242" i="29"/>
  <c r="Q598" i="29"/>
  <c r="P660" i="29"/>
  <c r="P896" i="29"/>
  <c r="C889" i="29"/>
  <c r="J138" i="29"/>
  <c r="C156" i="29"/>
  <c r="J529" i="29"/>
  <c r="J592" i="29"/>
  <c r="Q814" i="29"/>
  <c r="J130" i="29"/>
  <c r="Q857" i="29"/>
  <c r="P695" i="29"/>
  <c r="J108" i="29"/>
  <c r="C656" i="29"/>
  <c r="Q729" i="29"/>
  <c r="J354" i="29"/>
  <c r="C387" i="29"/>
  <c r="P532" i="29"/>
  <c r="Q695" i="29"/>
  <c r="Q637" i="29"/>
  <c r="J736" i="29"/>
  <c r="Q239" i="29"/>
  <c r="C591" i="29"/>
  <c r="P102" i="29"/>
  <c r="K723" i="29"/>
  <c r="P61" i="29"/>
  <c r="Q375" i="29"/>
  <c r="K319" i="29"/>
  <c r="R293" i="29"/>
  <c r="P541" i="29"/>
  <c r="R438" i="29"/>
  <c r="P848" i="29"/>
  <c r="R37" i="29"/>
  <c r="C484" i="29"/>
  <c r="J307" i="29"/>
  <c r="C852" i="29"/>
  <c r="R762" i="29"/>
  <c r="Q784" i="29"/>
  <c r="J686" i="29"/>
  <c r="C645" i="29"/>
  <c r="C362" i="29"/>
  <c r="J865" i="29"/>
  <c r="Q40" i="29"/>
  <c r="R875" i="29"/>
  <c r="C857" i="29"/>
  <c r="J648" i="29"/>
  <c r="Q552" i="29"/>
  <c r="M795" i="29"/>
  <c r="Q522" i="29"/>
  <c r="P851" i="29"/>
  <c r="P502" i="29"/>
  <c r="R834" i="29"/>
  <c r="J902" i="29"/>
  <c r="Q749" i="29"/>
  <c r="R338" i="29"/>
  <c r="C686" i="29"/>
  <c r="M572" i="29"/>
  <c r="Q334" i="29"/>
  <c r="M450" i="29"/>
  <c r="P553" i="29"/>
  <c r="M660" i="29"/>
  <c r="P229" i="29"/>
  <c r="C327" i="29"/>
  <c r="J339" i="29"/>
  <c r="J346" i="29"/>
  <c r="C779" i="29"/>
  <c r="R563" i="29"/>
  <c r="C680" i="29"/>
  <c r="J60" i="29"/>
  <c r="C729" i="29"/>
  <c r="C864" i="29"/>
  <c r="J847" i="29"/>
  <c r="P543" i="29"/>
  <c r="C51" i="29"/>
  <c r="D4" i="29"/>
  <c r="P19" i="29"/>
  <c r="J394" i="29"/>
  <c r="Q717" i="29"/>
  <c r="J871" i="29"/>
  <c r="C734" i="29"/>
  <c r="J133" i="29"/>
  <c r="L541" i="29"/>
  <c r="R366" i="29"/>
  <c r="J430" i="29"/>
  <c r="R556" i="29"/>
  <c r="K860" i="29"/>
  <c r="Q466" i="29"/>
  <c r="P847" i="29"/>
  <c r="Q790" i="29"/>
  <c r="K785" i="29"/>
  <c r="N868" i="29"/>
  <c r="P124" i="29"/>
  <c r="P66" i="29"/>
  <c r="R44" i="29"/>
  <c r="P419" i="29"/>
  <c r="N395" i="29"/>
  <c r="R562" i="29"/>
  <c r="L756" i="29"/>
  <c r="J756" i="29" s="1"/>
  <c r="M798" i="29"/>
  <c r="R34" i="29"/>
  <c r="P187" i="29"/>
  <c r="R240" i="29"/>
  <c r="J654" i="29"/>
  <c r="L638" i="29"/>
  <c r="Q885" i="29"/>
  <c r="J283" i="29"/>
  <c r="Q154" i="29"/>
  <c r="R339" i="29"/>
  <c r="P344" i="29"/>
  <c r="Q129" i="29"/>
  <c r="M443" i="29"/>
  <c r="R785" i="29"/>
  <c r="R754" i="29"/>
  <c r="Q663" i="29"/>
  <c r="M34" i="29"/>
  <c r="M690" i="29"/>
  <c r="P136" i="29"/>
  <c r="P29" i="29"/>
  <c r="K658" i="29"/>
  <c r="M832" i="29"/>
  <c r="R585" i="29"/>
  <c r="R399" i="29"/>
  <c r="L479" i="29"/>
  <c r="J479" i="29" s="1"/>
  <c r="K753" i="29"/>
  <c r="R673" i="29"/>
  <c r="P460" i="29"/>
  <c r="J710" i="29"/>
  <c r="Q336" i="29"/>
  <c r="R514" i="29"/>
  <c r="R706" i="29"/>
  <c r="Q276" i="29"/>
  <c r="Q501" i="29"/>
  <c r="P766" i="29"/>
  <c r="R753" i="29"/>
  <c r="P323" i="29"/>
  <c r="J492" i="29"/>
  <c r="P289" i="29"/>
  <c r="R621" i="29"/>
  <c r="Q254" i="29"/>
  <c r="C95" i="29"/>
  <c r="M790" i="29"/>
  <c r="P74" i="29"/>
  <c r="R328" i="29"/>
  <c r="Q908" i="29"/>
  <c r="M811" i="29"/>
  <c r="P226" i="29"/>
  <c r="L591" i="29"/>
  <c r="J290" i="29"/>
  <c r="R518" i="29"/>
  <c r="Q65" i="29"/>
  <c r="M827" i="29"/>
  <c r="R497" i="29"/>
  <c r="Q468" i="29"/>
  <c r="P234" i="29"/>
  <c r="P883" i="29"/>
  <c r="R623" i="29"/>
  <c r="J534" i="29"/>
  <c r="Q249" i="29"/>
  <c r="R910" i="29"/>
  <c r="P643" i="29"/>
  <c r="C171" i="29"/>
  <c r="P104" i="29"/>
  <c r="J184" i="29"/>
  <c r="R821" i="29"/>
  <c r="C206" i="29"/>
  <c r="P581" i="29"/>
  <c r="M897" i="29"/>
  <c r="N645" i="29"/>
  <c r="K435" i="29"/>
  <c r="L895" i="29"/>
  <c r="J742" i="29"/>
  <c r="P21" i="29"/>
  <c r="L804" i="29"/>
  <c r="K649" i="29"/>
  <c r="R652" i="29"/>
  <c r="P391" i="29"/>
  <c r="P699" i="29"/>
  <c r="L670" i="29"/>
  <c r="J670" i="29" s="1"/>
  <c r="R672" i="29"/>
  <c r="P367" i="29"/>
  <c r="R711" i="29"/>
  <c r="N684" i="29"/>
  <c r="J799" i="29"/>
  <c r="R729" i="29"/>
  <c r="R801" i="29"/>
  <c r="R200" i="29"/>
  <c r="Q105" i="29"/>
  <c r="Q720" i="29"/>
  <c r="P819" i="29"/>
  <c r="R755" i="29"/>
  <c r="P405" i="29"/>
  <c r="P780" i="29"/>
  <c r="Q9" i="29"/>
  <c r="C266" i="29"/>
  <c r="P765" i="29"/>
  <c r="Q421" i="29"/>
  <c r="P689" i="29"/>
  <c r="K65" i="29"/>
  <c r="Q102" i="29"/>
  <c r="J407" i="29"/>
  <c r="M556" i="29"/>
  <c r="L698" i="29"/>
  <c r="P481" i="29"/>
  <c r="R450" i="29"/>
  <c r="R157" i="29"/>
  <c r="P748" i="29"/>
  <c r="N442" i="29"/>
  <c r="K758" i="29"/>
  <c r="Q568" i="29"/>
  <c r="P232" i="29"/>
  <c r="Q731" i="29"/>
  <c r="P453" i="29"/>
  <c r="J369" i="29"/>
  <c r="C28" i="29"/>
  <c r="R639" i="29"/>
  <c r="P901" i="29"/>
  <c r="C762" i="29"/>
  <c r="R643" i="29"/>
  <c r="R382" i="29"/>
  <c r="R244" i="29"/>
  <c r="P342" i="29"/>
  <c r="Q232" i="29"/>
  <c r="P716" i="29"/>
  <c r="M104" i="29"/>
  <c r="N566" i="29"/>
  <c r="L607" i="29"/>
  <c r="P263" i="29"/>
  <c r="L633" i="29"/>
  <c r="Q273" i="29"/>
  <c r="L889" i="29"/>
  <c r="L470" i="29"/>
  <c r="R138" i="29"/>
  <c r="K803" i="29"/>
  <c r="M426" i="29"/>
  <c r="R303" i="29"/>
  <c r="Q647" i="29"/>
  <c r="K635" i="29"/>
  <c r="K713" i="29"/>
  <c r="P174" i="29"/>
  <c r="J594" i="29"/>
  <c r="M840" i="29"/>
  <c r="R133" i="29"/>
  <c r="R724" i="29"/>
  <c r="R160" i="29"/>
  <c r="Q760" i="29"/>
  <c r="R697" i="29"/>
  <c r="P526" i="29"/>
  <c r="P155" i="29"/>
  <c r="J87" i="29"/>
  <c r="P245" i="29"/>
  <c r="Q686" i="29"/>
  <c r="K110" i="29"/>
  <c r="L681" i="29"/>
  <c r="R321" i="29"/>
  <c r="Q214" i="29"/>
  <c r="R883" i="29"/>
  <c r="M596" i="29"/>
  <c r="P157" i="29"/>
  <c r="L885" i="29"/>
  <c r="Q471" i="29"/>
  <c r="R141" i="29"/>
  <c r="C828" i="29"/>
  <c r="Q626" i="29"/>
  <c r="P50" i="29"/>
  <c r="J709" i="29"/>
  <c r="P769" i="29"/>
  <c r="R393" i="29"/>
  <c r="K859" i="29"/>
  <c r="Q246" i="29"/>
  <c r="N374" i="29"/>
  <c r="N304" i="29"/>
  <c r="N560" i="29"/>
  <c r="M711" i="29"/>
  <c r="L352" i="29"/>
  <c r="J352" i="29" s="1"/>
  <c r="L419" i="29"/>
  <c r="P753" i="29"/>
  <c r="L770" i="29"/>
  <c r="R544" i="29"/>
  <c r="N738" i="29"/>
  <c r="Q407" i="29"/>
  <c r="Q831" i="29"/>
  <c r="R370" i="29"/>
  <c r="R768" i="29"/>
  <c r="J241" i="29"/>
  <c r="R47" i="29"/>
  <c r="Q763" i="29"/>
  <c r="Q298" i="29"/>
  <c r="C24" i="29"/>
  <c r="N689" i="29"/>
  <c r="N612" i="29"/>
  <c r="R267" i="29"/>
  <c r="Q903" i="29"/>
  <c r="L910" i="29"/>
  <c r="P275" i="29"/>
  <c r="J685" i="29"/>
  <c r="Q541" i="29"/>
  <c r="R792" i="29"/>
  <c r="P902" i="29"/>
  <c r="P718" i="29"/>
  <c r="N415" i="29"/>
  <c r="N713" i="29"/>
  <c r="J727" i="29"/>
  <c r="R860" i="29"/>
  <c r="L505" i="29"/>
  <c r="Q524" i="29"/>
  <c r="L442" i="29"/>
  <c r="R567" i="29"/>
  <c r="R124" i="29"/>
  <c r="R9" i="29"/>
  <c r="N533" i="29"/>
  <c r="P319" i="29"/>
  <c r="M442" i="29"/>
  <c r="P859" i="29"/>
  <c r="N663" i="29"/>
  <c r="Q623" i="29"/>
  <c r="C123" i="29"/>
  <c r="Q534" i="29"/>
  <c r="R472" i="29"/>
  <c r="P836" i="29"/>
  <c r="J74" i="29"/>
  <c r="Q318" i="29"/>
  <c r="R861" i="29"/>
  <c r="Q638" i="29"/>
  <c r="P749" i="29"/>
  <c r="P463" i="29"/>
  <c r="K261" i="29"/>
  <c r="L378" i="29"/>
  <c r="J378" i="29" s="1"/>
  <c r="R530" i="29"/>
  <c r="M527" i="29"/>
  <c r="L340" i="29"/>
  <c r="L536" i="29"/>
  <c r="L850" i="29"/>
  <c r="N601" i="29"/>
  <c r="L913" i="29"/>
  <c r="L892" i="29"/>
  <c r="L412" i="29"/>
  <c r="R584" i="29"/>
  <c r="Q633" i="29"/>
  <c r="R532" i="29"/>
  <c r="P394" i="29"/>
  <c r="Q75" i="29"/>
  <c r="Q119" i="29"/>
  <c r="R781" i="29"/>
  <c r="J425" i="29"/>
  <c r="K844" i="29"/>
  <c r="Q721" i="29"/>
  <c r="P652" i="29"/>
  <c r="R727" i="29"/>
  <c r="R31" i="29"/>
  <c r="R50" i="29"/>
  <c r="R649" i="29"/>
  <c r="P545" i="29"/>
  <c r="J315" i="29"/>
  <c r="R549" i="29"/>
  <c r="P802" i="29"/>
  <c r="F818" i="29"/>
  <c r="K841" i="29"/>
  <c r="R230" i="29"/>
  <c r="K639" i="29"/>
  <c r="R261" i="29"/>
  <c r="P472" i="29"/>
  <c r="R520" i="29"/>
  <c r="N152" i="29"/>
  <c r="Q180" i="29"/>
  <c r="P150" i="29"/>
  <c r="N526" i="29"/>
  <c r="L208" i="29"/>
  <c r="L828" i="29"/>
  <c r="P642" i="29"/>
  <c r="R228" i="29"/>
  <c r="Q238" i="29"/>
  <c r="C723" i="29"/>
  <c r="Q630" i="29"/>
  <c r="P793" i="29"/>
  <c r="R641" i="29"/>
  <c r="C466" i="29"/>
  <c r="P406" i="29"/>
  <c r="K898" i="29"/>
  <c r="R180" i="29"/>
  <c r="P565" i="29"/>
  <c r="L675" i="29"/>
  <c r="K675" i="29"/>
  <c r="M598" i="29"/>
  <c r="L860" i="29"/>
  <c r="J860" i="29" s="1"/>
  <c r="R24" i="29"/>
  <c r="P329" i="29"/>
  <c r="N841" i="29"/>
  <c r="R832" i="29"/>
  <c r="L792" i="29"/>
  <c r="Q95" i="29"/>
  <c r="P435" i="29"/>
  <c r="L593" i="29"/>
  <c r="R116" i="29"/>
  <c r="Q645" i="29"/>
  <c r="R436" i="29"/>
  <c r="Q414" i="29"/>
  <c r="R894" i="29"/>
  <c r="C439" i="29"/>
  <c r="J132" i="29"/>
  <c r="P354" i="29"/>
  <c r="Q787" i="29"/>
  <c r="C842" i="29"/>
  <c r="P649" i="29"/>
  <c r="K396" i="29"/>
  <c r="Q419" i="29"/>
  <c r="J250" i="29"/>
  <c r="Q294" i="29"/>
  <c r="R684" i="29"/>
  <c r="J174" i="29"/>
  <c r="P477" i="29"/>
  <c r="P441" i="29"/>
  <c r="P790" i="29"/>
  <c r="C107" i="29"/>
  <c r="M508" i="29"/>
  <c r="R236" i="29"/>
  <c r="C502" i="29"/>
  <c r="N839" i="29"/>
  <c r="P884" i="29"/>
  <c r="R603" i="29"/>
  <c r="J13" i="29"/>
  <c r="K724" i="29"/>
  <c r="P485" i="29"/>
  <c r="Q290" i="29"/>
  <c r="Q408" i="29"/>
  <c r="Q544" i="29"/>
  <c r="C746" i="29"/>
  <c r="Q696" i="29"/>
  <c r="N767" i="29"/>
  <c r="P606" i="29"/>
  <c r="P415" i="29"/>
  <c r="R739" i="29"/>
  <c r="P518" i="29"/>
  <c r="C96" i="29"/>
  <c r="C461" i="29"/>
  <c r="P81" i="29"/>
  <c r="C603" i="29"/>
  <c r="J638" i="29"/>
  <c r="C53" i="29"/>
  <c r="C722" i="29"/>
  <c r="J249" i="29"/>
  <c r="Q756" i="29"/>
  <c r="C322" i="29"/>
  <c r="C667" i="29"/>
  <c r="Q762" i="29"/>
  <c r="Q554" i="29"/>
  <c r="L849" i="29"/>
  <c r="N917" i="29"/>
  <c r="C268" i="29"/>
  <c r="J839" i="29"/>
  <c r="J656" i="29"/>
  <c r="Q838" i="29"/>
  <c r="P713" i="29"/>
  <c r="Q405" i="29"/>
  <c r="Q470" i="29"/>
  <c r="J688" i="29"/>
  <c r="P829" i="29"/>
  <c r="R907" i="29"/>
  <c r="J77" i="29"/>
  <c r="P95" i="29"/>
  <c r="L628" i="29"/>
  <c r="P487" i="29"/>
  <c r="P473" i="29"/>
  <c r="J216" i="29"/>
  <c r="P681" i="29"/>
  <c r="P751" i="29"/>
  <c r="J86" i="29"/>
  <c r="C584" i="29"/>
  <c r="J98" i="29"/>
  <c r="Q532" i="29"/>
  <c r="Q426" i="29"/>
  <c r="C714" i="29"/>
  <c r="J739" i="29"/>
  <c r="J575" i="29"/>
  <c r="J863" i="29"/>
  <c r="C125" i="29"/>
  <c r="P171" i="29"/>
  <c r="Q752" i="29"/>
  <c r="C914" i="29"/>
  <c r="C218" i="29"/>
  <c r="R818" i="29"/>
  <c r="R598" i="29"/>
  <c r="P199" i="29"/>
  <c r="P181" i="29"/>
  <c r="P514" i="29"/>
  <c r="C829" i="29"/>
  <c r="P874" i="29"/>
  <c r="R876" i="29"/>
  <c r="P144" i="29"/>
  <c r="P185" i="29"/>
  <c r="P46" i="29"/>
  <c r="R349" i="29"/>
  <c r="P544" i="29"/>
  <c r="J794" i="29"/>
  <c r="Q80" i="29"/>
  <c r="J284" i="29"/>
  <c r="C548" i="29"/>
  <c r="J517" i="29"/>
  <c r="J737" i="29"/>
  <c r="Q121" i="29"/>
  <c r="J493" i="29"/>
  <c r="R770" i="29"/>
  <c r="J227" i="29"/>
  <c r="P776" i="29"/>
  <c r="R637" i="29"/>
  <c r="R192" i="29"/>
  <c r="L718" i="29"/>
  <c r="M651" i="29"/>
  <c r="Q184" i="29"/>
  <c r="M241" i="29"/>
  <c r="N503" i="29"/>
  <c r="K601" i="29"/>
  <c r="J877" i="29"/>
  <c r="L689" i="29"/>
  <c r="R322" i="29"/>
  <c r="P869" i="29"/>
  <c r="K897" i="29"/>
  <c r="Q793" i="29"/>
  <c r="R209" i="29"/>
  <c r="R174" i="29"/>
  <c r="R225" i="29"/>
  <c r="Q868" i="29"/>
  <c r="R746" i="29"/>
  <c r="Q797" i="29"/>
  <c r="N579" i="29"/>
  <c r="Q182" i="29"/>
  <c r="Q400" i="29"/>
  <c r="M677" i="29"/>
  <c r="Q555" i="29"/>
  <c r="K577" i="29"/>
  <c r="L731" i="29"/>
  <c r="P284" i="29"/>
  <c r="L366" i="29"/>
  <c r="L511" i="29"/>
  <c r="J489" i="29"/>
  <c r="L338" i="29"/>
  <c r="Q300" i="29"/>
  <c r="R592" i="29"/>
  <c r="R764" i="29"/>
  <c r="C392" i="29"/>
  <c r="P292" i="29"/>
  <c r="R4" i="29"/>
  <c r="Q585" i="29"/>
  <c r="C567" i="29"/>
  <c r="Q308" i="29"/>
  <c r="Q297" i="29"/>
  <c r="P393" i="29"/>
  <c r="P534" i="29"/>
  <c r="R278" i="29"/>
  <c r="R577" i="29"/>
  <c r="J347" i="29"/>
  <c r="R865" i="29"/>
  <c r="K574" i="29"/>
  <c r="P577" i="29"/>
  <c r="C512" i="29"/>
  <c r="N613" i="29"/>
  <c r="R176" i="29"/>
  <c r="Q783" i="29"/>
  <c r="N564" i="29"/>
  <c r="K659" i="29"/>
  <c r="M587" i="29"/>
  <c r="L356" i="29"/>
  <c r="Q106" i="29"/>
  <c r="Q317" i="29"/>
  <c r="K774" i="29"/>
  <c r="K643" i="29"/>
  <c r="R206" i="29"/>
  <c r="Q746" i="29"/>
  <c r="P725" i="29"/>
  <c r="Q867" i="29"/>
  <c r="R381" i="29"/>
  <c r="J146" i="29"/>
  <c r="Q39" i="29"/>
  <c r="J888" i="29"/>
  <c r="R168" i="29"/>
  <c r="Q64" i="29"/>
  <c r="R358" i="29"/>
  <c r="R779" i="29"/>
  <c r="J442" i="29"/>
  <c r="Q315" i="29"/>
  <c r="L875" i="29"/>
  <c r="N341" i="29"/>
  <c r="N866" i="29"/>
  <c r="K384" i="29"/>
  <c r="Q677" i="29"/>
  <c r="L622" i="29"/>
  <c r="Q886" i="29"/>
  <c r="M917" i="29"/>
  <c r="K22" i="29"/>
  <c r="R777" i="29"/>
  <c r="N816" i="29"/>
  <c r="P299" i="29"/>
  <c r="L424" i="29"/>
  <c r="Q865" i="29"/>
  <c r="R780" i="29"/>
  <c r="R159" i="29"/>
  <c r="P80" i="29"/>
  <c r="C143" i="29"/>
  <c r="R849" i="29"/>
  <c r="R676" i="29"/>
  <c r="Q812" i="29"/>
  <c r="J204" i="29"/>
  <c r="J530" i="29"/>
  <c r="M681" i="29"/>
  <c r="Q627" i="29"/>
  <c r="R410" i="29"/>
  <c r="Q728" i="29"/>
  <c r="Q872" i="29"/>
  <c r="C30" i="29"/>
  <c r="M430" i="29"/>
  <c r="P13" i="29"/>
  <c r="K630" i="29"/>
  <c r="N366" i="29"/>
  <c r="L884" i="29"/>
  <c r="Q689" i="29"/>
  <c r="P316" i="29"/>
  <c r="R715" i="29"/>
  <c r="K542" i="29"/>
  <c r="M499" i="29"/>
  <c r="N893" i="29"/>
  <c r="R617" i="29"/>
  <c r="N815" i="29"/>
  <c r="Q201" i="29"/>
  <c r="Q622" i="29"/>
  <c r="L495" i="29"/>
  <c r="R301" i="29"/>
  <c r="M772" i="29"/>
  <c r="J581" i="29"/>
  <c r="N657" i="29"/>
  <c r="R395" i="29"/>
  <c r="N368" i="29"/>
  <c r="P915" i="29"/>
  <c r="R506" i="29"/>
  <c r="R480" i="29"/>
  <c r="R300" i="29"/>
  <c r="P389" i="29"/>
  <c r="P438" i="29"/>
  <c r="K640" i="29"/>
  <c r="K645" i="29"/>
  <c r="Q846" i="29"/>
  <c r="L759" i="29"/>
  <c r="R196" i="29"/>
  <c r="P412" i="29"/>
  <c r="K836" i="29"/>
  <c r="M764" i="29"/>
  <c r="M374" i="29"/>
  <c r="Q309" i="29"/>
  <c r="M789" i="29"/>
  <c r="R123" i="29"/>
  <c r="N773" i="29"/>
  <c r="R749" i="29"/>
  <c r="P261" i="29"/>
  <c r="R734" i="29"/>
  <c r="J159" i="29"/>
  <c r="R631" i="29"/>
  <c r="Q289" i="29"/>
  <c r="C121" i="29"/>
  <c r="C388" i="29"/>
  <c r="Q615" i="29"/>
  <c r="R560" i="29"/>
  <c r="P365" i="29"/>
  <c r="M688" i="29"/>
  <c r="R704" i="29"/>
  <c r="P449" i="29"/>
  <c r="J475" i="29"/>
  <c r="Q7" i="29"/>
  <c r="K682" i="29"/>
  <c r="K651" i="29"/>
  <c r="P760" i="29"/>
  <c r="K808" i="29"/>
  <c r="Q595" i="29"/>
  <c r="P637" i="29"/>
  <c r="R103" i="29"/>
  <c r="N885" i="29"/>
  <c r="N457" i="29"/>
  <c r="Q113" i="29"/>
  <c r="Q332" i="29"/>
  <c r="P881" i="29"/>
  <c r="Q692" i="29"/>
  <c r="R93" i="29"/>
  <c r="M722" i="29"/>
  <c r="K757" i="29"/>
  <c r="K703" i="29"/>
  <c r="Q639" i="29"/>
  <c r="P890" i="29"/>
  <c r="C187" i="29"/>
  <c r="C743" i="29"/>
  <c r="R879" i="29"/>
  <c r="J389" i="29"/>
  <c r="C41" i="29"/>
  <c r="C83" i="29"/>
  <c r="J606" i="29"/>
  <c r="J422" i="29"/>
  <c r="C425" i="29"/>
  <c r="R394" i="29"/>
  <c r="R446" i="29"/>
  <c r="Q564" i="29"/>
  <c r="J356" i="29"/>
  <c r="C704" i="29"/>
  <c r="C421" i="29"/>
  <c r="N376" i="29"/>
  <c r="P67" i="29"/>
  <c r="P683" i="29"/>
  <c r="Q188" i="29"/>
  <c r="C165" i="29"/>
  <c r="Q365" i="29"/>
  <c r="J164" i="29"/>
  <c r="R254" i="29"/>
  <c r="P868" i="29"/>
  <c r="P257" i="29"/>
  <c r="Q519" i="29"/>
  <c r="R887" i="29"/>
  <c r="R416" i="29"/>
  <c r="J196" i="29"/>
  <c r="K822" i="29"/>
  <c r="Q525" i="29"/>
  <c r="R443" i="29"/>
  <c r="C92" i="29"/>
  <c r="Q802" i="29"/>
  <c r="J548" i="29"/>
  <c r="C745" i="29"/>
  <c r="J238" i="29"/>
  <c r="Q875" i="29"/>
  <c r="Q284" i="29"/>
  <c r="C238" i="29"/>
  <c r="C84" i="29"/>
  <c r="J17" i="29"/>
  <c r="C364" i="29"/>
  <c r="C643" i="29"/>
  <c r="C486" i="29"/>
  <c r="C57" i="29"/>
  <c r="M886" i="29"/>
  <c r="R234" i="29"/>
  <c r="P377" i="29"/>
  <c r="R680" i="29"/>
  <c r="L474" i="29"/>
  <c r="J36" i="29"/>
  <c r="Q734" i="29"/>
  <c r="L391" i="29"/>
  <c r="K423" i="29"/>
  <c r="R264" i="29"/>
  <c r="Q777" i="29"/>
  <c r="P357" i="29"/>
  <c r="Q227" i="29"/>
  <c r="P506" i="29"/>
  <c r="P821" i="29"/>
  <c r="P710" i="29"/>
  <c r="J95" i="29"/>
  <c r="Q393" i="29"/>
  <c r="C340" i="29"/>
  <c r="C493" i="29"/>
  <c r="P467" i="29"/>
  <c r="L561" i="29"/>
  <c r="K831" i="29"/>
  <c r="Q845" i="29"/>
  <c r="E833" i="29"/>
  <c r="P552" i="29"/>
  <c r="R838" i="29"/>
  <c r="N786" i="29"/>
  <c r="K515" i="29"/>
  <c r="N793" i="29"/>
  <c r="Q350" i="29"/>
  <c r="J367" i="29"/>
  <c r="P184" i="29"/>
  <c r="R654" i="29"/>
  <c r="P172" i="29"/>
  <c r="Q412" i="29"/>
  <c r="C136" i="29"/>
  <c r="K538" i="29"/>
  <c r="R386" i="29"/>
  <c r="M852" i="29"/>
  <c r="P700" i="29"/>
  <c r="J330" i="29"/>
  <c r="Q861" i="29"/>
  <c r="P64" i="29"/>
  <c r="L691" i="29"/>
  <c r="Q469" i="29"/>
  <c r="P120" i="29"/>
  <c r="R791" i="29"/>
  <c r="R112" i="29"/>
  <c r="M803" i="29"/>
  <c r="Q719" i="29"/>
  <c r="M791" i="29"/>
  <c r="N451" i="29"/>
  <c r="R53" i="29"/>
  <c r="P608" i="29"/>
  <c r="R420" i="29"/>
  <c r="P68" i="29"/>
  <c r="Q803" i="29"/>
  <c r="J480" i="29"/>
  <c r="R125" i="29"/>
  <c r="Q844" i="29"/>
  <c r="Q207" i="29"/>
  <c r="C462" i="29"/>
  <c r="Q631" i="29"/>
  <c r="P277" i="29"/>
  <c r="J520" i="29"/>
  <c r="N809" i="29"/>
  <c r="P849" i="29"/>
  <c r="Q883" i="29"/>
  <c r="Q649" i="29"/>
  <c r="L351" i="29"/>
  <c r="R143" i="29"/>
  <c r="J809" i="29"/>
  <c r="J190" i="29"/>
  <c r="K253" i="29"/>
  <c r="R19" i="29"/>
  <c r="P75" i="29"/>
  <c r="M653" i="29"/>
  <c r="Q190" i="29"/>
  <c r="Q654" i="29"/>
  <c r="L657" i="29"/>
  <c r="J657" i="29" s="1"/>
  <c r="N268" i="29"/>
  <c r="L639" i="29"/>
  <c r="Q272" i="29"/>
  <c r="M898" i="29"/>
  <c r="Q558" i="29"/>
  <c r="R790" i="29"/>
  <c r="R178" i="29"/>
  <c r="L703" i="29"/>
  <c r="R306" i="29"/>
  <c r="Q316" i="29"/>
  <c r="K436" i="29"/>
  <c r="L821" i="29"/>
  <c r="R653" i="29"/>
  <c r="P661" i="29"/>
  <c r="N845" i="29"/>
  <c r="R579" i="29"/>
  <c r="C453" i="29"/>
  <c r="P421" i="29"/>
  <c r="R162" i="29"/>
  <c r="Q107" i="29"/>
  <c r="P369" i="29"/>
  <c r="N262" i="29"/>
  <c r="R515" i="29"/>
  <c r="N379" i="29"/>
  <c r="R380" i="29"/>
  <c r="N618" i="29"/>
  <c r="K554" i="29"/>
  <c r="Q475" i="29"/>
  <c r="K520" i="29"/>
  <c r="P274" i="29"/>
  <c r="P186" i="29"/>
  <c r="R642" i="29"/>
  <c r="Q363" i="29"/>
  <c r="P570" i="29"/>
  <c r="Q388" i="29"/>
  <c r="C413" i="29"/>
  <c r="Q536" i="29"/>
  <c r="P621" i="29"/>
  <c r="C488" i="29"/>
  <c r="J297" i="29"/>
  <c r="R856" i="29"/>
  <c r="Q527" i="29"/>
  <c r="Q537" i="29"/>
  <c r="M547" i="29"/>
  <c r="Q195" i="29"/>
  <c r="R703" i="29"/>
  <c r="P905" i="29"/>
  <c r="P337" i="29"/>
  <c r="N903" i="29"/>
  <c r="K137" i="29"/>
  <c r="L432" i="29"/>
  <c r="J679" i="29"/>
  <c r="P170" i="29"/>
  <c r="K838" i="29"/>
  <c r="J388" i="29"/>
  <c r="M573" i="29"/>
  <c r="R290" i="29"/>
  <c r="M494" i="29"/>
  <c r="L783" i="29"/>
  <c r="L349" i="29"/>
  <c r="R205" i="29"/>
  <c r="P912" i="29"/>
  <c r="P871" i="29"/>
  <c r="P266" i="29"/>
  <c r="N851" i="29"/>
  <c r="P258" i="29"/>
  <c r="Q514" i="29"/>
  <c r="K569" i="29"/>
  <c r="K911" i="29"/>
  <c r="Q820" i="29"/>
  <c r="N659" i="29"/>
  <c r="M581" i="29"/>
  <c r="R490" i="29"/>
  <c r="Q41" i="29"/>
  <c r="R193" i="29"/>
  <c r="M662" i="29"/>
  <c r="Q26" i="29"/>
  <c r="P15" i="29"/>
  <c r="N912" i="29"/>
  <c r="R411" i="29"/>
  <c r="P777" i="29"/>
  <c r="M691" i="29"/>
  <c r="Q91" i="29"/>
  <c r="L816" i="29"/>
  <c r="P71" i="29"/>
  <c r="M843" i="29"/>
  <c r="L883" i="29"/>
  <c r="P361" i="29"/>
  <c r="M723" i="29"/>
  <c r="Q155" i="29"/>
  <c r="P334" i="29"/>
  <c r="P425" i="29"/>
  <c r="N470" i="29"/>
  <c r="R175" i="29"/>
  <c r="N752" i="29"/>
  <c r="P559" i="29"/>
  <c r="Q824" i="29"/>
  <c r="Q234" i="29"/>
  <c r="Q913" i="29"/>
  <c r="Q862" i="29"/>
  <c r="N791" i="29"/>
  <c r="M725" i="29"/>
  <c r="P480" i="29"/>
  <c r="Q706" i="29"/>
  <c r="R901" i="29"/>
  <c r="R646" i="29"/>
  <c r="C254" i="29"/>
  <c r="N779" i="29"/>
  <c r="N796" i="29"/>
  <c r="R816" i="29"/>
  <c r="Q442" i="29"/>
  <c r="Q539" i="29"/>
  <c r="R782" i="29"/>
  <c r="C144" i="29"/>
  <c r="Q655" i="29"/>
  <c r="R354" i="29"/>
  <c r="C765" i="29"/>
  <c r="R55" i="29"/>
  <c r="Q428" i="29"/>
  <c r="P371" i="29"/>
  <c r="Q401" i="29"/>
  <c r="Q661" i="29"/>
  <c r="R793" i="29"/>
  <c r="J730" i="29"/>
  <c r="Q258" i="29"/>
  <c r="C246" i="29"/>
  <c r="J365" i="29"/>
  <c r="P585" i="29"/>
  <c r="C575" i="29"/>
  <c r="J661" i="29"/>
  <c r="Q218" i="29"/>
  <c r="Q778" i="29"/>
  <c r="R844" i="29"/>
  <c r="C190" i="29"/>
  <c r="C514" i="29"/>
  <c r="J769" i="29"/>
  <c r="R761" i="29"/>
  <c r="C810" i="29"/>
  <c r="L623" i="29"/>
  <c r="L886" i="29"/>
  <c r="P141" i="29"/>
  <c r="P231" i="29"/>
  <c r="J869" i="29"/>
  <c r="M578" i="29"/>
  <c r="C823" i="29"/>
  <c r="P40" i="29"/>
  <c r="M219" i="29"/>
  <c r="P735" i="29"/>
  <c r="M632" i="29"/>
  <c r="M619" i="29"/>
  <c r="K885" i="29"/>
  <c r="R509" i="29"/>
  <c r="P262" i="29"/>
  <c r="K854" i="29"/>
  <c r="J478" i="29"/>
  <c r="C31" i="29"/>
  <c r="J527" i="29"/>
  <c r="J418" i="29"/>
  <c r="J84" i="29"/>
  <c r="Q807" i="29"/>
  <c r="C557" i="29"/>
  <c r="C620" i="29"/>
  <c r="J804" i="29"/>
  <c r="J834" i="29"/>
  <c r="R390" i="29"/>
  <c r="J885" i="29"/>
  <c r="Q765" i="29"/>
  <c r="Q741" i="29"/>
  <c r="K750" i="29"/>
  <c r="N905" i="29"/>
  <c r="N630" i="29"/>
  <c r="J768" i="29"/>
  <c r="R423" i="29"/>
  <c r="J141" i="29"/>
  <c r="P804" i="29"/>
  <c r="P657" i="29"/>
  <c r="R207" i="29"/>
  <c r="J690" i="29"/>
  <c r="Q163" i="29"/>
  <c r="R433" i="29"/>
  <c r="Q819" i="29"/>
  <c r="P828" i="29"/>
  <c r="R68" i="29"/>
  <c r="Q545" i="29"/>
  <c r="C384" i="29"/>
  <c r="L802" i="29"/>
  <c r="P256" i="29"/>
  <c r="Q597" i="29"/>
  <c r="C406" i="29"/>
  <c r="J140" i="29"/>
  <c r="J535" i="29"/>
  <c r="C135" i="29"/>
  <c r="J219" i="29"/>
  <c r="J488" i="29"/>
  <c r="J22" i="29"/>
  <c r="J561" i="29"/>
  <c r="J336" i="29"/>
  <c r="J288" i="29"/>
  <c r="R478" i="29"/>
  <c r="J224" i="29"/>
  <c r="J510" i="29"/>
  <c r="Q482" i="29"/>
  <c r="Q174" i="29"/>
  <c r="R308" i="29"/>
  <c r="P861" i="29"/>
  <c r="R343" i="29"/>
  <c r="P731" i="29"/>
  <c r="C355" i="29"/>
  <c r="R743" i="29"/>
  <c r="Q648" i="29"/>
  <c r="J720" i="29"/>
  <c r="Q87" i="29"/>
  <c r="M821" i="29"/>
  <c r="L629" i="29"/>
  <c r="Q325" i="29"/>
  <c r="P492" i="29"/>
  <c r="R448" i="29"/>
  <c r="C747" i="29"/>
  <c r="C880" i="29"/>
  <c r="J45" i="29"/>
  <c r="J675" i="29"/>
  <c r="P892" i="29"/>
  <c r="J212" i="29"/>
  <c r="C685" i="29"/>
  <c r="J260" i="29"/>
  <c r="J109" i="29"/>
  <c r="C367" i="29"/>
  <c r="P785" i="29"/>
  <c r="C573" i="29"/>
  <c r="R705" i="29"/>
  <c r="R341" i="29"/>
  <c r="J410" i="29"/>
  <c r="J551" i="29"/>
  <c r="N456" i="29"/>
  <c r="P321" i="29"/>
  <c r="C560" i="29"/>
  <c r="C737" i="29"/>
  <c r="Q888" i="29"/>
  <c r="Q730" i="29"/>
  <c r="K789" i="29"/>
  <c r="R179" i="29"/>
  <c r="P283" i="29"/>
  <c r="Q550" i="29"/>
  <c r="P772" i="29"/>
  <c r="R857" i="29"/>
  <c r="Q440" i="29"/>
  <c r="R565" i="29"/>
  <c r="R75" i="29"/>
  <c r="K720" i="29"/>
  <c r="Q473" i="29"/>
  <c r="C348" i="29"/>
  <c r="P537" i="29"/>
  <c r="C816" i="29"/>
  <c r="J910" i="29"/>
  <c r="P33" i="29"/>
  <c r="C778" i="29"/>
  <c r="Q474" i="29"/>
  <c r="J129" i="29"/>
  <c r="C216" i="29"/>
  <c r="C629" i="29"/>
  <c r="P397" i="29"/>
  <c r="C609" i="29"/>
  <c r="J344" i="29"/>
  <c r="J819" i="29"/>
  <c r="R557" i="29"/>
  <c r="P355" i="29"/>
  <c r="K671" i="29"/>
  <c r="Q395" i="29"/>
  <c r="R158" i="29"/>
  <c r="J528" i="29"/>
  <c r="R109" i="29"/>
  <c r="M747" i="29"/>
  <c r="Q600" i="29"/>
  <c r="Q662" i="29"/>
  <c r="Q621" i="29"/>
  <c r="P36" i="29"/>
  <c r="C200" i="29"/>
  <c r="M522" i="29"/>
  <c r="M424" i="29"/>
  <c r="R505" i="29"/>
  <c r="L890" i="29"/>
  <c r="Q16" i="29"/>
  <c r="R232" i="29"/>
  <c r="C33" i="29"/>
  <c r="J883" i="29"/>
  <c r="R888" i="29"/>
  <c r="J731" i="29"/>
  <c r="Q745" i="29"/>
  <c r="C830" i="29"/>
  <c r="C708" i="29"/>
  <c r="C657" i="29"/>
  <c r="J231" i="29"/>
  <c r="P636" i="29"/>
  <c r="Q610" i="29"/>
  <c r="K666" i="29"/>
  <c r="Q656" i="29"/>
  <c r="J718" i="29"/>
  <c r="R71" i="29"/>
  <c r="Q869" i="29"/>
  <c r="R517" i="29"/>
  <c r="Q497" i="29"/>
  <c r="P551" i="29"/>
  <c r="P287" i="29"/>
  <c r="L597" i="29"/>
  <c r="R733" i="29"/>
  <c r="Q657" i="29"/>
  <c r="C437" i="29"/>
  <c r="Q856" i="29"/>
  <c r="P894" i="29"/>
  <c r="P856" i="29"/>
  <c r="P373" i="29"/>
  <c r="J368" i="29"/>
  <c r="J335" i="29"/>
  <c r="C101" i="29"/>
  <c r="J135" i="29"/>
  <c r="J914" i="29"/>
  <c r="C821" i="29"/>
  <c r="C770" i="29"/>
  <c r="C438" i="29"/>
  <c r="R163" i="29"/>
  <c r="P714" i="29"/>
  <c r="J266" i="29"/>
  <c r="R587" i="29"/>
  <c r="C579" i="29"/>
  <c r="C785" i="29"/>
  <c r="C608" i="29"/>
  <c r="C542" i="29"/>
  <c r="J803" i="29"/>
  <c r="R850" i="29"/>
  <c r="Q520" i="29"/>
  <c r="R589" i="29"/>
  <c r="J620" i="29"/>
  <c r="J760" i="29"/>
  <c r="J349" i="29"/>
  <c r="R115" i="29"/>
  <c r="J285" i="29"/>
  <c r="Q374" i="29"/>
  <c r="C344" i="29"/>
  <c r="C376" i="29"/>
  <c r="J46" i="29"/>
  <c r="C397" i="29"/>
  <c r="C142" i="29"/>
  <c r="J237" i="29"/>
  <c r="Q691" i="29"/>
  <c r="C443" i="29"/>
  <c r="N859" i="29"/>
  <c r="K806" i="29"/>
  <c r="J322" i="29"/>
  <c r="J602" i="29"/>
  <c r="J833" i="29"/>
  <c r="J536" i="29"/>
  <c r="C504" i="29"/>
  <c r="M855" i="29"/>
  <c r="J495" i="29"/>
  <c r="J723" i="29"/>
  <c r="C307" i="29"/>
  <c r="J550" i="29"/>
  <c r="J265" i="29"/>
  <c r="C769" i="29"/>
  <c r="R335" i="29"/>
  <c r="P745" i="29"/>
  <c r="R317" i="29"/>
  <c r="J128" i="29"/>
  <c r="J65" i="29"/>
  <c r="J384" i="29"/>
  <c r="C473" i="29"/>
  <c r="P726" i="29"/>
  <c r="C528" i="29"/>
  <c r="J167" i="29"/>
  <c r="J312" i="29"/>
  <c r="C820" i="29"/>
  <c r="C66" i="29"/>
  <c r="J379" i="29"/>
  <c r="J625" i="29"/>
  <c r="J584" i="29"/>
  <c r="C109" i="29"/>
  <c r="P190" i="29"/>
  <c r="K588" i="29"/>
  <c r="C909" i="29"/>
  <c r="J792" i="29"/>
  <c r="P801" i="29"/>
  <c r="P49" i="29"/>
  <c r="J81" i="29"/>
  <c r="J57" i="29"/>
  <c r="C284" i="29"/>
  <c r="C683" i="29"/>
  <c r="J343" i="29"/>
  <c r="C26" i="29"/>
  <c r="R102" i="29"/>
  <c r="J821" i="29"/>
  <c r="R493" i="29"/>
  <c r="J110" i="29"/>
  <c r="J491" i="29"/>
  <c r="C544" i="29"/>
  <c r="J381" i="29"/>
  <c r="R183" i="29"/>
  <c r="J26" i="29"/>
  <c r="J552" i="29"/>
  <c r="J589" i="29"/>
  <c r="C237" i="29"/>
  <c r="C309" i="29"/>
  <c r="C454" i="29"/>
  <c r="J228" i="29"/>
  <c r="J539" i="29"/>
  <c r="C536" i="29"/>
  <c r="J761" i="29"/>
  <c r="C380" i="29"/>
  <c r="Q898" i="29"/>
  <c r="R602" i="29"/>
  <c r="R802" i="29"/>
  <c r="J764" i="29"/>
  <c r="R794" i="29"/>
  <c r="N795" i="29"/>
  <c r="C11" i="29"/>
  <c r="C618" i="29"/>
  <c r="J391" i="29"/>
  <c r="Q668" i="29"/>
  <c r="C597" i="29"/>
  <c r="C850" i="29"/>
  <c r="J830" i="29"/>
  <c r="J210" i="29"/>
  <c r="J647" i="29"/>
  <c r="Q25" i="29"/>
  <c r="J705" i="29"/>
  <c r="C222" i="29"/>
  <c r="J715" i="29"/>
  <c r="N624" i="29"/>
  <c r="R319" i="29"/>
  <c r="R543" i="29"/>
  <c r="C860" i="29"/>
  <c r="L408" i="29"/>
  <c r="J408" i="29" s="1"/>
  <c r="Q146" i="29"/>
  <c r="J100" i="29"/>
  <c r="J889" i="29"/>
  <c r="P455" i="29"/>
  <c r="J148" i="29"/>
  <c r="P48" i="29"/>
  <c r="C370" i="29"/>
  <c r="J662" i="29"/>
  <c r="C474" i="29"/>
  <c r="C174" i="29"/>
  <c r="J786" i="29"/>
  <c r="C465" i="29"/>
  <c r="P255" i="29"/>
  <c r="C892" i="29"/>
  <c r="Q829" i="29"/>
  <c r="C183" i="29"/>
  <c r="C323" i="29"/>
  <c r="R516" i="29"/>
  <c r="C336" i="29"/>
  <c r="J573" i="29"/>
  <c r="P383" i="29"/>
  <c r="J864" i="29"/>
  <c r="R377" i="29"/>
  <c r="P794" i="29"/>
  <c r="R16" i="29"/>
  <c r="Q671" i="29"/>
  <c r="R360" i="29"/>
  <c r="R893" i="29"/>
  <c r="J450" i="29"/>
  <c r="R424" i="29"/>
  <c r="Q713" i="29"/>
  <c r="Q877" i="29"/>
  <c r="J791" i="29"/>
  <c r="R650" i="29"/>
  <c r="Q579" i="29"/>
  <c r="C906" i="29"/>
  <c r="J515" i="29"/>
  <c r="C783" i="29"/>
  <c r="Q266" i="29"/>
  <c r="C485" i="29"/>
  <c r="C73" i="29"/>
  <c r="C419" i="29"/>
  <c r="R774" i="29"/>
  <c r="Q410" i="29"/>
  <c r="C470" i="29"/>
  <c r="J832" i="29"/>
  <c r="J503" i="29"/>
  <c r="C149" i="29"/>
  <c r="C893" i="29"/>
  <c r="J555" i="29"/>
  <c r="J569" i="29"/>
  <c r="Q62" i="29"/>
  <c r="P486" i="29"/>
  <c r="P483" i="29"/>
  <c r="Q271" i="29"/>
  <c r="Q425" i="29"/>
  <c r="C917" i="29"/>
  <c r="R674" i="29"/>
  <c r="P311" i="29"/>
  <c r="R362" i="29"/>
  <c r="J397" i="29"/>
  <c r="P244" i="29"/>
  <c r="P511" i="29"/>
  <c r="Q897" i="29"/>
  <c r="Q795" i="29"/>
  <c r="P51" i="29"/>
  <c r="R917" i="29"/>
  <c r="J142" i="29"/>
  <c r="P340" i="29"/>
  <c r="C825" i="29"/>
  <c r="C644" i="29"/>
  <c r="R902" i="29"/>
  <c r="J560" i="29"/>
  <c r="J390" i="29"/>
  <c r="C360" i="29"/>
  <c r="C416" i="29"/>
  <c r="C605" i="29"/>
  <c r="P468" i="29"/>
  <c r="C324" i="29"/>
  <c r="C847" i="29"/>
  <c r="Q356" i="29"/>
  <c r="M760" i="29"/>
  <c r="L604" i="29"/>
  <c r="P815" i="29"/>
  <c r="Q116" i="29"/>
  <c r="P305" i="29"/>
  <c r="R766" i="29"/>
  <c r="P727" i="29"/>
  <c r="Q381" i="29"/>
  <c r="R612" i="29"/>
  <c r="P113" i="29"/>
  <c r="R284" i="29"/>
  <c r="R913" i="29"/>
  <c r="Q237" i="29"/>
  <c r="C663" i="29"/>
  <c r="Q229" i="29"/>
  <c r="R479" i="29"/>
  <c r="L915" i="29"/>
  <c r="J915" i="29" s="1"/>
  <c r="J172" i="29"/>
  <c r="J440" i="29"/>
  <c r="J211" i="29"/>
  <c r="J616" i="29"/>
  <c r="P457" i="29"/>
  <c r="J6" i="29"/>
  <c r="Q664" i="29"/>
  <c r="J267" i="29"/>
  <c r="C396" i="29"/>
  <c r="C631" i="29"/>
  <c r="C241" i="29"/>
  <c r="J114" i="29"/>
  <c r="C725" i="29"/>
  <c r="Q670" i="29"/>
  <c r="M768" i="29"/>
  <c r="R523" i="29"/>
  <c r="R882" i="29"/>
  <c r="R359" i="29"/>
  <c r="R624" i="29"/>
  <c r="C141" i="29"/>
  <c r="P227" i="29"/>
  <c r="P664" i="29"/>
  <c r="J50" i="29"/>
  <c r="R869" i="29"/>
  <c r="M429" i="29"/>
  <c r="K618" i="29"/>
  <c r="Q12" i="29"/>
  <c r="R357" i="29"/>
  <c r="Q557" i="29"/>
  <c r="P865" i="29"/>
  <c r="Q97" i="29"/>
  <c r="C915" i="29"/>
  <c r="C710" i="29"/>
  <c r="R52" i="29"/>
  <c r="C767" i="29"/>
  <c r="J85" i="29"/>
  <c r="C858" i="29"/>
  <c r="C869" i="29"/>
  <c r="F4" i="29"/>
  <c r="C635" i="29"/>
  <c r="J29" i="29"/>
  <c r="P764" i="29"/>
  <c r="C297" i="29"/>
  <c r="J62" i="29"/>
  <c r="J176" i="29"/>
  <c r="R784" i="29"/>
  <c r="R190" i="29"/>
  <c r="J729" i="29"/>
  <c r="Q882" i="29"/>
  <c r="L785" i="29"/>
  <c r="P897" i="29"/>
  <c r="C585" i="29"/>
  <c r="C317" i="29"/>
  <c r="C848" i="29"/>
  <c r="C88" i="29"/>
  <c r="P736" i="29"/>
  <c r="Q433" i="29"/>
  <c r="C242" i="29"/>
  <c r="J747" i="29"/>
  <c r="C506" i="29"/>
  <c r="J460" i="29"/>
  <c r="C150" i="29"/>
  <c r="J481" i="29"/>
  <c r="J261" i="29"/>
  <c r="R398" i="29"/>
  <c r="J103" i="29"/>
  <c r="P35" i="29"/>
  <c r="C378" i="29"/>
  <c r="P666" i="29"/>
  <c r="C913" i="29"/>
  <c r="R405" i="29"/>
  <c r="C166" i="29"/>
  <c r="C588" i="29"/>
  <c r="C480" i="29"/>
  <c r="C721" i="29"/>
  <c r="C120" i="29"/>
  <c r="J711" i="29"/>
  <c r="J777" i="29"/>
  <c r="J849" i="29"/>
  <c r="J846" i="29"/>
  <c r="P465" i="29"/>
  <c r="Q660" i="29"/>
  <c r="C227" i="29"/>
  <c r="Q383" i="29"/>
  <c r="R803" i="29"/>
  <c r="J338" i="29"/>
  <c r="J610" i="29"/>
  <c r="C431" i="29"/>
  <c r="C29" i="29"/>
  <c r="C354" i="29"/>
  <c r="Q49" i="29"/>
  <c r="C46" i="29"/>
  <c r="C114" i="29"/>
  <c r="J684" i="29"/>
  <c r="N4" i="29"/>
  <c r="J500" i="29"/>
  <c r="E4" i="29"/>
  <c r="P164" i="29"/>
  <c r="P32" i="29"/>
  <c r="J748" i="29"/>
  <c r="P307" i="29"/>
  <c r="J456" i="29"/>
  <c r="J611" i="29"/>
  <c r="P887" i="29"/>
  <c r="J692" i="29"/>
  <c r="J134" i="29"/>
  <c r="R376" i="29"/>
  <c r="C668" i="29"/>
  <c r="P583" i="29"/>
  <c r="C735" i="29"/>
  <c r="R246" i="29"/>
  <c r="R625" i="29"/>
  <c r="C790" i="29"/>
  <c r="C270" i="29"/>
  <c r="C446" i="29"/>
  <c r="J585" i="29"/>
  <c r="C524" i="29"/>
  <c r="J248" i="29"/>
  <c r="J286" i="29"/>
  <c r="C873" i="29"/>
  <c r="C772" i="29"/>
  <c r="J345" i="29"/>
  <c r="C74" i="29"/>
  <c r="J320" i="29"/>
  <c r="P630" i="29"/>
  <c r="R708" i="29"/>
  <c r="C184" i="29"/>
  <c r="J913" i="29"/>
  <c r="C490" i="29"/>
  <c r="R629" i="29"/>
  <c r="J698" i="29"/>
  <c r="Q403" i="29"/>
  <c r="C627" i="29"/>
  <c r="C700" i="29"/>
  <c r="P423" i="29"/>
  <c r="C179" i="29"/>
  <c r="C158" i="29"/>
  <c r="P614" i="29"/>
  <c r="Q584" i="29"/>
  <c r="J823" i="29"/>
  <c r="P83" i="29"/>
  <c r="P917" i="29"/>
  <c r="C651" i="29"/>
  <c r="G4" i="29"/>
  <c r="J436" i="29"/>
  <c r="Q684" i="29"/>
  <c r="C482" i="29"/>
  <c r="J246" i="29"/>
  <c r="J622" i="29"/>
  <c r="J629" i="29"/>
  <c r="K875" i="29"/>
  <c r="Q189" i="29"/>
  <c r="R771" i="29"/>
  <c r="C250" i="29"/>
  <c r="C794" i="29"/>
  <c r="K489" i="29"/>
  <c r="J714" i="29"/>
  <c r="J208" i="29"/>
  <c r="Q14" i="29"/>
  <c r="P495" i="29"/>
  <c r="C410" i="29"/>
  <c r="P877" i="29"/>
  <c r="C489" i="29"/>
  <c r="C592" i="29"/>
  <c r="J669" i="29"/>
  <c r="Q740" i="29"/>
  <c r="R690" i="29"/>
  <c r="J432" i="29"/>
  <c r="C693" i="29"/>
  <c r="J532" i="29"/>
  <c r="C526" i="29"/>
  <c r="R559" i="29"/>
  <c r="J627" i="29"/>
  <c r="C264" i="29"/>
  <c r="Q223" i="29"/>
  <c r="J639" i="29"/>
  <c r="P542" i="29"/>
  <c r="Q437" i="29"/>
  <c r="Q849" i="29"/>
  <c r="N642" i="29"/>
  <c r="P722" i="29"/>
  <c r="M824" i="29"/>
  <c r="P447" i="29"/>
  <c r="Q71" i="29"/>
  <c r="C856" i="29"/>
  <c r="R571" i="29"/>
  <c r="M831" i="29"/>
  <c r="P882" i="29"/>
  <c r="K848" i="29"/>
  <c r="Q511" i="29"/>
  <c r="K632" i="29"/>
  <c r="P682" i="29"/>
  <c r="C386" i="29"/>
  <c r="R775" i="29"/>
  <c r="J751" i="29"/>
  <c r="J156" i="29"/>
  <c r="P891" i="29"/>
  <c r="C402" i="29"/>
  <c r="R292" i="29"/>
  <c r="J185" i="29"/>
  <c r="J612" i="29"/>
  <c r="C139" i="29"/>
  <c r="Q209" i="29"/>
  <c r="C554" i="29"/>
  <c r="C207" i="29"/>
  <c r="J576" i="29"/>
  <c r="C315" i="29"/>
  <c r="L400" i="29"/>
  <c r="R572" i="29"/>
  <c r="R788" i="29"/>
  <c r="C583" i="29"/>
  <c r="J183" i="29"/>
  <c r="P904" i="29"/>
  <c r="Q759" i="29"/>
  <c r="R736" i="29"/>
  <c r="R369" i="29"/>
  <c r="C382" i="29"/>
  <c r="M540" i="29"/>
  <c r="Q576" i="29"/>
  <c r="P703" i="29"/>
  <c r="R419" i="29"/>
  <c r="Q445" i="29"/>
  <c r="R798" i="29"/>
  <c r="C580" i="29"/>
  <c r="R796" i="29"/>
  <c r="J549" i="29"/>
  <c r="C695" i="29"/>
  <c r="C55" i="29"/>
  <c r="J296" i="29"/>
  <c r="C690" i="29"/>
  <c r="J706" i="29"/>
  <c r="P873" i="29"/>
  <c r="P197" i="29"/>
  <c r="J122" i="29"/>
  <c r="R809" i="29"/>
  <c r="Q725" i="29"/>
  <c r="J815" i="29"/>
  <c r="M560" i="29"/>
  <c r="L872" i="29"/>
  <c r="M905" i="29"/>
  <c r="R66" i="29"/>
  <c r="P349" i="29"/>
  <c r="Q916" i="29"/>
  <c r="R633" i="29"/>
  <c r="R824" i="29"/>
  <c r="P180" i="29"/>
  <c r="J68" i="29"/>
  <c r="P656" i="29"/>
  <c r="M813" i="29"/>
  <c r="M394" i="29"/>
  <c r="M435" i="29"/>
  <c r="R687" i="29"/>
  <c r="Q17" i="29"/>
  <c r="J294" i="29"/>
  <c r="Q601" i="29"/>
  <c r="J15" i="29"/>
  <c r="J605" i="29"/>
  <c r="N870" i="29"/>
  <c r="R797" i="29"/>
  <c r="C516" i="29"/>
  <c r="C234" i="29"/>
  <c r="J342" i="29"/>
  <c r="J512" i="29"/>
  <c r="C494" i="29"/>
  <c r="Q581" i="29"/>
  <c r="C325" i="29"/>
  <c r="P791" i="29"/>
  <c r="M622" i="29"/>
  <c r="R664" i="29"/>
  <c r="P839" i="29"/>
  <c r="P730" i="29"/>
  <c r="R663" i="29"/>
  <c r="R552" i="29"/>
  <c r="R613" i="29"/>
  <c r="N757" i="29"/>
  <c r="Q311" i="29"/>
  <c r="J483" i="29"/>
  <c r="Q398" i="29"/>
  <c r="P508" i="29"/>
  <c r="Q755" i="29"/>
  <c r="K743" i="29"/>
  <c r="R881" i="29"/>
  <c r="R238" i="29"/>
  <c r="J182" i="29"/>
  <c r="J69" i="29"/>
  <c r="J783" i="29"/>
  <c r="P603" i="29"/>
  <c r="C420" i="29"/>
  <c r="J577" i="29"/>
  <c r="J44" i="29"/>
  <c r="C137" i="29"/>
  <c r="Q377" i="29"/>
  <c r="Q835" i="29"/>
  <c r="J740" i="29"/>
  <c r="C832" i="29"/>
  <c r="J912" i="29"/>
  <c r="C787" i="29"/>
  <c r="C91" i="29"/>
  <c r="C888" i="29"/>
  <c r="R701" i="29"/>
  <c r="J311" i="29"/>
  <c r="R524" i="29"/>
  <c r="J31" i="29"/>
  <c r="R575" i="29"/>
  <c r="J252" i="29"/>
  <c r="J154" i="29"/>
  <c r="J805" i="29"/>
  <c r="C537" i="29"/>
  <c r="J580" i="29"/>
  <c r="R830" i="29"/>
  <c r="J358" i="29"/>
  <c r="C530" i="29"/>
  <c r="J306" i="29"/>
  <c r="Q792" i="29"/>
  <c r="J677" i="29"/>
  <c r="J909" i="29"/>
  <c r="C255" i="29"/>
  <c r="C863" i="29"/>
  <c r="C62" i="29"/>
  <c r="J537" i="29"/>
  <c r="R30" i="29"/>
  <c r="Q530" i="29"/>
  <c r="C751" i="29"/>
  <c r="C866" i="29"/>
  <c r="J603" i="29"/>
  <c r="Q709" i="29"/>
  <c r="J355" i="29"/>
  <c r="C7" i="29"/>
  <c r="C6" i="29"/>
  <c r="R896" i="29"/>
  <c r="J482" i="29"/>
  <c r="J566" i="29"/>
  <c r="Q567" i="29"/>
  <c r="J521" i="29"/>
  <c r="C432" i="29"/>
  <c r="Q448" i="29"/>
  <c r="J415" i="29"/>
  <c r="C211" i="29"/>
  <c r="J331" i="29"/>
  <c r="C513" i="29"/>
  <c r="R409" i="29"/>
  <c r="J326" i="29"/>
  <c r="C70" i="29"/>
  <c r="P598" i="29"/>
  <c r="C153" i="29"/>
  <c r="Q826" i="29"/>
  <c r="J793" i="29"/>
  <c r="C679" i="29"/>
  <c r="J385" i="29"/>
  <c r="R813" i="29"/>
  <c r="J428" i="29"/>
  <c r="R632" i="29"/>
  <c r="P593" i="29"/>
  <c r="J202" i="29"/>
  <c r="J329" i="29"/>
  <c r="C807" i="29"/>
  <c r="J10" i="29"/>
  <c r="J186" i="29"/>
  <c r="Q521" i="29"/>
  <c r="J660" i="29"/>
  <c r="J461" i="29"/>
  <c r="C248" i="29"/>
  <c r="C19" i="29"/>
  <c r="J403" i="29"/>
  <c r="C40" i="29"/>
  <c r="P895" i="29"/>
  <c r="J207" i="29"/>
  <c r="J357" i="29"/>
  <c r="R695" i="29"/>
  <c r="R769" i="29"/>
  <c r="J875" i="29"/>
  <c r="J209" i="29"/>
  <c r="J222" i="29"/>
  <c r="C861" i="29"/>
  <c r="R474" i="29"/>
  <c r="C672" i="29"/>
  <c r="C134" i="29"/>
  <c r="J192" i="29"/>
  <c r="P768" i="29"/>
  <c r="C896" i="29"/>
  <c r="P659" i="29"/>
  <c r="R259" i="29"/>
  <c r="C175" i="29"/>
  <c r="C571" i="29"/>
  <c r="J363" i="29"/>
  <c r="R46" i="29"/>
  <c r="C653" i="29"/>
  <c r="J383" i="29"/>
  <c r="P640" i="29"/>
  <c r="N794" i="29"/>
  <c r="C37" i="29"/>
  <c r="J599" i="29"/>
  <c r="J893" i="29"/>
  <c r="P434" i="29"/>
  <c r="P820" i="29"/>
  <c r="C652" i="29"/>
  <c r="R547" i="29"/>
  <c r="P779" i="29"/>
  <c r="C192" i="29"/>
  <c r="C358" i="29"/>
  <c r="J490" i="29"/>
  <c r="J683" i="29"/>
  <c r="Q876" i="29"/>
  <c r="C278" i="29"/>
  <c r="J545" i="29"/>
  <c r="J93" i="29"/>
  <c r="C447" i="29"/>
  <c r="Q805" i="29"/>
  <c r="Q270" i="29"/>
  <c r="C754" i="29"/>
  <c r="C394" i="29"/>
  <c r="M352" i="29"/>
  <c r="P832" i="29"/>
  <c r="C822" i="29"/>
  <c r="C20" i="29"/>
  <c r="P774" i="29"/>
  <c r="C801" i="29"/>
  <c r="J496" i="29"/>
  <c r="C545" i="29"/>
  <c r="P395" i="29"/>
  <c r="J516" i="29"/>
  <c r="C232" i="29"/>
  <c r="C733" i="29"/>
  <c r="C160" i="29"/>
  <c r="C157" i="29"/>
  <c r="J642" i="29"/>
  <c r="J451" i="29"/>
  <c r="N426" i="29"/>
  <c r="N602" i="29"/>
  <c r="R185" i="29"/>
  <c r="P561" i="29"/>
  <c r="P351" i="29"/>
  <c r="C17" i="29"/>
  <c r="Q396" i="29"/>
  <c r="N698" i="29"/>
  <c r="R204" i="29"/>
  <c r="Q714" i="29"/>
  <c r="L896" i="29"/>
  <c r="R426" i="29"/>
  <c r="Q617" i="29"/>
  <c r="K851" i="29"/>
  <c r="R655" i="29"/>
  <c r="Q650" i="29"/>
  <c r="C435" i="29"/>
  <c r="Q705" i="29"/>
  <c r="J262" i="29"/>
  <c r="J725" i="29"/>
  <c r="C342" i="29"/>
  <c r="P732" i="29"/>
  <c r="C883" i="29"/>
  <c r="J840" i="29"/>
  <c r="R720" i="29"/>
  <c r="J151" i="29"/>
  <c r="P376" i="29"/>
  <c r="C295" i="29"/>
  <c r="J242" i="29"/>
  <c r="Q681" i="29"/>
  <c r="N861" i="29"/>
  <c r="J90" i="29"/>
  <c r="Q224" i="29"/>
  <c r="P594" i="29"/>
  <c r="C423" i="29"/>
  <c r="P548" i="29"/>
  <c r="Q196" i="29"/>
  <c r="C538" i="29"/>
  <c r="Q553" i="29"/>
  <c r="Q806" i="29"/>
  <c r="J579" i="29"/>
  <c r="J712" i="29"/>
  <c r="P469" i="29"/>
  <c r="P195" i="29"/>
  <c r="R417" i="29"/>
  <c r="R599" i="29"/>
  <c r="P651" i="29"/>
  <c r="P513" i="29"/>
  <c r="J28" i="29"/>
  <c r="J82" i="29"/>
  <c r="J671" i="29"/>
  <c r="C352" i="29"/>
  <c r="C223" i="29"/>
  <c r="Q327" i="29"/>
  <c r="J477" i="29"/>
  <c r="R511" i="29"/>
  <c r="C429" i="29"/>
  <c r="C119" i="29"/>
  <c r="C715" i="29"/>
  <c r="C738" i="29"/>
  <c r="L854" i="29"/>
  <c r="C305" i="29"/>
  <c r="N485" i="29"/>
  <c r="R340" i="29"/>
  <c r="Q673" i="29"/>
  <c r="P17" i="29"/>
  <c r="Q543" i="29"/>
  <c r="M751" i="29"/>
  <c r="Q798" i="29"/>
  <c r="P786" i="29"/>
  <c r="K825" i="29"/>
  <c r="J650" i="29"/>
  <c r="Q329" i="29"/>
  <c r="R741" i="29"/>
  <c r="R540" i="29"/>
  <c r="R814" i="29"/>
  <c r="R485" i="29"/>
  <c r="R886" i="29"/>
  <c r="J366" i="29"/>
  <c r="J149" i="29"/>
  <c r="C48" i="29"/>
  <c r="P728" i="29"/>
  <c r="J897" i="29"/>
  <c r="J563" i="29"/>
  <c r="R677" i="29"/>
  <c r="C624" i="29"/>
  <c r="C279" i="29"/>
  <c r="C855" i="29"/>
  <c r="P909" i="29"/>
  <c r="C204" i="29"/>
  <c r="C854" i="29"/>
  <c r="C791" i="29"/>
  <c r="Q143" i="29"/>
  <c r="P862" i="29"/>
  <c r="M901" i="29"/>
  <c r="C39" i="29"/>
  <c r="P617" i="29"/>
  <c r="C219" i="29"/>
  <c r="J901" i="29"/>
  <c r="R239" i="29"/>
  <c r="J861" i="29"/>
  <c r="N823" i="29"/>
  <c r="Q841" i="29"/>
  <c r="Q8" i="29"/>
  <c r="R265" i="29"/>
  <c r="P771" i="29"/>
  <c r="M549" i="29"/>
  <c r="L728" i="29"/>
  <c r="J728" i="29" s="1"/>
  <c r="P853" i="29"/>
  <c r="J42" i="29"/>
  <c r="P876" i="29"/>
  <c r="C689" i="29"/>
  <c r="C726" i="29"/>
  <c r="Q818" i="29"/>
  <c r="C267" i="29"/>
  <c r="Q852" i="29"/>
  <c r="C148" i="29"/>
  <c r="J719" i="29"/>
  <c r="J445" i="29"/>
  <c r="Q385" i="29"/>
  <c r="J524" i="29"/>
  <c r="J666" i="29"/>
  <c r="M810" i="29"/>
  <c r="C180" i="29"/>
  <c r="J879" i="29"/>
  <c r="J658" i="29"/>
  <c r="J789" i="29"/>
  <c r="J198" i="29"/>
  <c r="J800" i="29"/>
  <c r="Q169" i="29"/>
  <c r="P523" i="29"/>
  <c r="J755" i="29"/>
  <c r="R758" i="29"/>
  <c r="Q260" i="29"/>
  <c r="J161" i="29"/>
  <c r="J578" i="29"/>
  <c r="C460" i="29"/>
  <c r="L916" i="29"/>
  <c r="C319" i="29"/>
  <c r="C427" i="29"/>
  <c r="C885" i="29"/>
  <c r="P500" i="29"/>
  <c r="J340" i="29"/>
  <c r="C132" i="29"/>
  <c r="C467" i="29"/>
  <c r="R610" i="29"/>
  <c r="Q324" i="29"/>
  <c r="Q465" i="29"/>
  <c r="C625" i="29"/>
  <c r="J836" i="29"/>
  <c r="C472" i="29"/>
  <c r="J471" i="29"/>
  <c r="R808" i="29"/>
  <c r="C8" i="29"/>
  <c r="C167" i="29"/>
  <c r="Q397" i="29"/>
  <c r="J601" i="29"/>
  <c r="J514" i="29"/>
  <c r="C736" i="29"/>
  <c r="M807" i="29"/>
  <c r="R531" i="29"/>
  <c r="J405" i="29"/>
  <c r="C104" i="29"/>
  <c r="Q837" i="29"/>
  <c r="C196" i="29"/>
  <c r="C194" i="29"/>
  <c r="K853" i="29"/>
  <c r="C587" i="29"/>
  <c r="C477" i="29"/>
  <c r="J781" i="29"/>
  <c r="C520" i="29"/>
  <c r="C459" i="29"/>
  <c r="Q199" i="29"/>
  <c r="J598" i="29"/>
  <c r="C758" i="29"/>
  <c r="L784" i="29"/>
  <c r="P763" i="29"/>
  <c r="J469" i="29"/>
  <c r="J257" i="29"/>
  <c r="J556" i="29"/>
  <c r="R484" i="29"/>
  <c r="P111" i="29"/>
  <c r="C178" i="29"/>
  <c r="C93" i="29"/>
  <c r="J540" i="29"/>
  <c r="Q864" i="29"/>
  <c r="C177" i="29"/>
  <c r="J637" i="29"/>
  <c r="J590" i="29"/>
  <c r="Q461" i="29"/>
  <c r="Q114" i="29"/>
  <c r="J772" i="29"/>
  <c r="R500" i="29"/>
  <c r="C549" i="29"/>
  <c r="C496" i="29"/>
  <c r="R84" i="29"/>
  <c r="C296" i="29"/>
  <c r="J609" i="29"/>
  <c r="Q703" i="29"/>
  <c r="J485" i="29"/>
  <c r="C285" i="29"/>
  <c r="C154" i="29"/>
  <c r="C82" i="29"/>
  <c r="J38" i="29"/>
  <c r="C81" i="29"/>
  <c r="J180" i="29"/>
  <c r="R570" i="29"/>
  <c r="C94" i="29"/>
  <c r="P624" i="29"/>
  <c r="C546" i="29"/>
  <c r="C678" i="29"/>
  <c r="J593" i="29"/>
  <c r="Q853" i="29"/>
  <c r="J223" i="29"/>
  <c r="J426" i="29"/>
  <c r="C862" i="29"/>
  <c r="C561" i="29"/>
  <c r="J131" i="29"/>
  <c r="R217" i="29"/>
  <c r="C76" i="29"/>
  <c r="K590" i="29"/>
  <c r="R783" i="29"/>
  <c r="C468" i="29"/>
  <c r="J125" i="29"/>
  <c r="C771" i="29"/>
  <c r="C45" i="29"/>
  <c r="J538" i="29"/>
  <c r="C280" i="29"/>
  <c r="J73" i="29"/>
  <c r="J33" i="29"/>
  <c r="C878" i="29"/>
  <c r="P312" i="29"/>
  <c r="J136" i="29"/>
  <c r="J218" i="29"/>
  <c r="Q910" i="29"/>
  <c r="J519" i="29"/>
  <c r="J574" i="29"/>
  <c r="C543" i="29"/>
  <c r="C744" i="29"/>
  <c r="J303" i="29"/>
  <c r="C617" i="29"/>
  <c r="J195" i="29"/>
  <c r="J564" i="29"/>
  <c r="R546" i="29"/>
  <c r="J831" i="29"/>
  <c r="C293" i="29"/>
  <c r="C63" i="29"/>
  <c r="J254" i="29"/>
  <c r="J828" i="29"/>
  <c r="J247" i="29"/>
  <c r="C712" i="29"/>
  <c r="P437" i="29"/>
  <c r="P761" i="29"/>
  <c r="C326" i="29"/>
  <c r="J92" i="29"/>
  <c r="C616" i="29"/>
  <c r="P833" i="29"/>
  <c r="J546" i="29"/>
  <c r="R489" i="29"/>
  <c r="R659" i="29"/>
  <c r="C22" i="29"/>
  <c r="C582" i="29"/>
  <c r="R723" i="29"/>
  <c r="J734" i="29"/>
  <c r="J798" i="29"/>
  <c r="Q836" i="29"/>
  <c r="J511" i="29"/>
  <c r="C481" i="29"/>
  <c r="C221" i="29"/>
  <c r="P459" i="29"/>
  <c r="C209" i="29"/>
  <c r="J759" i="29"/>
  <c r="C288" i="29"/>
  <c r="C702" i="29"/>
  <c r="R270" i="29"/>
  <c r="R456" i="29"/>
  <c r="R747" i="29"/>
  <c r="C21" i="29"/>
  <c r="J462" i="29"/>
  <c r="R457" i="29"/>
  <c r="P658" i="29"/>
  <c r="C659" i="29"/>
  <c r="R494" i="29"/>
  <c r="M776" i="29"/>
  <c r="K862" i="29"/>
  <c r="C809" i="29"/>
  <c r="P390" i="29"/>
  <c r="R713" i="29"/>
  <c r="K729" i="29"/>
  <c r="R810" i="29"/>
  <c r="J876" i="29"/>
  <c r="J387" i="29"/>
  <c r="J674" i="29"/>
  <c r="R465" i="29"/>
  <c r="J843" i="29"/>
  <c r="J884" i="29"/>
  <c r="Q893" i="29"/>
  <c r="J194" i="29"/>
  <c r="K380" i="29"/>
  <c r="R83" i="29"/>
  <c r="P224" i="29"/>
  <c r="Q716" i="29"/>
  <c r="Q594" i="29"/>
  <c r="J89" i="29"/>
  <c r="Q443" i="29"/>
  <c r="R773" i="29"/>
  <c r="Q770" i="29"/>
  <c r="J424" i="29"/>
  <c r="R6" i="29"/>
  <c r="Q94" i="29"/>
  <c r="Q907" i="29"/>
  <c r="J454" i="29"/>
  <c r="Q177" i="29"/>
  <c r="R250" i="29"/>
  <c r="C69" i="29"/>
  <c r="C692" i="29"/>
  <c r="C596" i="29"/>
  <c r="C261" i="29"/>
  <c r="P667" i="29"/>
  <c r="J458" i="29"/>
  <c r="C262" i="29"/>
  <c r="C23" i="29"/>
  <c r="R372" i="29"/>
  <c r="R513" i="29"/>
  <c r="C415" i="29"/>
  <c r="J796" i="29"/>
  <c r="K4" i="29"/>
  <c r="C541" i="29"/>
  <c r="J313" i="29"/>
  <c r="J234" i="29"/>
  <c r="R152" i="29"/>
  <c r="C818" i="29"/>
  <c r="Q104" i="29"/>
  <c r="Q871" i="29"/>
  <c r="P410" i="29"/>
  <c r="J106" i="29"/>
  <c r="N797" i="29"/>
  <c r="R38" i="29"/>
  <c r="P814" i="29"/>
  <c r="M844" i="29"/>
  <c r="Q430" i="29"/>
  <c r="Q389" i="29"/>
  <c r="J763" i="29"/>
  <c r="N829" i="29"/>
  <c r="J640" i="29"/>
  <c r="R916" i="29"/>
  <c r="R467" i="29"/>
  <c r="C566" i="29"/>
  <c r="P855" i="29"/>
  <c r="C244" i="29"/>
  <c r="R428" i="29"/>
  <c r="J124" i="29"/>
  <c r="P601" i="29"/>
  <c r="C390" i="29"/>
  <c r="J302" i="29"/>
  <c r="C517" i="29"/>
  <c r="J621" i="29"/>
  <c r="C753" i="29"/>
  <c r="J678" i="29"/>
  <c r="J111" i="29"/>
  <c r="L797" i="29"/>
  <c r="R696" i="29"/>
  <c r="P602" i="29"/>
  <c r="C338" i="29"/>
  <c r="Q477" i="29"/>
  <c r="R588" i="29"/>
  <c r="R226" i="29"/>
  <c r="N847" i="29"/>
  <c r="P233" i="29"/>
  <c r="R716" i="29"/>
  <c r="P177" i="29"/>
  <c r="R314" i="29"/>
  <c r="P788" i="29"/>
  <c r="Q111" i="29"/>
  <c r="N897" i="29"/>
  <c r="L392" i="29"/>
  <c r="J392" i="29" s="1"/>
  <c r="Q48" i="29"/>
  <c r="C129" i="29"/>
  <c r="R379" i="29"/>
  <c r="C773" i="29"/>
  <c r="J225" i="29"/>
  <c r="C595" i="29"/>
  <c r="C763" i="29"/>
  <c r="J890" i="29"/>
  <c r="R660" i="29"/>
  <c r="C750" i="29"/>
  <c r="J523" i="29"/>
  <c r="C469" i="29"/>
  <c r="C550" i="29"/>
  <c r="C350" i="29"/>
  <c r="L699" i="29"/>
  <c r="P599" i="29"/>
  <c r="Q343" i="29"/>
  <c r="P758" i="29"/>
  <c r="P260" i="29"/>
  <c r="J881" i="29"/>
  <c r="P798" i="29"/>
  <c r="Q538" i="29"/>
  <c r="R333" i="29"/>
  <c r="J191" i="29"/>
  <c r="R691" i="29"/>
  <c r="Q508" i="29"/>
  <c r="Q418" i="29"/>
  <c r="P754" i="29"/>
  <c r="P432" i="29"/>
  <c r="R298" i="29"/>
  <c r="C874" i="29"/>
  <c r="Q879" i="29"/>
  <c r="C814" i="29"/>
  <c r="J441" i="29"/>
  <c r="Q301" i="29"/>
  <c r="C400" i="29"/>
  <c r="C613" i="29"/>
  <c r="J319" i="29"/>
  <c r="C116" i="29"/>
  <c r="J117" i="29"/>
  <c r="P783" i="29"/>
  <c r="J281" i="29"/>
  <c r="P4" i="29"/>
  <c r="R721" i="29"/>
  <c r="C371" i="29"/>
  <c r="J499" i="29"/>
  <c r="C408" i="29"/>
  <c r="P850" i="29"/>
  <c r="C169" i="29"/>
  <c r="R644" i="29"/>
  <c r="R725" i="29"/>
  <c r="K868" i="29"/>
  <c r="J327" i="29"/>
  <c r="C366" i="29"/>
  <c r="C757" i="29"/>
  <c r="C176" i="29"/>
  <c r="R835" i="29"/>
  <c r="P194" i="29"/>
  <c r="J697" i="29"/>
  <c r="J619" i="29"/>
  <c r="J571" i="29"/>
  <c r="J263" i="29"/>
  <c r="C357" i="29"/>
  <c r="R772" i="29"/>
  <c r="C610" i="29"/>
  <c r="Q906" i="29"/>
  <c r="P471" i="29"/>
  <c r="P428" i="29"/>
  <c r="J572" i="29"/>
  <c r="J673" i="29"/>
  <c r="C902" i="29"/>
  <c r="Q436" i="29"/>
  <c r="J827" i="29"/>
  <c r="C318" i="29"/>
  <c r="C870" i="29"/>
  <c r="R799" i="29"/>
  <c r="J757" i="29"/>
  <c r="C518" i="29"/>
  <c r="C373" i="29"/>
  <c r="Q917" i="29"/>
  <c r="R607" i="29"/>
  <c r="R819" i="29"/>
  <c r="C553" i="29"/>
  <c r="C301" i="29"/>
  <c r="J568" i="29"/>
  <c r="R325" i="29"/>
  <c r="P691" i="29"/>
  <c r="C417" i="29"/>
  <c r="J102" i="29"/>
  <c r="J188" i="29"/>
  <c r="C739" i="29"/>
  <c r="P796" i="29"/>
  <c r="C813" i="29"/>
  <c r="J854" i="29"/>
  <c r="J230" i="29"/>
  <c r="C283" i="29"/>
  <c r="C256" i="29"/>
  <c r="J872" i="29"/>
  <c r="C533" i="29"/>
  <c r="R535" i="29"/>
  <c r="Q449" i="29"/>
  <c r="C239" i="29"/>
  <c r="J693" i="29"/>
  <c r="R473" i="29"/>
  <c r="C124" i="29"/>
  <c r="C696" i="29"/>
  <c r="J631" i="29"/>
  <c r="J801" i="29"/>
  <c r="R460" i="29"/>
  <c r="J412" i="29"/>
  <c r="K731" i="29"/>
  <c r="L844" i="29"/>
  <c r="P497" i="29"/>
  <c r="J767" i="29"/>
  <c r="C286" i="29"/>
  <c r="J443" i="29"/>
  <c r="P872" i="29"/>
  <c r="J696" i="29"/>
  <c r="J544" i="29"/>
  <c r="J292" i="29"/>
  <c r="C361" i="29"/>
  <c r="Q904" i="29"/>
  <c r="P539" i="29"/>
  <c r="J505" i="29"/>
  <c r="Q262" i="29"/>
  <c r="J652" i="29"/>
  <c r="J645" i="29"/>
  <c r="Q563" i="29"/>
  <c r="C492" i="29"/>
  <c r="C258" i="29"/>
  <c r="C127" i="29"/>
  <c r="C424" i="29"/>
  <c r="C570" i="29"/>
  <c r="J406" i="29"/>
  <c r="J332" i="29"/>
  <c r="R364" i="29"/>
  <c r="R897" i="29"/>
  <c r="P810" i="29"/>
  <c r="C491" i="29"/>
  <c r="C522" i="29"/>
  <c r="J444" i="29"/>
  <c r="J474" i="29"/>
  <c r="Q172" i="29"/>
  <c r="C313" i="29"/>
  <c r="P709" i="29"/>
  <c r="Q88" i="29"/>
  <c r="C77" i="29"/>
  <c r="P490" i="29"/>
  <c r="Q434" i="29"/>
  <c r="J722" i="29"/>
  <c r="C865" i="29"/>
  <c r="K623" i="29"/>
  <c r="Q739" i="29"/>
  <c r="Q454" i="29"/>
  <c r="J463" i="29"/>
  <c r="J862" i="29"/>
  <c r="J743" i="29"/>
  <c r="C623" i="29"/>
  <c r="R873" i="29"/>
  <c r="C805" i="29"/>
  <c r="J498" i="29"/>
  <c r="C113" i="29"/>
  <c r="J419" i="29"/>
  <c r="J427" i="29"/>
  <c r="R95" i="29"/>
  <c r="J206" i="29"/>
  <c r="C673" i="29"/>
  <c r="C500" i="29"/>
  <c r="N461" i="29"/>
  <c r="Q173" i="29"/>
  <c r="J235" i="29"/>
  <c r="R85" i="29"/>
  <c r="C661" i="29"/>
  <c r="L903" i="29"/>
  <c r="J903" i="29" s="1"/>
  <c r="M861" i="29"/>
  <c r="Q839" i="29"/>
  <c r="J691" i="29"/>
  <c r="P147" i="29"/>
  <c r="P913" i="29"/>
  <c r="R439" i="29"/>
  <c r="Q902" i="29"/>
  <c r="R253" i="29"/>
  <c r="P507" i="29"/>
  <c r="C628" i="29"/>
  <c r="C846" i="29"/>
  <c r="C501" i="29"/>
  <c r="C797" i="29"/>
  <c r="J118" i="29"/>
  <c r="J119" i="29"/>
  <c r="P846" i="29"/>
  <c r="J672" i="29"/>
  <c r="J665" i="29"/>
  <c r="J448" i="29"/>
  <c r="J778" i="29"/>
  <c r="C198" i="29"/>
  <c r="Q733" i="29"/>
  <c r="C894" i="29"/>
  <c r="C901" i="29"/>
  <c r="J614" i="29"/>
  <c r="R302" i="29"/>
  <c r="P697" i="29"/>
  <c r="M872" i="29"/>
  <c r="P446" i="29"/>
  <c r="R851" i="29"/>
  <c r="Q850" i="29"/>
  <c r="R56" i="29"/>
  <c r="R668" i="29"/>
  <c r="M849" i="29"/>
  <c r="Q799" i="29"/>
  <c r="K801" i="29"/>
  <c r="R542" i="29"/>
  <c r="J905" i="29"/>
  <c r="R440" i="29"/>
  <c r="P734" i="29"/>
  <c r="Q513" i="29"/>
  <c r="C612" i="29"/>
  <c r="Q559" i="29"/>
  <c r="J137" i="29"/>
  <c r="C292" i="29"/>
  <c r="C331" i="29"/>
  <c r="J351" i="29"/>
  <c r="J655" i="29"/>
  <c r="J894" i="29"/>
  <c r="J20" i="29"/>
  <c r="J632" i="29"/>
  <c r="Q694" i="29"/>
  <c r="V4" i="29"/>
  <c r="P635" i="29"/>
  <c r="Q750" i="29"/>
  <c r="K656" i="29"/>
  <c r="P392" i="29"/>
  <c r="Q357" i="29"/>
  <c r="R374" i="29"/>
  <c r="P208" i="29"/>
  <c r="J464" i="29"/>
  <c r="P240" i="29"/>
  <c r="K826" i="29"/>
  <c r="K817" i="29"/>
  <c r="J25" i="29"/>
  <c r="Q231" i="29"/>
  <c r="Q773" i="29"/>
  <c r="Q743" i="29"/>
  <c r="Q478" i="29"/>
  <c r="P816" i="29"/>
  <c r="Q723" i="29"/>
  <c r="J700" i="29"/>
  <c r="P360" i="29"/>
  <c r="C534" i="29"/>
  <c r="J680" i="29"/>
  <c r="C343" i="29"/>
  <c r="P775" i="29"/>
  <c r="C881" i="29"/>
  <c r="R498" i="29"/>
  <c r="C87" i="29"/>
  <c r="C89" i="29"/>
  <c r="C457" i="29"/>
  <c r="Q313" i="29"/>
  <c r="L4" i="29"/>
  <c r="J4" i="29" s="1"/>
  <c r="J741" i="29"/>
  <c r="L668" i="29"/>
  <c r="R282" i="29"/>
  <c r="P153" i="29"/>
  <c r="C334" i="29"/>
  <c r="Q693" i="29"/>
  <c r="P589" i="29"/>
  <c r="Q822" i="29"/>
  <c r="Q688" i="29"/>
  <c r="P540" i="29"/>
  <c r="J467" i="29"/>
  <c r="Q34" i="29"/>
  <c r="N692" i="29"/>
  <c r="N865" i="29"/>
  <c r="P825" i="29"/>
  <c r="R385" i="29"/>
  <c r="P117" i="29"/>
  <c r="J197" i="29"/>
  <c r="J565" i="29"/>
  <c r="C782" i="29"/>
  <c r="C403" i="29"/>
  <c r="C452" i="29"/>
  <c r="C619" i="29"/>
  <c r="C72" i="29"/>
  <c r="C552" i="29"/>
  <c r="K849" i="29"/>
  <c r="P388" i="29"/>
  <c r="C147" i="29"/>
  <c r="J886" i="29"/>
  <c r="J882" i="29"/>
  <c r="C303" i="29"/>
  <c r="C798" i="29"/>
  <c r="J735" i="29"/>
  <c r="P893" i="29"/>
  <c r="J78" i="29"/>
  <c r="Q658" i="29"/>
  <c r="K320" i="29"/>
  <c r="L856" i="29"/>
  <c r="Q636" i="29"/>
  <c r="R528" i="29"/>
  <c r="P756" i="29"/>
  <c r="R807" i="29"/>
  <c r="P327" i="29"/>
  <c r="C911" i="29"/>
  <c r="Q863" i="29"/>
  <c r="R127" i="29"/>
  <c r="J644" i="29"/>
  <c r="J891" i="29"/>
  <c r="J152" i="29"/>
  <c r="C138" i="29"/>
  <c r="C106" i="29"/>
  <c r="C812" i="29"/>
  <c r="J215" i="29"/>
  <c r="R131" i="29"/>
  <c r="Q302" i="29"/>
  <c r="J873" i="29"/>
  <c r="C719" i="29"/>
  <c r="J411" i="29"/>
  <c r="J173" i="29"/>
  <c r="C581" i="29"/>
  <c r="P178" i="29"/>
  <c r="J724" i="29"/>
  <c r="C621" i="29"/>
  <c r="K876" i="29"/>
  <c r="J746" i="29"/>
  <c r="J473" i="29"/>
  <c r="C75" i="29"/>
  <c r="N915" i="29"/>
  <c r="C374" i="29"/>
  <c r="J856" i="29"/>
  <c r="C908" i="29"/>
  <c r="P564" i="29"/>
  <c r="J435" i="29"/>
  <c r="C593" i="29"/>
  <c r="Q710" i="29"/>
  <c r="C897" i="29"/>
  <c r="J907" i="29"/>
  <c r="P755" i="29"/>
  <c r="J626" i="29"/>
  <c r="C229" i="29"/>
  <c r="C181" i="29"/>
  <c r="J816" i="29"/>
  <c r="J245" i="29"/>
  <c r="R427" i="29"/>
  <c r="C112" i="29"/>
  <c r="R662" i="29"/>
  <c r="Q651" i="29"/>
  <c r="J376" i="29"/>
  <c r="J906" i="29"/>
  <c r="J217" i="29"/>
  <c r="C312" i="29"/>
  <c r="C899" i="29"/>
  <c r="P867" i="29"/>
  <c r="R906" i="29"/>
  <c r="J79" i="29"/>
  <c r="J168" i="29"/>
  <c r="Q747" i="29"/>
  <c r="K628" i="29"/>
  <c r="Q206" i="29"/>
  <c r="R78" i="29"/>
  <c r="Q431" i="29"/>
  <c r="C356" i="29"/>
  <c r="R129" i="29"/>
  <c r="P118" i="29"/>
  <c r="J360" i="29"/>
  <c r="J66" i="29"/>
  <c r="J205" i="29"/>
  <c r="J738" i="29"/>
  <c r="Q697" i="29"/>
  <c r="J542" i="29"/>
  <c r="C877" i="29"/>
  <c r="J115" i="29"/>
  <c r="J126" i="29"/>
  <c r="R375" i="29"/>
  <c r="C68" i="29"/>
  <c r="P466" i="29"/>
  <c r="N886" i="29"/>
  <c r="J459" i="29"/>
  <c r="R80" i="29"/>
  <c r="R628" i="29"/>
  <c r="C208" i="29"/>
  <c r="Q890" i="29"/>
  <c r="C32" i="29"/>
  <c r="R508" i="29"/>
  <c r="R694" i="29"/>
  <c r="J617" i="29"/>
  <c r="C740" i="29"/>
  <c r="P711" i="29"/>
  <c r="Q138" i="29"/>
  <c r="J615" i="29"/>
  <c r="R789" i="29"/>
  <c r="J240" i="29"/>
  <c r="J58" i="29"/>
  <c r="C193" i="29"/>
  <c r="J362" i="29"/>
  <c r="M4" i="29"/>
  <c r="R763" i="29"/>
  <c r="R233" i="29"/>
  <c r="L721" i="29"/>
  <c r="J721" i="29" s="1"/>
  <c r="J371" i="29"/>
  <c r="J304" i="29"/>
  <c r="J55" i="29"/>
  <c r="J434" i="29"/>
  <c r="Q33" i="29"/>
  <c r="C103" i="29"/>
  <c r="L867" i="29"/>
  <c r="J867" i="29" s="1"/>
  <c r="Q556" i="29"/>
  <c r="M663" i="29"/>
  <c r="K900" i="29"/>
  <c r="R609" i="29"/>
  <c r="Q609" i="29"/>
  <c r="C290" i="29"/>
  <c r="J845" i="29"/>
  <c r="C781" i="29"/>
  <c r="C368" i="29"/>
  <c r="C654" i="29"/>
  <c r="J310" i="29"/>
  <c r="J570" i="29"/>
  <c r="P782" i="29"/>
  <c r="J300" i="29"/>
  <c r="C525" i="29"/>
  <c r="K902" i="29"/>
  <c r="Q892" i="29"/>
  <c r="L732" i="29"/>
  <c r="Q590" i="29"/>
  <c r="R822" i="29"/>
  <c r="Q736" i="29"/>
  <c r="C641" i="29"/>
  <c r="Q432" i="29"/>
  <c r="N884" i="29"/>
  <c r="R289" i="29"/>
  <c r="C615" i="29"/>
  <c r="Q493" i="29"/>
  <c r="Q607" i="29"/>
  <c r="C140" i="29"/>
  <c r="N464" i="29"/>
  <c r="K442" i="29"/>
  <c r="J853" i="29"/>
  <c r="R550" i="29"/>
  <c r="C173" i="29"/>
  <c r="R534" i="29"/>
  <c r="Q659" i="29"/>
  <c r="C826" i="29"/>
  <c r="C572" i="29"/>
  <c r="C230" i="29"/>
  <c r="J413" i="29"/>
  <c r="C99" i="29"/>
  <c r="J271" i="29"/>
  <c r="C456" i="29"/>
  <c r="C50" i="29"/>
  <c r="J318" i="29"/>
  <c r="J63" i="29"/>
  <c r="R107" i="29"/>
  <c r="M636" i="29"/>
  <c r="M590" i="29"/>
  <c r="R21" i="29"/>
  <c r="P860" i="29"/>
  <c r="P569" i="29"/>
  <c r="P381" i="29"/>
  <c r="J826" i="29"/>
  <c r="R7" i="29"/>
  <c r="Q73" i="29"/>
  <c r="J870" i="29"/>
  <c r="P863" i="29"/>
  <c r="L588" i="29"/>
  <c r="M870" i="29"/>
  <c r="P278" i="29"/>
  <c r="R648" i="29"/>
  <c r="R815" i="29"/>
  <c r="J775" i="29"/>
  <c r="C804" i="29"/>
  <c r="J121" i="29"/>
  <c r="C12" i="29"/>
  <c r="P328" i="29"/>
  <c r="J236" i="29"/>
  <c r="J562" i="29"/>
  <c r="C718" i="29"/>
  <c r="J47" i="29"/>
  <c r="C727" i="29"/>
  <c r="P757" i="29"/>
  <c r="C876" i="29"/>
  <c r="J608" i="29"/>
  <c r="Q889" i="29"/>
  <c r="P830" i="29"/>
  <c r="L676" i="29"/>
  <c r="J676" i="29" s="1"/>
  <c r="R11" i="29"/>
  <c r="Q840" i="29"/>
  <c r="C464" i="29"/>
  <c r="P191" i="29"/>
  <c r="R486" i="29"/>
  <c r="P677" i="29"/>
  <c r="P426" i="29"/>
  <c r="P600" i="29"/>
  <c r="C731" i="29"/>
  <c r="Q158" i="29"/>
  <c r="N534" i="29"/>
  <c r="R435" i="29"/>
  <c r="P358" i="29"/>
  <c r="P914" i="29"/>
  <c r="R201" i="29"/>
  <c r="P875" i="29"/>
  <c r="J9" i="29"/>
  <c r="C599" i="29"/>
  <c r="J506" i="29"/>
  <c r="M719" i="29"/>
  <c r="J323" i="29"/>
  <c r="J651" i="29"/>
  <c r="C884" i="29"/>
  <c r="C235" i="29"/>
  <c r="J681" i="29"/>
  <c r="R620" i="29"/>
  <c r="C97" i="29"/>
  <c r="J898" i="29"/>
  <c r="K864" i="29"/>
  <c r="N591" i="29"/>
  <c r="Q212" i="29"/>
  <c r="P767" i="29"/>
  <c r="R722" i="29"/>
  <c r="L701" i="29"/>
  <c r="J701" i="29" s="1"/>
  <c r="C840" i="29"/>
  <c r="P838" i="29"/>
  <c r="R149" i="29"/>
  <c r="Q215" i="29"/>
  <c r="J276" i="29"/>
  <c r="L596" i="29"/>
  <c r="J596" i="29" s="1"/>
  <c r="Q349" i="29"/>
  <c r="J94" i="29"/>
  <c r="R452" i="29"/>
  <c r="R350" i="29"/>
  <c r="Q251" i="29"/>
  <c r="J382" i="29"/>
  <c r="C61" i="29"/>
  <c r="C838" i="29"/>
  <c r="J636" i="29"/>
  <c r="J255" i="29"/>
  <c r="P575" i="29"/>
  <c r="C64" i="29"/>
  <c r="Q204" i="29"/>
  <c r="C191" i="29"/>
  <c r="C688" i="29"/>
  <c r="J911" i="29"/>
  <c r="J641" i="29"/>
  <c r="Q827" i="29"/>
  <c r="C316" i="29"/>
  <c r="C898" i="29"/>
  <c r="Q546" i="29"/>
  <c r="C529" i="29"/>
  <c r="J900" i="29"/>
  <c r="C359" i="29"/>
  <c r="Q588" i="29"/>
  <c r="R425" i="29"/>
  <c r="Q55" i="29"/>
  <c r="J567" i="29"/>
  <c r="J157" i="29"/>
  <c r="C247" i="29"/>
  <c r="J268" i="29"/>
  <c r="C849" i="29"/>
  <c r="J659" i="29"/>
  <c r="J487" i="29"/>
  <c r="Q754" i="29"/>
  <c r="P787" i="29"/>
  <c r="U4" i="29"/>
  <c r="C369" i="29"/>
  <c r="C523" i="29"/>
  <c r="J244" i="29"/>
  <c r="P498" i="29"/>
  <c r="Q712" i="29"/>
  <c r="K367" i="29"/>
  <c r="J41" i="29"/>
  <c r="J508" i="29"/>
  <c r="J744" i="29"/>
  <c r="C890" i="29"/>
  <c r="C669" i="29"/>
  <c r="C16" i="29"/>
  <c r="C65" i="29"/>
  <c r="P475" i="29"/>
  <c r="C79" i="29"/>
  <c r="C871" i="29"/>
  <c r="J333" i="29"/>
  <c r="R526" i="29"/>
  <c r="Q341" i="29"/>
  <c r="P300" i="29"/>
  <c r="C607" i="29"/>
  <c r="R458" i="29"/>
  <c r="J291" i="29"/>
  <c r="C565" i="29"/>
  <c r="J628" i="29"/>
  <c r="C458" i="29"/>
  <c r="Q127" i="29"/>
  <c r="Q628" i="29"/>
  <c r="J400" i="29"/>
  <c r="C910" i="29"/>
  <c r="C422" i="29"/>
  <c r="J83" i="29"/>
  <c r="Q4" i="29"/>
  <c r="C559" i="29"/>
  <c r="C895" i="29"/>
  <c r="Q287" i="29"/>
  <c r="P496" i="29"/>
  <c r="P430" i="29"/>
  <c r="R778" i="29"/>
  <c r="J899" i="29"/>
  <c r="C576" i="29"/>
  <c r="C547" i="29"/>
  <c r="C100" i="29"/>
  <c r="P885" i="29"/>
  <c r="C632" i="29"/>
  <c r="R862" i="29"/>
  <c r="C626" i="29"/>
  <c r="J455" i="29"/>
  <c r="K799" i="29"/>
  <c r="R249" i="29"/>
  <c r="R702" i="29"/>
  <c r="P223" i="29"/>
  <c r="P739" i="29"/>
  <c r="J773" i="29"/>
  <c r="J817" i="29"/>
  <c r="R880" i="29"/>
  <c r="C320" i="29"/>
  <c r="C186" i="29"/>
  <c r="Q120" i="29"/>
  <c r="J754" i="29"/>
  <c r="J703" i="29"/>
  <c r="C440" i="29"/>
  <c r="J158" i="29"/>
  <c r="J264" i="29"/>
  <c r="J317" i="29"/>
  <c r="P115" i="29"/>
  <c r="R699" i="29"/>
  <c r="J486" i="29"/>
  <c r="J607" i="29"/>
  <c r="C786" i="29"/>
  <c r="J663" i="29"/>
  <c r="R806" i="29"/>
  <c r="C38" i="29"/>
  <c r="C694" i="29"/>
  <c r="J702" i="29"/>
  <c r="J779" i="29"/>
  <c r="J175" i="29"/>
  <c r="J277" i="29"/>
  <c r="P133" i="29"/>
  <c r="J71" i="29"/>
  <c r="Q701" i="29"/>
  <c r="P536" i="29"/>
  <c r="J324" i="29"/>
  <c r="J143" i="29"/>
  <c r="Q652" i="29"/>
  <c r="C202" i="29"/>
  <c r="J818" i="29"/>
  <c r="C189" i="29"/>
  <c r="J59" i="29"/>
  <c r="J917" i="29"/>
  <c r="N899" i="29"/>
  <c r="P587" i="29"/>
  <c r="J305" i="29"/>
  <c r="C742" i="29"/>
  <c r="Q551" i="29"/>
  <c r="Q823" i="29"/>
  <c r="Q160" i="29"/>
  <c r="R817" i="29"/>
  <c r="N762" i="29"/>
  <c r="Q495" i="29"/>
  <c r="J583" i="29"/>
  <c r="J64" i="29"/>
  <c r="C730" i="29"/>
  <c r="C272" i="29"/>
  <c r="R767" i="29"/>
  <c r="J892" i="29"/>
  <c r="Q643" i="29"/>
  <c r="C59" i="29"/>
  <c r="C214" i="29"/>
  <c r="R898" i="29"/>
  <c r="J116" i="29"/>
  <c r="J447" i="29"/>
  <c r="J704" i="29"/>
  <c r="C568" i="29"/>
  <c r="R842" i="29"/>
  <c r="Q810" i="29"/>
  <c r="L852" i="29"/>
  <c r="P196" i="29"/>
  <c r="Q241" i="29"/>
  <c r="J842" i="29"/>
  <c r="N834" i="29"/>
  <c r="R348" i="29"/>
  <c r="Q884" i="29"/>
  <c r="P686" i="29"/>
  <c r="P845" i="29"/>
  <c r="Q486" i="29"/>
  <c r="C476" i="29"/>
  <c r="R309" i="29"/>
  <c r="Q47" i="29"/>
  <c r="P161" i="29"/>
  <c r="J770" i="29"/>
  <c r="R191" i="29"/>
  <c r="C182" i="29"/>
  <c r="J780" i="29"/>
  <c r="Q866" i="29"/>
  <c r="R895" i="29"/>
  <c r="Q415" i="29"/>
  <c r="C52" i="29"/>
  <c r="C655" i="29"/>
  <c r="J429" i="29"/>
  <c r="Q580" i="29"/>
  <c r="C837" i="29"/>
  <c r="J201" i="29"/>
  <c r="R459" i="29"/>
  <c r="J165" i="29"/>
  <c r="L649" i="29"/>
  <c r="Q101" i="29"/>
  <c r="P5" i="29"/>
  <c r="Q156" i="29"/>
  <c r="P315" i="29"/>
  <c r="Q56" i="29"/>
  <c r="R740" i="29"/>
  <c r="Q371" i="29"/>
  <c r="J12" i="29"/>
  <c r="J439" i="29"/>
  <c r="P747" i="29"/>
  <c r="Q881" i="29"/>
  <c r="P719" i="29"/>
  <c r="Q243" i="29"/>
  <c r="P101" i="29"/>
  <c r="Q186" i="29"/>
  <c r="J178" i="29"/>
  <c r="C108" i="29"/>
  <c r="C9" i="29"/>
  <c r="R147" i="29"/>
  <c r="C532" i="29"/>
  <c r="C441" i="29"/>
  <c r="C126" i="29"/>
  <c r="C224" i="29"/>
  <c r="R554" i="29"/>
  <c r="C188" i="29"/>
  <c r="C569" i="29"/>
  <c r="J646" i="29"/>
  <c r="C152" i="29"/>
  <c r="C834" i="29"/>
  <c r="J232" i="29"/>
  <c r="N876" i="29"/>
  <c r="P715" i="29"/>
  <c r="J533" i="29"/>
  <c r="Q635" i="29"/>
  <c r="Q577" i="29"/>
  <c r="R900" i="29"/>
  <c r="Q457" i="29"/>
  <c r="C775" i="29"/>
  <c r="L855" i="29"/>
  <c r="C155" i="29"/>
  <c r="R852" i="29"/>
  <c r="P694" i="29"/>
  <c r="Q788" i="29"/>
  <c r="R482" i="29"/>
  <c r="R611" i="29"/>
  <c r="Q744" i="29"/>
  <c r="J396" i="29"/>
  <c r="J716" i="29"/>
  <c r="J350" i="29"/>
  <c r="C210" i="29"/>
  <c r="Q905" i="29"/>
  <c r="J23" i="29"/>
  <c r="C521" i="29"/>
  <c r="C611" i="29"/>
  <c r="R96" i="29"/>
  <c r="Q634" i="29"/>
  <c r="J233" i="29"/>
  <c r="J895" i="29"/>
  <c r="C844" i="29"/>
  <c r="N331" i="29"/>
  <c r="M496" i="29"/>
  <c r="J105" i="29"/>
  <c r="R432" i="29"/>
  <c r="P843" i="29"/>
  <c r="P509" i="29"/>
  <c r="C589" i="29"/>
  <c r="Q100" i="29"/>
  <c r="K560" i="29"/>
  <c r="Q145" i="29"/>
  <c r="P646" i="29"/>
  <c r="P317" i="29"/>
  <c r="Q467" i="29"/>
  <c r="C777" i="29"/>
  <c r="P515" i="29"/>
  <c r="K823" i="29"/>
  <c r="Q23" i="29"/>
  <c r="R507" i="29"/>
  <c r="Q707" i="29"/>
  <c r="P752" i="29"/>
  <c r="J189" i="29"/>
  <c r="R891" i="29"/>
  <c r="C799" i="29"/>
  <c r="Q479" i="29"/>
  <c r="Q874" i="29"/>
  <c r="J18" i="29"/>
  <c r="C824" i="29"/>
  <c r="C311" i="29"/>
  <c r="C282" i="29"/>
  <c r="J166" i="29"/>
  <c r="Q711" i="29"/>
  <c r="C203" i="29"/>
  <c r="J908" i="29"/>
  <c r="J150" i="29"/>
  <c r="J470" i="29"/>
  <c r="J21" i="29"/>
  <c r="J752" i="29"/>
  <c r="R105" i="29"/>
  <c r="R548" i="29"/>
  <c r="J559" i="29"/>
  <c r="C802" i="29"/>
  <c r="J374" i="29"/>
  <c r="C128" i="29"/>
  <c r="J145" i="29"/>
  <c r="C759" i="29"/>
  <c r="Q912" i="29"/>
  <c r="J841" i="29"/>
  <c r="J466" i="29"/>
  <c r="C328" i="29"/>
  <c r="J325" i="29"/>
  <c r="C49" i="29"/>
  <c r="C308" i="29"/>
  <c r="J256" i="29"/>
  <c r="R337" i="29"/>
  <c r="K545" i="29"/>
  <c r="C907" i="29"/>
  <c r="J76" i="29"/>
  <c r="C709" i="29"/>
  <c r="R742" i="29"/>
  <c r="C263" i="29"/>
  <c r="J600" i="29"/>
  <c r="P672" i="29"/>
  <c r="J878" i="29"/>
  <c r="C151" i="29"/>
  <c r="J682" i="29"/>
  <c r="P692" i="29"/>
  <c r="C228" i="29"/>
  <c r="Q679" i="29"/>
  <c r="L557" i="29"/>
  <c r="J557" i="29" s="1"/>
  <c r="C212" i="29"/>
  <c r="Q816" i="29"/>
  <c r="C904" i="29"/>
  <c r="J820" i="29"/>
  <c r="J289" i="29"/>
  <c r="R731" i="29"/>
  <c r="P778" i="29"/>
  <c r="Q830" i="29"/>
  <c r="J127" i="29"/>
  <c r="J37" i="29"/>
  <c r="C622" i="29"/>
  <c r="C277" i="29"/>
  <c r="C35" i="29"/>
  <c r="C25" i="29"/>
  <c r="P741" i="29"/>
  <c r="P248" i="29"/>
  <c r="Q870" i="29"/>
  <c r="J446" i="29"/>
  <c r="J586" i="29"/>
  <c r="J431" i="29"/>
  <c r="C226" i="29"/>
  <c r="C509" i="29"/>
  <c r="J414" i="29"/>
  <c r="J279" i="29"/>
  <c r="C145" i="29"/>
  <c r="C115" i="29"/>
  <c r="C197" i="29"/>
  <c r="J708" i="29"/>
  <c r="Q372" i="29"/>
  <c r="R260" i="29"/>
  <c r="J113" i="29"/>
  <c r="J887" i="29"/>
  <c r="J866" i="29"/>
  <c r="P615" i="29"/>
  <c r="C225" i="29"/>
  <c r="J824" i="29"/>
  <c r="P525" i="29"/>
  <c r="Q441" i="29"/>
  <c r="C60" i="29"/>
  <c r="C755" i="29"/>
  <c r="J48" i="29"/>
  <c r="C54" i="29"/>
  <c r="J97" i="29"/>
  <c r="C836" i="29"/>
  <c r="J337" i="29"/>
  <c r="P690" i="29"/>
  <c r="P813" i="29"/>
  <c r="J49" i="29"/>
  <c r="P605" i="29"/>
  <c r="C404" i="29"/>
  <c r="C449" i="29"/>
  <c r="C172" i="29"/>
  <c r="Q89" i="29"/>
  <c r="Q423" i="29"/>
  <c r="J259" i="29"/>
  <c r="J749" i="29"/>
  <c r="J788" i="29"/>
  <c r="J916" i="29"/>
  <c r="J630" i="29"/>
  <c r="J771" i="29"/>
  <c r="N902" i="29"/>
  <c r="R574" i="29"/>
  <c r="Q848" i="29"/>
  <c r="H4" i="29"/>
  <c r="J162" i="29"/>
  <c r="C111" i="29"/>
  <c r="R884" i="29"/>
  <c r="C47" i="29"/>
  <c r="J762" i="29"/>
  <c r="C436" i="29"/>
  <c r="C789" i="29"/>
  <c r="J649" i="29"/>
  <c r="C273" i="29"/>
  <c r="C780" i="29"/>
  <c r="P852" i="29"/>
  <c r="C71" i="29"/>
  <c r="J24" i="29"/>
  <c r="C86" i="29"/>
  <c r="J633" i="29"/>
  <c r="C839" i="29"/>
  <c r="J850" i="29"/>
  <c r="C495" i="29"/>
  <c r="C872" i="29"/>
  <c r="K746" i="29"/>
  <c r="Q891" i="29"/>
  <c r="J299" i="29"/>
  <c r="Q498" i="29"/>
  <c r="C80" i="29"/>
  <c r="J30" i="29"/>
  <c r="C803" i="29"/>
  <c r="P822" i="29"/>
  <c r="C912" i="29"/>
  <c r="R839" i="29"/>
  <c r="L851" i="29"/>
  <c r="R714" i="29"/>
  <c r="Q503" i="29"/>
  <c r="C713" i="29"/>
  <c r="C604" i="29"/>
  <c r="P903" i="29"/>
  <c r="J624" i="29"/>
  <c r="J782" i="29"/>
  <c r="C882" i="29"/>
  <c r="C405" i="29"/>
  <c r="J687" i="29"/>
  <c r="P702" i="29"/>
  <c r="C161" i="29"/>
  <c r="J733" i="29"/>
  <c r="J812" i="29"/>
  <c r="R266" i="29"/>
  <c r="J653" i="29"/>
  <c r="P356" i="29"/>
  <c r="Q571" i="29"/>
  <c r="C18" i="29"/>
  <c r="J513" i="29"/>
  <c r="J851" i="29"/>
  <c r="J797" i="29"/>
  <c r="C383" i="29"/>
  <c r="J855" i="29"/>
  <c r="J784" i="29"/>
  <c r="C833" i="29"/>
  <c r="J835" i="29"/>
  <c r="J449" i="29"/>
  <c r="C269" i="29"/>
  <c r="J896" i="29"/>
  <c r="J689" i="29"/>
  <c r="J822" i="29"/>
  <c r="J32" i="29"/>
  <c r="C287" i="29"/>
  <c r="J802" i="29"/>
  <c r="J595" i="29"/>
  <c r="J852" i="29"/>
  <c r="J588" i="29"/>
  <c r="C4" i="29"/>
  <c r="J591" i="29"/>
  <c r="J380" i="29"/>
  <c r="J309" i="29"/>
  <c r="C298" i="29"/>
  <c r="J750" i="29"/>
  <c r="C102" i="29"/>
  <c r="J301" i="29"/>
  <c r="J364" i="29"/>
  <c r="J373" i="29"/>
  <c r="J361" i="29"/>
  <c r="J732" i="29"/>
  <c r="J785" i="29"/>
  <c r="J541" i="29"/>
  <c r="C677" i="29"/>
  <c r="C658" i="29"/>
  <c r="J699" i="29"/>
  <c r="C146" i="29"/>
  <c r="J668" i="29"/>
  <c r="J604" i="29"/>
  <c r="J258" i="29"/>
  <c r="J393" i="29"/>
  <c r="J844" i="29"/>
  <c r="J597" i="29"/>
  <c r="J587" i="29"/>
  <c r="C640" i="29"/>
  <c r="J623" i="29"/>
</calcChain>
</file>

<file path=xl/sharedStrings.xml><?xml version="1.0" encoding="utf-8"?>
<sst xmlns="http://schemas.openxmlformats.org/spreadsheetml/2006/main" count="1925" uniqueCount="988">
  <si>
    <t>Sentido</t>
  </si>
  <si>
    <t>Max</t>
  </si>
  <si>
    <t>Min</t>
  </si>
  <si>
    <t>Nominal</t>
  </si>
  <si>
    <t xml:space="preserve">Min  </t>
  </si>
  <si>
    <t>Vcc</t>
  </si>
  <si>
    <t>Qexchange</t>
  </si>
  <si>
    <t>VWV
(Vca/tap)</t>
  </si>
  <si>
    <t>Valor</t>
  </si>
  <si>
    <t>Reator
Manobrável</t>
  </si>
  <si>
    <t>Filtro URU</t>
  </si>
  <si>
    <t>Ângulo</t>
  </si>
  <si>
    <t>Retificador</t>
  </si>
  <si>
    <t>Uruguai</t>
  </si>
  <si>
    <t>Brasil</t>
  </si>
  <si>
    <t>Transferência</t>
  </si>
  <si>
    <t>Max(3F)</t>
  </si>
  <si>
    <t>Max(4F)</t>
  </si>
  <si>
    <t>URUGUAI para BRASIL</t>
  </si>
  <si>
    <t>Normal</t>
  </si>
  <si>
    <t>Filtro BRA</t>
  </si>
  <si>
    <t>BRASIL para URUGUAI</t>
  </si>
  <si>
    <t>Barra</t>
  </si>
  <si>
    <t>U→B</t>
  </si>
  <si>
    <t>Barra DC BRA</t>
  </si>
  <si>
    <t>Barra DC URU</t>
  </si>
  <si>
    <t>Barra CA BRA</t>
  </si>
  <si>
    <t>Barra CA URU</t>
  </si>
  <si>
    <t>Conversor BRA</t>
  </si>
  <si>
    <t>Conversor URU</t>
  </si>
  <si>
    <t>B→U</t>
  </si>
  <si>
    <t>Anarede</t>
  </si>
  <si>
    <t>Alteração</t>
  </si>
  <si>
    <t xml:space="preserve">Min </t>
  </si>
  <si>
    <t xml:space="preserve">Max </t>
  </si>
  <si>
    <t xml:space="preserve">Normal </t>
  </si>
  <si>
    <t xml:space="preserve">Min   </t>
  </si>
  <si>
    <t xml:space="preserve">Min    </t>
  </si>
  <si>
    <t xml:space="preserve">Max   </t>
  </si>
  <si>
    <t>Inclusão</t>
  </si>
  <si>
    <t>Tensão Barra Melo 60 Hz (9787)</t>
  </si>
  <si>
    <t>Tensão Barra Melo 50 Hz (90018)</t>
  </si>
  <si>
    <t>Melo: 4 x 96 Mvar (9787)</t>
  </si>
  <si>
    <t>Candiota: 1 x 65 Mvar (9786)</t>
  </si>
  <si>
    <t>Melo: 3 x 110 Mvar (90018)</t>
  </si>
  <si>
    <t xml:space="preserve">Brasil: Candiota 1 x 75 Mvar (9786) </t>
  </si>
  <si>
    <t xml:space="preserve">Uruguai: Melo 1 x 70 Mvar (90018) </t>
  </si>
  <si>
    <t>Inversor</t>
  </si>
  <si>
    <t xml:space="preserve"> </t>
  </si>
  <si>
    <t>Arquivo de saída</t>
  </si>
  <si>
    <t>Valores Nominais</t>
  </si>
  <si>
    <t xml:space="preserve">Normal   </t>
  </si>
  <si>
    <t xml:space="preserve">Normal  </t>
  </si>
  <si>
    <t xml:space="preserve">Max     </t>
  </si>
  <si>
    <t>Anatem</t>
  </si>
  <si>
    <t>B-U_52MW.PLT</t>
  </si>
  <si>
    <t>B-U_53MW.PLT</t>
  </si>
  <si>
    <t>B-U_54MW.PLT</t>
  </si>
  <si>
    <t>B-U_55MW.PLT</t>
  </si>
  <si>
    <t>B-U_56MW.PLT</t>
  </si>
  <si>
    <t>B-U_57MW.PLT</t>
  </si>
  <si>
    <t>B-U_58MW.PLT</t>
  </si>
  <si>
    <t>B-U_59MW.PLT</t>
  </si>
  <si>
    <t>B-U_60MW.PLT</t>
  </si>
  <si>
    <t>B-U_61MW.PLT</t>
  </si>
  <si>
    <t>B-U_62MW.PLT</t>
  </si>
  <si>
    <t>B-U_63MW.PLT</t>
  </si>
  <si>
    <t>B-U_64MW.PLT</t>
  </si>
  <si>
    <t>B-U_65MW.PLT</t>
  </si>
  <si>
    <t>B-U_66MW.PLT</t>
  </si>
  <si>
    <t>B-U_67MW.PLT</t>
  </si>
  <si>
    <t>B-U_68MW.PLT</t>
  </si>
  <si>
    <t>B-U_69MW.PLT</t>
  </si>
  <si>
    <t>B-U_70MW.PLT</t>
  </si>
  <si>
    <t>B-U_71MW.PLT</t>
  </si>
  <si>
    <t>B-U_72MW.PLT</t>
  </si>
  <si>
    <t>B-U_73MW.PLT</t>
  </si>
  <si>
    <t>B-U_74MW.PLT</t>
  </si>
  <si>
    <t>B-U_75MW.PLT</t>
  </si>
  <si>
    <t>B-U_76MW.PLT</t>
  </si>
  <si>
    <t>B-U_77MW.PLT</t>
  </si>
  <si>
    <t>B-U_78MW.PLT</t>
  </si>
  <si>
    <t>B-U_79MW.PLT</t>
  </si>
  <si>
    <t>B-U_80MW.PLT</t>
  </si>
  <si>
    <t>B-U_81MW.PLT</t>
  </si>
  <si>
    <t>B-U_82MW.PLT</t>
  </si>
  <si>
    <t>B-U_83MW.PLT</t>
  </si>
  <si>
    <t>B-U_84MW.PLT</t>
  </si>
  <si>
    <t>B-U_85MW.PLT</t>
  </si>
  <si>
    <t>B-U_86MW.PLT</t>
  </si>
  <si>
    <t>B-U_87MW.PLT</t>
  </si>
  <si>
    <t>B-U_88MW.PLT</t>
  </si>
  <si>
    <t>B-U_89MW.PLT</t>
  </si>
  <si>
    <t>B-U_90MW.PLT</t>
  </si>
  <si>
    <t>B-U_91MW.PLT</t>
  </si>
  <si>
    <t>B-U_92MW.PLT</t>
  </si>
  <si>
    <t>B-U_93MW.PLT</t>
  </si>
  <si>
    <t>B-U_94MW.PLT</t>
  </si>
  <si>
    <t>B-U_95MW.PLT</t>
  </si>
  <si>
    <t>B-U_96MW.PLT</t>
  </si>
  <si>
    <t>B-U_97MW.PLT</t>
  </si>
  <si>
    <t>B-U_98MW.PLT</t>
  </si>
  <si>
    <t>B-U_99MW.PLT</t>
  </si>
  <si>
    <t>B-U_100MW.PLT</t>
  </si>
  <si>
    <t>B-U_101MW.PLT</t>
  </si>
  <si>
    <t>B-U_102MW.PLT</t>
  </si>
  <si>
    <t>B-U_103MW.PLT</t>
  </si>
  <si>
    <t>B-U_104MW.PLT</t>
  </si>
  <si>
    <t>B-U_105MW.PLT</t>
  </si>
  <si>
    <t>B-U_106MW.PLT</t>
  </si>
  <si>
    <t>B-U_107MW.PLT</t>
  </si>
  <si>
    <t>B-U_108MW.PLT</t>
  </si>
  <si>
    <t>B-U_109MW.PLT</t>
  </si>
  <si>
    <t>B-U_110MW.PLT</t>
  </si>
  <si>
    <t>B-U_111MW.PLT</t>
  </si>
  <si>
    <t>B-U_112MW.PLT</t>
  </si>
  <si>
    <t>B-U_113MW.PLT</t>
  </si>
  <si>
    <t>B-U_114MW.PLT</t>
  </si>
  <si>
    <t>B-U_115MW.PLT</t>
  </si>
  <si>
    <t>B-U_116MW.PLT</t>
  </si>
  <si>
    <t>B-U_117MW.PLT</t>
  </si>
  <si>
    <t>B-U_118MW.PLT</t>
  </si>
  <si>
    <t>B-U_119MW.PLT</t>
  </si>
  <si>
    <t>B-U_120MW.PLT</t>
  </si>
  <si>
    <t>B-U_121MW.PLT</t>
  </si>
  <si>
    <t>B-U_122MW.PLT</t>
  </si>
  <si>
    <t>B-U_123MW.PLT</t>
  </si>
  <si>
    <t>B-U_124MW.PLT</t>
  </si>
  <si>
    <t>B-U_125MW.PLT</t>
  </si>
  <si>
    <t>B-U_126MW.PLT</t>
  </si>
  <si>
    <t>B-U_127MW.PLT</t>
  </si>
  <si>
    <t>B-U_128MW.PLT</t>
  </si>
  <si>
    <t>B-U_129MW.PLT</t>
  </si>
  <si>
    <t>B-U_130MW.PLT</t>
  </si>
  <si>
    <t>B-U_131MW.PLT</t>
  </si>
  <si>
    <t>B-U_132MW.PLT</t>
  </si>
  <si>
    <t>B-U_133MW.PLT</t>
  </si>
  <si>
    <t>B-U_134MW.PLT</t>
  </si>
  <si>
    <t>B-U_135MW.PLT</t>
  </si>
  <si>
    <t>B-U_136MW.PLT</t>
  </si>
  <si>
    <t>B-U_137MW.PLT</t>
  </si>
  <si>
    <t>B-U_138MW.PLT</t>
  </si>
  <si>
    <t>B-U_139MW.PLT</t>
  </si>
  <si>
    <t>B-U_140MW.PLT</t>
  </si>
  <si>
    <t>B-U_141MW.PLT</t>
  </si>
  <si>
    <t>B-U_142MW.PLT</t>
  </si>
  <si>
    <t>B-U_143MW.PLT</t>
  </si>
  <si>
    <t>B-U_144MW.PLT</t>
  </si>
  <si>
    <t>B-U_145MW.PLT</t>
  </si>
  <si>
    <t>B-U_146MW.PLT</t>
  </si>
  <si>
    <t>B-U_147MW.PLT</t>
  </si>
  <si>
    <t>B-U_148MW.PLT</t>
  </si>
  <si>
    <t>B-U_149MW.PLT</t>
  </si>
  <si>
    <t>B-U_150MW.PLT</t>
  </si>
  <si>
    <t>B-U_151MW.PLT</t>
  </si>
  <si>
    <t>B-U_152MW.PLT</t>
  </si>
  <si>
    <t>B-U_153MW.PLT</t>
  </si>
  <si>
    <t>B-U_154MW.PLT</t>
  </si>
  <si>
    <t>B-U_155MW.PLT</t>
  </si>
  <si>
    <t>B-U_156MW.PLT</t>
  </si>
  <si>
    <t>B-U_157MW.PLT</t>
  </si>
  <si>
    <t>B-U_158MW.PLT</t>
  </si>
  <si>
    <t>B-U_159MW.PLT</t>
  </si>
  <si>
    <t>B-U_160MW.PLT</t>
  </si>
  <si>
    <t>B-U_161MW.PLT</t>
  </si>
  <si>
    <t>B-U_162MW.PLT</t>
  </si>
  <si>
    <t>B-U_163MW.PLT</t>
  </si>
  <si>
    <t>B-U_164MW.PLT</t>
  </si>
  <si>
    <t>B-U_165MW.PLT</t>
  </si>
  <si>
    <t>B-U_166MW.PLT</t>
  </si>
  <si>
    <t>B-U_167MW.PLT</t>
  </si>
  <si>
    <t>B-U_168MW.PLT</t>
  </si>
  <si>
    <t>B-U_169MW.PLT</t>
  </si>
  <si>
    <t>B-U_170MW.PLT</t>
  </si>
  <si>
    <t>B-U_171MW.PLT</t>
  </si>
  <si>
    <t>B-U_172MW.PLT</t>
  </si>
  <si>
    <t>B-U_173MW.PLT</t>
  </si>
  <si>
    <t>B-U_174MW.PLT</t>
  </si>
  <si>
    <t>B-U_175MW.PLT</t>
  </si>
  <si>
    <t>B-U_176MW.PLT</t>
  </si>
  <si>
    <t>B-U_177MW.PLT</t>
  </si>
  <si>
    <t>B-U_178MW.PLT</t>
  </si>
  <si>
    <t>B-U_179MW.PLT</t>
  </si>
  <si>
    <t>B-U_180MW.PLT</t>
  </si>
  <si>
    <t>B-U_181MW.PLT</t>
  </si>
  <si>
    <t>B-U_182MW.PLT</t>
  </si>
  <si>
    <t>B-U_183MW.PLT</t>
  </si>
  <si>
    <t>B-U_184MW.PLT</t>
  </si>
  <si>
    <t>B-U_185MW.PLT</t>
  </si>
  <si>
    <t>B-U_186MW.PLT</t>
  </si>
  <si>
    <t>B-U_187MW.PLT</t>
  </si>
  <si>
    <t>B-U_188MW.PLT</t>
  </si>
  <si>
    <t>B-U_189MW.PLT</t>
  </si>
  <si>
    <t>B-U_190MW.PLT</t>
  </si>
  <si>
    <t>B-U_191MW.PLT</t>
  </si>
  <si>
    <t>B-U_192MW.PLT</t>
  </si>
  <si>
    <t>B-U_193MW.PLT</t>
  </si>
  <si>
    <t>B-U_194MW.PLT</t>
  </si>
  <si>
    <t>B-U_195MW.PLT</t>
  </si>
  <si>
    <t>B-U_196MW.PLT</t>
  </si>
  <si>
    <t>B-U_197MW.PLT</t>
  </si>
  <si>
    <t>B-U_198MW.PLT</t>
  </si>
  <si>
    <t>B-U_199MW.PLT</t>
  </si>
  <si>
    <t>B-U_200MW.PLT</t>
  </si>
  <si>
    <t>B-U_201MW.PLT</t>
  </si>
  <si>
    <t>B-U_202MW.PLT</t>
  </si>
  <si>
    <t>B-U_203MW.PLT</t>
  </si>
  <si>
    <t>B-U_204MW.PLT</t>
  </si>
  <si>
    <t>B-U_205MW.PLT</t>
  </si>
  <si>
    <t>B-U_206MW.PLT</t>
  </si>
  <si>
    <t>B-U_207MW.PLT</t>
  </si>
  <si>
    <t>B-U_208MW.PLT</t>
  </si>
  <si>
    <t>B-U_209MW.PLT</t>
  </si>
  <si>
    <t>B-U_210MW.PLT</t>
  </si>
  <si>
    <t>B-U_211MW.PLT</t>
  </si>
  <si>
    <t>B-U_212MW.PLT</t>
  </si>
  <si>
    <t>B-U_213MW.PLT</t>
  </si>
  <si>
    <t>B-U_214MW.PLT</t>
  </si>
  <si>
    <t>B-U_215MW.PLT</t>
  </si>
  <si>
    <t>B-U_216MW.PLT</t>
  </si>
  <si>
    <t>B-U_217MW.PLT</t>
  </si>
  <si>
    <t>B-U_218MW.PLT</t>
  </si>
  <si>
    <t>B-U_219MW.PLT</t>
  </si>
  <si>
    <t>B-U_220MW.PLT</t>
  </si>
  <si>
    <t>B-U_221MW.PLT</t>
  </si>
  <si>
    <t>B-U_222MW.PLT</t>
  </si>
  <si>
    <t>B-U_223MW.PLT</t>
  </si>
  <si>
    <t>B-U_224MW.PLT</t>
  </si>
  <si>
    <t>B-U_225MW.PLT</t>
  </si>
  <si>
    <t>B-U_226MW.PLT</t>
  </si>
  <si>
    <t>B-U_227MW.PLT</t>
  </si>
  <si>
    <t>B-U_228MW.PLT</t>
  </si>
  <si>
    <t>B-U_229MW.PLT</t>
  </si>
  <si>
    <t>B-U_230MW.PLT</t>
  </si>
  <si>
    <t>B-U_231MW.PLT</t>
  </si>
  <si>
    <t>B-U_232MW.PLT</t>
  </si>
  <si>
    <t>B-U_233MW.PLT</t>
  </si>
  <si>
    <t>B-U_234MW.PLT</t>
  </si>
  <si>
    <t>B-U_235MW.PLT</t>
  </si>
  <si>
    <t>B-U_236MW.PLT</t>
  </si>
  <si>
    <t>B-U_237MW.PLT</t>
  </si>
  <si>
    <t>B-U_238MW.PLT</t>
  </si>
  <si>
    <t>B-U_239MW.PLT</t>
  </si>
  <si>
    <t>B-U_240MW.PLT</t>
  </si>
  <si>
    <t>B-U_241MW.PLT</t>
  </si>
  <si>
    <t>B-U_242MW.PLT</t>
  </si>
  <si>
    <t>B-U_243MW.PLT</t>
  </si>
  <si>
    <t>B-U_244MW.PLT</t>
  </si>
  <si>
    <t>B-U_245MW.PLT</t>
  </si>
  <si>
    <t>B-U_246MW.PLT</t>
  </si>
  <si>
    <t>B-U_247MW.PLT</t>
  </si>
  <si>
    <t>B-U_248MW.PLT</t>
  </si>
  <si>
    <t>B-U_249MW.PLT</t>
  </si>
  <si>
    <t>B-U_250MW.PLT</t>
  </si>
  <si>
    <t>B-U_251MW.PLT</t>
  </si>
  <si>
    <t>B-U_252MW.PLT</t>
  </si>
  <si>
    <t>B-U_253MW.PLT</t>
  </si>
  <si>
    <t>B-U_254MW.PLT</t>
  </si>
  <si>
    <t>B-U_255MW.PLT</t>
  </si>
  <si>
    <t>B-U_256MW.PLT</t>
  </si>
  <si>
    <t>B-U_257MW.PLT</t>
  </si>
  <si>
    <t>B-U_258MW.PLT</t>
  </si>
  <si>
    <t>B-U_259MW.PLT</t>
  </si>
  <si>
    <t>B-U_260MW.PLT</t>
  </si>
  <si>
    <t>B-U_261MW.PLT</t>
  </si>
  <si>
    <t>B-U_262MW.PLT</t>
  </si>
  <si>
    <t>B-U_263MW.PLT</t>
  </si>
  <si>
    <t>B-U_264MW.PLT</t>
  </si>
  <si>
    <t>B-U_265MW.PLT</t>
  </si>
  <si>
    <t>B-U_266MW.PLT</t>
  </si>
  <si>
    <t>B-U_267MW.PLT</t>
  </si>
  <si>
    <t>B-U_268MW.PLT</t>
  </si>
  <si>
    <t>B-U_269MW.PLT</t>
  </si>
  <si>
    <t>B-U_270MW.PLT</t>
  </si>
  <si>
    <t>B-U_271MW.PLT</t>
  </si>
  <si>
    <t>B-U_272MW.PLT</t>
  </si>
  <si>
    <t>B-U_273MW.PLT</t>
  </si>
  <si>
    <t>B-U_274MW.PLT</t>
  </si>
  <si>
    <t>B-U_275MW.PLT</t>
  </si>
  <si>
    <t>B-U_276MW.PLT</t>
  </si>
  <si>
    <t>B-U_277MW.PLT</t>
  </si>
  <si>
    <t>B-U_278MW.PLT</t>
  </si>
  <si>
    <t>B-U_279MW.PLT</t>
  </si>
  <si>
    <t>B-U_280MW.PLT</t>
  </si>
  <si>
    <t>B-U_281MW.PLT</t>
  </si>
  <si>
    <t>B-U_282MW.PLT</t>
  </si>
  <si>
    <t>B-U_283MW.PLT</t>
  </si>
  <si>
    <t>B-U_284MW.PLT</t>
  </si>
  <si>
    <t>B-U_285MW.PLT</t>
  </si>
  <si>
    <t>B-U_286MW.PLT</t>
  </si>
  <si>
    <t>B-U_287MW.PLT</t>
  </si>
  <si>
    <t>B-U_288MW.PLT</t>
  </si>
  <si>
    <t>B-U_289MW.PLT</t>
  </si>
  <si>
    <t>B-U_290MW.PLT</t>
  </si>
  <si>
    <t>B-U_291MW.PLT</t>
  </si>
  <si>
    <t>B-U_292MW.PLT</t>
  </si>
  <si>
    <t>B-U_293MW.PLT</t>
  </si>
  <si>
    <t>B-U_294MW.PLT</t>
  </si>
  <si>
    <t>B-U_295MW.PLT</t>
  </si>
  <si>
    <t>B-U_296MW.PLT</t>
  </si>
  <si>
    <t>B-U_297MW.PLT</t>
  </si>
  <si>
    <t>B-U_298MW.PLT</t>
  </si>
  <si>
    <t>B-U_299MW.PLT</t>
  </si>
  <si>
    <t>B-U_300MW.PLT</t>
  </si>
  <si>
    <t>B-U_301MW.PLT</t>
  </si>
  <si>
    <t>B-U_302MW.PLT</t>
  </si>
  <si>
    <t>B-U_303MW.PLT</t>
  </si>
  <si>
    <t>B-U_304MW.PLT</t>
  </si>
  <si>
    <t>B-U_305MW.PLT</t>
  </si>
  <si>
    <t>B-U_306MW.PLT</t>
  </si>
  <si>
    <t>B-U_307MW.PLT</t>
  </si>
  <si>
    <t>B-U_308MW.PLT</t>
  </si>
  <si>
    <t>B-U_309MW.PLT</t>
  </si>
  <si>
    <t>B-U_310MW.PLT</t>
  </si>
  <si>
    <t>B-U_311MW.PLT</t>
  </si>
  <si>
    <t>B-U_312MW.PLT</t>
  </si>
  <si>
    <t>B-U_313MW.PLT</t>
  </si>
  <si>
    <t>B-U_314MW.PLT</t>
  </si>
  <si>
    <t>B-U_315MW.PLT</t>
  </si>
  <si>
    <t>B-U_316MW.PLT</t>
  </si>
  <si>
    <t>B-U_317MW.PLT</t>
  </si>
  <si>
    <t>B-U_318MW.PLT</t>
  </si>
  <si>
    <t>B-U_319MW.PLT</t>
  </si>
  <si>
    <t>B-U_320MW.PLT</t>
  </si>
  <si>
    <t>B-U_321MW.PLT</t>
  </si>
  <si>
    <t>B-U_322MW.PLT</t>
  </si>
  <si>
    <t>B-U_323MW.PLT</t>
  </si>
  <si>
    <t>B-U_324MW.PLT</t>
  </si>
  <si>
    <t>B-U_325MW.PLT</t>
  </si>
  <si>
    <t>B-U_326MW.PLT</t>
  </si>
  <si>
    <t>B-U_327MW.PLT</t>
  </si>
  <si>
    <t>B-U_328MW.PLT</t>
  </si>
  <si>
    <t>B-U_329MW.PLT</t>
  </si>
  <si>
    <t>B-U_330MW.PLT</t>
  </si>
  <si>
    <t>B-U_331MW.PLT</t>
  </si>
  <si>
    <t>B-U_332MW.PLT</t>
  </si>
  <si>
    <t>B-U_333MW.PLT</t>
  </si>
  <si>
    <t>B-U_334MW.PLT</t>
  </si>
  <si>
    <t>B-U_335MW.PLT</t>
  </si>
  <si>
    <t>B-U_336MW.PLT</t>
  </si>
  <si>
    <t>B-U_337MW.PLT</t>
  </si>
  <si>
    <t>B-U_338MW.PLT</t>
  </si>
  <si>
    <t>B-U_339MW.PLT</t>
  </si>
  <si>
    <t>B-U_340MW.PLT</t>
  </si>
  <si>
    <t>B-U_341MW.PLT</t>
  </si>
  <si>
    <t>B-U_342MW.PLT</t>
  </si>
  <si>
    <t>B-U_343MW.PLT</t>
  </si>
  <si>
    <t>B-U_344MW.PLT</t>
  </si>
  <si>
    <t>B-U_345MW.PLT</t>
  </si>
  <si>
    <t>B-U_346MW.PLT</t>
  </si>
  <si>
    <t>B-U_347MW.PLT</t>
  </si>
  <si>
    <t>B-U_348MW.PLT</t>
  </si>
  <si>
    <t>B-U_349MW.PLT</t>
  </si>
  <si>
    <t>B-U_350MW.PLT</t>
  </si>
  <si>
    <t>B-U_351MW.PLT</t>
  </si>
  <si>
    <t>B-U_352MW.PLT</t>
  </si>
  <si>
    <t>B-U_353MW.PLT</t>
  </si>
  <si>
    <t>B-U_354MW.PLT</t>
  </si>
  <si>
    <t>B-U_355MW.PLT</t>
  </si>
  <si>
    <t>B-U_356MW.PLT</t>
  </si>
  <si>
    <t>B-U_357MW.PLT</t>
  </si>
  <si>
    <t>B-U_358MW.PLT</t>
  </si>
  <si>
    <t>B-U_359MW.PLT</t>
  </si>
  <si>
    <t>B-U_360MW.PLT</t>
  </si>
  <si>
    <t>B-U_361MW.PLT</t>
  </si>
  <si>
    <t>B-U_362MW.PLT</t>
  </si>
  <si>
    <t>B-U_363MW.PLT</t>
  </si>
  <si>
    <t>B-U_364MW.PLT</t>
  </si>
  <si>
    <t>B-U_365MW.PLT</t>
  </si>
  <si>
    <t>B-U_366MW.PLT</t>
  </si>
  <si>
    <t>B-U_367MW.PLT</t>
  </si>
  <si>
    <t>B-U_368MW.PLT</t>
  </si>
  <si>
    <t>B-U_369MW.PLT</t>
  </si>
  <si>
    <t>B-U_370MW.PLT</t>
  </si>
  <si>
    <t>B-U_371MW.PLT</t>
  </si>
  <si>
    <t>B-U_372MW.PLT</t>
  </si>
  <si>
    <t>B-U_373MW.PLT</t>
  </si>
  <si>
    <t>B-U_374MW.PLT</t>
  </si>
  <si>
    <t>B-U_375MW.PLT</t>
  </si>
  <si>
    <t>B-U_376MW.PLT</t>
  </si>
  <si>
    <t>B-U_377MW.PLT</t>
  </si>
  <si>
    <t>B-U_378MW.PLT</t>
  </si>
  <si>
    <t>B-U_379MW.PLT</t>
  </si>
  <si>
    <t>B-U_380MW.PLT</t>
  </si>
  <si>
    <t>B-U_381MW.PLT</t>
  </si>
  <si>
    <t>B-U_382MW.PLT</t>
  </si>
  <si>
    <t>B-U_383MW.PLT</t>
  </si>
  <si>
    <t>B-U_384MW.PLT</t>
  </si>
  <si>
    <t>B-U_385MW.PLT</t>
  </si>
  <si>
    <t>B-U_386MW.PLT</t>
  </si>
  <si>
    <t>B-U_387MW.PLT</t>
  </si>
  <si>
    <t>B-U_388MW.PLT</t>
  </si>
  <si>
    <t>B-U_389MW.PLT</t>
  </si>
  <si>
    <t>B-U_390MW.PLT</t>
  </si>
  <si>
    <t>B-U_391MW.PLT</t>
  </si>
  <si>
    <t>B-U_392MW.PLT</t>
  </si>
  <si>
    <t>B-U_393MW.PLT</t>
  </si>
  <si>
    <t>B-U_394MW.PLT</t>
  </si>
  <si>
    <t>B-U_395MW.PLT</t>
  </si>
  <si>
    <t>B-U_396MW.PLT</t>
  </si>
  <si>
    <t>B-U_397MW.PLT</t>
  </si>
  <si>
    <t>B-U_398MW.PLT</t>
  </si>
  <si>
    <t>B-U_399MW.PLT</t>
  </si>
  <si>
    <t>B-U_400MW.PLT</t>
  </si>
  <si>
    <t>B-U_401MW.PLT</t>
  </si>
  <si>
    <t>B-U_402MW.PLT</t>
  </si>
  <si>
    <t>B-U_403MW.PLT</t>
  </si>
  <si>
    <t>B-U_404MW.PLT</t>
  </si>
  <si>
    <t>B-U_405MW.PLT</t>
  </si>
  <si>
    <t>B-U_406MW.PLT</t>
  </si>
  <si>
    <t>B-U_407MW.PLT</t>
  </si>
  <si>
    <t>B-U_408MW.PLT</t>
  </si>
  <si>
    <t>B-U_409MW.PLT</t>
  </si>
  <si>
    <t>B-U_410MW.PLT</t>
  </si>
  <si>
    <t>B-U_411MW.PLT</t>
  </si>
  <si>
    <t>B-U_412MW.PLT</t>
  </si>
  <si>
    <t>B-U_413MW.PLT</t>
  </si>
  <si>
    <t>B-U_414MW.PLT</t>
  </si>
  <si>
    <t>B-U_415MW.PLT</t>
  </si>
  <si>
    <t>B-U_416MW.PLT</t>
  </si>
  <si>
    <t>B-U_417MW.PLT</t>
  </si>
  <si>
    <t>B-U_418MW.PLT</t>
  </si>
  <si>
    <t>B-U_419MW.PLT</t>
  </si>
  <si>
    <t>B-U_420MW.PLT</t>
  </si>
  <si>
    <t>B-U_421MW.PLT</t>
  </si>
  <si>
    <t>B-U_422MW.PLT</t>
  </si>
  <si>
    <t>B-U_423MW.PLT</t>
  </si>
  <si>
    <t>B-U_424MW.PLT</t>
  </si>
  <si>
    <t>B-U_425MW.PLT</t>
  </si>
  <si>
    <t>B-U_426MW.PLT</t>
  </si>
  <si>
    <t>B-U_427MW.PLT</t>
  </si>
  <si>
    <t>B-U_428MW.PLT</t>
  </si>
  <si>
    <t>B-U_429MW.PLT</t>
  </si>
  <si>
    <t>B-U_430MW.PLT</t>
  </si>
  <si>
    <t>B-U_431MW.PLT</t>
  </si>
  <si>
    <t>B-U_432MW.PLT</t>
  </si>
  <si>
    <t>B-U_433MW.PLT</t>
  </si>
  <si>
    <t>B-U_434MW.PLT</t>
  </si>
  <si>
    <t>B-U_435MW.PLT</t>
  </si>
  <si>
    <t>B-U_436MW.PLT</t>
  </si>
  <si>
    <t>B-U_437MW.PLT</t>
  </si>
  <si>
    <t>B-U_438MW.PLT</t>
  </si>
  <si>
    <t>B-U_439MW.PLT</t>
  </si>
  <si>
    <t>B-U_440MW.PLT</t>
  </si>
  <si>
    <t>B-U_441MW.PLT</t>
  </si>
  <si>
    <t>B-U_442MW.PLT</t>
  </si>
  <si>
    <t>B-U_443MW.PLT</t>
  </si>
  <si>
    <t>B-U_444MW.PLT</t>
  </si>
  <si>
    <t>B-U_445MW.PLT</t>
  </si>
  <si>
    <t>B-U_446MW.PLT</t>
  </si>
  <si>
    <t>B-U_447MW.PLT</t>
  </si>
  <si>
    <t>B-U_448MW.PLT</t>
  </si>
  <si>
    <t>B-U_449MW.PLT</t>
  </si>
  <si>
    <t>B-U_450MW.PLT</t>
  </si>
  <si>
    <t>B-U_451MW.PLT</t>
  </si>
  <si>
    <t>B-U_452MW.PLT</t>
  </si>
  <si>
    <t>B-U_453MW.PLT</t>
  </si>
  <si>
    <t>B-U_454MW.PLT</t>
  </si>
  <si>
    <t>B-U_455MW.PLT</t>
  </si>
  <si>
    <t>B-U_456MW.PLT</t>
  </si>
  <si>
    <t>B-U_457MW.PLT</t>
  </si>
  <si>
    <t>B-U_458MW.PLT</t>
  </si>
  <si>
    <t>B-U_459MW.PLT</t>
  </si>
  <si>
    <t>B-U_460MW.PLT</t>
  </si>
  <si>
    <t>B-U_461MW.PLT</t>
  </si>
  <si>
    <t>B-U_462MW.PLT</t>
  </si>
  <si>
    <t>B-U_463MW.PLT</t>
  </si>
  <si>
    <t>B-U_464MW.PLT</t>
  </si>
  <si>
    <t>B-U_465MW.PLT</t>
  </si>
  <si>
    <t>B-U_466MW.PLT</t>
  </si>
  <si>
    <t>B-U_467MW.PLT</t>
  </si>
  <si>
    <t>B-U_468MW.PLT</t>
  </si>
  <si>
    <t>B-U_469MW.PLT</t>
  </si>
  <si>
    <t>B-U_470MW.PLT</t>
  </si>
  <si>
    <t>B-U_471MW.PLT</t>
  </si>
  <si>
    <t>B-U_472MW.PLT</t>
  </si>
  <si>
    <t>B-U_473MW.PLT</t>
  </si>
  <si>
    <t>B-U_474MW.PLT</t>
  </si>
  <si>
    <t>B-U_475MW.PLT</t>
  </si>
  <si>
    <t>B-U_476MW.PLT</t>
  </si>
  <si>
    <t>B-U_477MW.PLT</t>
  </si>
  <si>
    <t>B-U_478MW.PLT</t>
  </si>
  <si>
    <t>B-U_479MW.PLT</t>
  </si>
  <si>
    <t>B-U_480MW.PLT</t>
  </si>
  <si>
    <t>B-U_481MW.PLT</t>
  </si>
  <si>
    <t>B-U_482MW.PLT</t>
  </si>
  <si>
    <t>B-U_483MW.PLT</t>
  </si>
  <si>
    <t>B-U_484MW.PLT</t>
  </si>
  <si>
    <t>B-U_485MW.PLT</t>
  </si>
  <si>
    <t>B-U_486MW.PLT</t>
  </si>
  <si>
    <t>B-U_487MW.PLT</t>
  </si>
  <si>
    <t>B-U_488MW.PLT</t>
  </si>
  <si>
    <t>B-U_489MW.PLT</t>
  </si>
  <si>
    <t>B-U_490MW.PLT</t>
  </si>
  <si>
    <t>B-U_491MW.PLT</t>
  </si>
  <si>
    <t>B-U_492MW.PLT</t>
  </si>
  <si>
    <t>B-U_493MW.PLT</t>
  </si>
  <si>
    <t>B-U_494MW.PLT</t>
  </si>
  <si>
    <t>B-U_495MW.PLT</t>
  </si>
  <si>
    <t>B-U_496MW.PLT</t>
  </si>
  <si>
    <t>B-U_497MW.PLT</t>
  </si>
  <si>
    <t>B-U_498MW.PLT</t>
  </si>
  <si>
    <t>B-U_499MW.PLT</t>
  </si>
  <si>
    <t>B-U_500MW.PLT</t>
  </si>
  <si>
    <t>B-U_501MW.PLT</t>
  </si>
  <si>
    <t>B-U_502MW.PLT</t>
  </si>
  <si>
    <t>B-U_503MW.PLT</t>
  </si>
  <si>
    <t>B-U_504MW.PLT</t>
  </si>
  <si>
    <t>B-U_505MW.PLT</t>
  </si>
  <si>
    <t>B-U_506MW.PLT</t>
  </si>
  <si>
    <t>B-U_507MW.PLT</t>
  </si>
  <si>
    <t>B-U_508MW.PLT</t>
  </si>
  <si>
    <t xml:space="preserve">Teste </t>
  </si>
  <si>
    <t>Alteração STB SIN</t>
  </si>
  <si>
    <t>Potência no DC (MW)</t>
  </si>
  <si>
    <t>Arquivo de saída ANAREDE</t>
  </si>
  <si>
    <t>Retirada</t>
  </si>
  <si>
    <t>LST</t>
  </si>
  <si>
    <t>U-B</t>
  </si>
  <si>
    <t>B-U</t>
  </si>
  <si>
    <t xml:space="preserve">!      ---- Modo de Desenho da Barra ---
BU
!      ---- Tamanho da Fonte das Legendas ---
F 3
!      ---- Cores (Fundo - Identificador - Numero - Valor - Grid - Fluxo Ativo - Fluxo Reativo)---
RF 255 255 255
RI 128 0 128
RN 128 0 128
RV 0 0 255
RG 0 0 0
RA 0 0 255
RR 255 0 0
!      ---- Grupos Base de TensÒo ----
!Ten  lar  R   G   B ID
G 1 1 0 0 0  0
G 13.8 1 0 0 0  N
G 34.5 1 0 0 0  L
G 34 1 0 0 0  M
G 23 1 0 0 0  P
G 69 1 0 128 255  I
G 765 3 0 0 0  A
G 500 2 255 0 0  C
G 345 4 0 0 255  E
G 230 2 73 125 2  F
G 138 1 255 128 64  G
G 0 1 0 0 0  K
G 6.9 1 0 0 0  R
G 88 1 255 128 128  H
G 440 3 164 0 164  D
G 525 3 255 0 0  B
G 161 1 0 0 0  W
G 0 1 0 0 0  S
G 20 1 0 0 0  Q
G 0 1 0 0 0  3
G 990 1 0 0 0  T
G 289 1 0 0 0  Y
G 0 1 0 0 0  Z
G 13.2 1 0 0 0  X
G 991 1 0 0 0  U
G 0 1 0 0 0  4
G 1 1 0 0 0  5
G 992 1 0 0 0  V
G 1 1 0 0 0  1
G 0 1 0 0 0  2
G 0 1 0 0 0  7
!    ---- Componentes ----
!Numero Tipo Rot Hac Px Py Cor sl SubTp ch1 ch2 ch3 ch4 Descrip
C32486  1 257 0  -2864   5504 10  0 - 9785  0  0  0 0
C32489  1 257 0  -3008   5504 16  0 - 9786  0  0  0 0
C32491  1 257 0  -3184   5504 16  0 - 9787  0  0  0 0
C33386  1 1025 0  -3616   5504  1  0 - 90018  0  0  0 0
C33387  1 257 0  -3792   5504  1  0 - 90019  0  0  0 0
C33388  1 257 0  -3968   5504  1  0 - 99019  0  0  0 0
C67013  1 257 0  -2656   5504 10  0 - 1239  0  0  0 0
C32490  9 1 0  -2928   5520  0  0 -  1 9785 9786  0 0
C33391  9 1 0  -3872   5520  0  0 -  1 90019 99019  0 0
C33408  2 0 0  -3280   5472  0  0 + 4101  0  0  0 0
C33409  2 0 0  -3488   5472  0  0 + 4102  0  0  0 0
C33410  2 0 0  -3280   5632  0  0 0 4103  0  0  0 0
C33411  2 0 0  -3488   5632  0  0 0 4104  0  0  0 0
C67004  8 0 0  -3760   5520  1  0 P 90019 90018  1 90019 0
C67005  8 0 0  -3664   5520  1  0 D 90018 90018  1 90019 0
C67006  8 0 0  -3152   5520 16  0 P 9787 9786  1 9787 0
C67011 23   0 0  -2976   5632 16  0 - 10 9786  0  0 0 0
C67015 23   1 0  -3664   5648  1  0 - 10 90018  0  0 0 0
C67016 23   1 0  -3664   5600  1  0 - 90 90018  0  0 0 0
C67019 23   0 0  -3184   5632 16  0 - 90 9787  0  0 0 0
C67021 23   0 0  -3040   5520 16  0 - 90 9786 9787  1 0 D
C67033 11 0 0  -3488   5520  1  0 I 4202  0  0  0 0
C67035 11 2 0  -3280   5520 16  0 R 4201  0  0  0 0
!      ---- Linhas ----
!Numero Tipo hac sl De Para ch1 nsg segmentos
L32492 14 0 0 32489 32491  1  3 23553 23565 23566 
L33392 14 0 0 33386 33387  1  3 23549 23550 23551 
L33424 15 0 0 33408 33409  1  1 11721 
L67014 14 0 0 67013 32486  1  1 23559 
!     ---- Ligacoes ----
!Numero Flags cor Inic Coni Fin Conf Linhas nqb quebras
U11218 0 10 32486   2 32490   1  -1   0 
U11219 0 16 32489   2 32490   2  -1   0 
U11685 0  1 33387   2 33391   1  -1   0 
U11686 0  1 33388   2 33391   2  -1   0 
U11721 0  0 33408   1 33409   1 33424   0 
U23549 0  1 67004   1 33387   2 33392   0 
U23550 0  1 33386   2 67005   1 33392   0 
U23551 0  1 67005   1 67004   1 33392   0 
U23553 0 16 67006   1 32491   2 32492   0 
U23558 0 16 67011   1 32489   2  -1   0 
U23559 0 10 67013   2 32486   2 67014   0 
U23560 0  1 67015   1 33386  10  -1   0 
U23561 0  1 67016   1 33386   7  -1   0 
U23562 0 16 67019   1 32491   2  -1   0 
U23565 0 16 32489   2 67021   1 32492   0 
U23566 0 16 67021   1 67006   1 32492   0 
U23576 0  1 67033   1 33386   2  -1   0 
U23577 0  0 67033   2 33409   1  -1   0 
U23578 0  0 67033   3 33411   1  -1   0 
U23582 0 16 67035   1 32491   2  -1   0 
U23583 0  0 67035   3 33408   1  -1   0 
U23584 0  0 67035   2 33410   1  -1   0 
!    ---- PosiþÒo de Legenda de Componentes ----
!NumCompo Label Rot Px Py
X 32489  0  1     0.00   -20.00
X 33408  0  0   -22.10   -23.35
X 33408  1  0   -32.70    -7.35
X 33408  2  0   -29.38     8.65
X 33409  0  0    41.90   -23.35
X 33409  1  0    31.30    -7.35
X 33409  2  0    18.63     8.65
!     ---- PosiþÒo de Legenda de Ligacoes ----
!Lado NumLig Label Px Py
</t>
  </si>
  <si>
    <t>Tempo</t>
  </si>
  <si>
    <t>#1 - B. 9787</t>
  </si>
  <si>
    <t>#2 - B. 9787</t>
  </si>
  <si>
    <t>#3 - B. 9787</t>
  </si>
  <si>
    <t>#4 - B. 9787</t>
  </si>
  <si>
    <t>#5 - B. 9787</t>
  </si>
  <si>
    <t>#6 - B. 9787</t>
  </si>
  <si>
    <t>#7 - B. 9787</t>
  </si>
  <si>
    <t>#8 - B. 9787</t>
  </si>
  <si>
    <t>#9 - B. 9787</t>
  </si>
  <si>
    <t>#10 - B. 9787</t>
  </si>
  <si>
    <t>#11 - B. 9787</t>
  </si>
  <si>
    <t>#12 - B. 9787</t>
  </si>
  <si>
    <t>#13 - B. 9787</t>
  </si>
  <si>
    <t>#14 - B. 9787</t>
  </si>
  <si>
    <t>#15 - B. 9787</t>
  </si>
  <si>
    <t>#16 - B. 9787</t>
  </si>
  <si>
    <t>#17 - B. 9787</t>
  </si>
  <si>
    <t>#18 - B. 9787</t>
  </si>
  <si>
    <t>#19 - B. 9787</t>
  </si>
  <si>
    <t>#20 - B. 9787</t>
  </si>
  <si>
    <t>#21 - B. 9787</t>
  </si>
  <si>
    <t>#22 - B. 9787</t>
  </si>
  <si>
    <t>#23 - B. 9787</t>
  </si>
  <si>
    <t>#24 - B. 9787</t>
  </si>
  <si>
    <t>#25 - B. 9787</t>
  </si>
  <si>
    <t>#26 - B. 9787</t>
  </si>
  <si>
    <t>#27 - B. 9787</t>
  </si>
  <si>
    <t>#28 - B. 9787</t>
  </si>
  <si>
    <t>#29 - B. 9787</t>
  </si>
  <si>
    <t>#30 - B. 9787</t>
  </si>
  <si>
    <t>#31 - B. 9787</t>
  </si>
  <si>
    <t>#32 - B. 9787</t>
  </si>
  <si>
    <t>#33 - B. 9787</t>
  </si>
  <si>
    <t>#34 - B. 9787</t>
  </si>
  <si>
    <t>#35 - B. 9787</t>
  </si>
  <si>
    <t>#36 - B. 9787</t>
  </si>
  <si>
    <t>#37 - B. 9787</t>
  </si>
  <si>
    <t>#38 - B. 9787</t>
  </si>
  <si>
    <t>#39 - B. 9787</t>
  </si>
  <si>
    <t>#40 - B. 9787</t>
  </si>
  <si>
    <t>#41 - B. 9787</t>
  </si>
  <si>
    <t>#42 - B. 9787</t>
  </si>
  <si>
    <t>#43 - B. 9787</t>
  </si>
  <si>
    <t>#44 - B. 9787</t>
  </si>
  <si>
    <t>#45 - B. 9787</t>
  </si>
  <si>
    <t>#46 - B. 9787</t>
  </si>
  <si>
    <t>#47 - B. 9787</t>
  </si>
  <si>
    <t>#48 - B. 9787</t>
  </si>
  <si>
    <t>#49 - B. 9787</t>
  </si>
  <si>
    <t>#50 - B. 9787</t>
  </si>
  <si>
    <t>#51 - B. 9787</t>
  </si>
  <si>
    <t>#52 - B. 9787</t>
  </si>
  <si>
    <t>#53 - B. 9787</t>
  </si>
  <si>
    <t>#54 - B. 9787</t>
  </si>
  <si>
    <t>#55 - B. 9787</t>
  </si>
  <si>
    <t>#56 - B. 9787</t>
  </si>
  <si>
    <t>#57 - B. 9787</t>
  </si>
  <si>
    <t>#58 - B. 9787</t>
  </si>
  <si>
    <t>#59 - B. 9787</t>
  </si>
  <si>
    <t>#60 - B. 9787</t>
  </si>
  <si>
    <t>#61 - B. 9787</t>
  </si>
  <si>
    <t>#62 - B. 9787</t>
  </si>
  <si>
    <t>#63 - B. 9787</t>
  </si>
  <si>
    <t>#64 - B. 9787</t>
  </si>
  <si>
    <t>#65 - B. 9787</t>
  </si>
  <si>
    <t>#66 - B. 9787</t>
  </si>
  <si>
    <t>#67 - B. 9787</t>
  </si>
  <si>
    <t>#68 - B. 9787</t>
  </si>
  <si>
    <t>#70 - B. 9787</t>
  </si>
  <si>
    <t>#71 - B. 9787</t>
  </si>
  <si>
    <t>#72 - B. 9787</t>
  </si>
  <si>
    <t>#73 - B. 9787</t>
  </si>
  <si>
    <t>#74 - B. 9787</t>
  </si>
  <si>
    <t>#75 - B. 9787</t>
  </si>
  <si>
    <t>#76 - B. 9787</t>
  </si>
  <si>
    <t>#77 - B. 9787</t>
  </si>
  <si>
    <t>#78 - B. 9787</t>
  </si>
  <si>
    <t>#79 - B. 9787</t>
  </si>
  <si>
    <t>#80 - B. 9787</t>
  </si>
  <si>
    <t>#81 - B. 9787</t>
  </si>
  <si>
    <t>#82 - B. 9787</t>
  </si>
  <si>
    <t>#83 - B. 9787</t>
  </si>
  <si>
    <t>#84 - B. 9787</t>
  </si>
  <si>
    <t>#85 - B. 9787</t>
  </si>
  <si>
    <t>#86 - B. 9787</t>
  </si>
  <si>
    <t>#87 - B. 9787</t>
  </si>
  <si>
    <t>#88 - B. 9787</t>
  </si>
  <si>
    <t>#89 - B. 9787</t>
  </si>
  <si>
    <t>#90 - B. 9787</t>
  </si>
  <si>
    <t>#91 - B. 9787</t>
  </si>
  <si>
    <t>#92 - B. 9787</t>
  </si>
  <si>
    <t>#93 - B. 9787</t>
  </si>
  <si>
    <t>#94 - B. 9787</t>
  </si>
  <si>
    <t>#95 - B. 9787</t>
  </si>
  <si>
    <t>#96 - B. 9787</t>
  </si>
  <si>
    <t>#97 - B. 9787</t>
  </si>
  <si>
    <t>#98 - B. 9787</t>
  </si>
  <si>
    <t>#99 - B. 9787</t>
  </si>
  <si>
    <t>#100 - B. 9787</t>
  </si>
  <si>
    <t>#101 - B. 9787</t>
  </si>
  <si>
    <t>#102 - B. 9787</t>
  </si>
  <si>
    <t>#103 - B. 9787</t>
  </si>
  <si>
    <t>#104 - B. 9787</t>
  </si>
  <si>
    <t>#105 - B. 9787</t>
  </si>
  <si>
    <t>#106 - B. 9787</t>
  </si>
  <si>
    <t>#107 - B. 9787</t>
  </si>
  <si>
    <t>#108 - B. 9787</t>
  </si>
  <si>
    <t>#109 - B. 9787</t>
  </si>
  <si>
    <t>#110 - B. 9787</t>
  </si>
  <si>
    <t>#111 - B. 9787</t>
  </si>
  <si>
    <t>#112 - B. 9787</t>
  </si>
  <si>
    <t>#113 - B. 9787</t>
  </si>
  <si>
    <t>#114 - B. 9787</t>
  </si>
  <si>
    <t>#115 - B. 9787</t>
  </si>
  <si>
    <t>#116 - B. 9787</t>
  </si>
  <si>
    <t>#117 - B. 9787</t>
  </si>
  <si>
    <t>#118 - B. 9787</t>
  </si>
  <si>
    <t>#119 - B. 9787</t>
  </si>
  <si>
    <t>#120 - B. 9787</t>
  </si>
  <si>
    <t>#121 - B. 9787</t>
  </si>
  <si>
    <t>#122 - B. 9787</t>
  </si>
  <si>
    <t>#123 - B. 9787</t>
  </si>
  <si>
    <t>#124 - B. 9787</t>
  </si>
  <si>
    <t>#125 - B. 9787</t>
  </si>
  <si>
    <t>#126 - B. 9787</t>
  </si>
  <si>
    <t>#127 - B. 9787</t>
  </si>
  <si>
    <t>#128 - B. 9787</t>
  </si>
  <si>
    <t>#129 - B. 9787</t>
  </si>
  <si>
    <t>#130 - B. 9787</t>
  </si>
  <si>
    <t>#131 - B. 9787</t>
  </si>
  <si>
    <t>#132 - B. 9787</t>
  </si>
  <si>
    <t>#133 - B. 9787</t>
  </si>
  <si>
    <t>#134 - B. 9787</t>
  </si>
  <si>
    <t>#135 - B. 9787</t>
  </si>
  <si>
    <t>#136 - B. 9787</t>
  </si>
  <si>
    <t>#137 - B. 9787</t>
  </si>
  <si>
    <t>#138 - B. 9787</t>
  </si>
  <si>
    <t>#139 - B. 9787</t>
  </si>
  <si>
    <t>#140 - B. 9787</t>
  </si>
  <si>
    <t>#141 - B. 9787</t>
  </si>
  <si>
    <t>#142 - B. 9787</t>
  </si>
  <si>
    <t>#143 - B. 9787</t>
  </si>
  <si>
    <t>#144 - B. 9787</t>
  </si>
  <si>
    <t>#145 - B. 9787</t>
  </si>
  <si>
    <t>#146 - B. 9787</t>
  </si>
  <si>
    <t>#147 - B. 9787</t>
  </si>
  <si>
    <t>#148 - B. 9787</t>
  </si>
  <si>
    <t>#149 - B. 9787</t>
  </si>
  <si>
    <t>#150 - B. 9787</t>
  </si>
  <si>
    <t>#151 - B. 9787</t>
  </si>
  <si>
    <t>#152 - B. 9787</t>
  </si>
  <si>
    <t>#153 - B. 9787</t>
  </si>
  <si>
    <t>#154 - B. 9787</t>
  </si>
  <si>
    <t>#155 - B. 9787</t>
  </si>
  <si>
    <t>#156 - B. 9787</t>
  </si>
  <si>
    <t>#157 - B. 9787</t>
  </si>
  <si>
    <t>#158 - B. 9787</t>
  </si>
  <si>
    <t>#159 - B. 9787</t>
  </si>
  <si>
    <t>#160 - B. 9787</t>
  </si>
  <si>
    <t>#161 - B. 9787</t>
  </si>
  <si>
    <t>#162 - B. 9787</t>
  </si>
  <si>
    <t>#163 - B. 9787</t>
  </si>
  <si>
    <t>#164 - B. 9787</t>
  </si>
  <si>
    <t>#165 - B. 9787</t>
  </si>
  <si>
    <t>#166 - B. 9787</t>
  </si>
  <si>
    <t>#167 - B. 9787</t>
  </si>
  <si>
    <t>#168 - B. 9787</t>
  </si>
  <si>
    <t>#169 - B. 9787</t>
  </si>
  <si>
    <t>#170 - B. 9787</t>
  </si>
  <si>
    <t>#171 - B. 9787</t>
  </si>
  <si>
    <t>#172 - B. 9787</t>
  </si>
  <si>
    <t>#173 - B. 9787</t>
  </si>
  <si>
    <t>#174 - B. 9787</t>
  </si>
  <si>
    <t>#175 - B. 9787</t>
  </si>
  <si>
    <t>#176 - B. 9787</t>
  </si>
  <si>
    <t>#177 - B. 9787</t>
  </si>
  <si>
    <t>#178 - B. 9787</t>
  </si>
  <si>
    <t>#179 - B. 9787</t>
  </si>
  <si>
    <t>#180 - B. 9787</t>
  </si>
  <si>
    <t>#181 - B. 9787</t>
  </si>
  <si>
    <t>#182 - B. 9787</t>
  </si>
  <si>
    <t>#183 - B. 9787</t>
  </si>
  <si>
    <t>#184 - B. 9787</t>
  </si>
  <si>
    <t>#185 - B. 9787</t>
  </si>
  <si>
    <t>#186 - B. 9787</t>
  </si>
  <si>
    <t>#187 - B. 9787</t>
  </si>
  <si>
    <t>#188 - B. 9787</t>
  </si>
  <si>
    <t>#189 - B. 9787</t>
  </si>
  <si>
    <t>#190 - B. 9787</t>
  </si>
  <si>
    <t>#191 - B. 9787</t>
  </si>
  <si>
    <t>#192 - B. 9787</t>
  </si>
  <si>
    <t>#193 - B. 9787</t>
  </si>
  <si>
    <t>#194 - B. 9787</t>
  </si>
  <si>
    <t>#195 - B. 9787</t>
  </si>
  <si>
    <t>#196 - B. 9787</t>
  </si>
  <si>
    <t>#197 - B. 9787</t>
  </si>
  <si>
    <t>#198 - B. 9787</t>
  </si>
  <si>
    <t>#199 - B. 9787</t>
  </si>
  <si>
    <t>#200 - B. 9787</t>
  </si>
  <si>
    <t>#201 - B. 9787</t>
  </si>
  <si>
    <t>#202 - B. 9787</t>
  </si>
  <si>
    <t>#203 - B. 9787</t>
  </si>
  <si>
    <t>#204 - B. 9787</t>
  </si>
  <si>
    <t>#205 - B. 9787</t>
  </si>
  <si>
    <t>#206 - B. 9787</t>
  </si>
  <si>
    <t>#207 - B. 9787</t>
  </si>
  <si>
    <t>#208 - B. 9787</t>
  </si>
  <si>
    <t>#209 - B. 9787</t>
  </si>
  <si>
    <t>#210 - B. 9787</t>
  </si>
  <si>
    <t>#211 - B. 9787</t>
  </si>
  <si>
    <t>#212 - B. 9787</t>
  </si>
  <si>
    <t>#213 - B. 9787</t>
  </si>
  <si>
    <t>#214 - B. 9787</t>
  </si>
  <si>
    <t>#215 - B. 9787</t>
  </si>
  <si>
    <t>#216 - B. 9787</t>
  </si>
  <si>
    <t>#217 - B. 9787</t>
  </si>
  <si>
    <t>#218 - B. 9787</t>
  </si>
  <si>
    <t>#219 - B. 9787</t>
  </si>
  <si>
    <t>#220 - B. 9787</t>
  </si>
  <si>
    <t>#221 - B. 9787</t>
  </si>
  <si>
    <t>#222 - B. 9787</t>
  </si>
  <si>
    <t>#223 - B. 9787</t>
  </si>
  <si>
    <t>#224 - B. 9787</t>
  </si>
  <si>
    <t>#225 - B. 9787</t>
  </si>
  <si>
    <t>#226 - B. 9787</t>
  </si>
  <si>
    <t>#227 - B. 9787</t>
  </si>
  <si>
    <t>#228 - B. 9787</t>
  </si>
  <si>
    <t>#229 - B. 9787</t>
  </si>
  <si>
    <t>#230 - B. 9787</t>
  </si>
  <si>
    <t>#231 - B. 9787</t>
  </si>
  <si>
    <t>#232 - B. 9787</t>
  </si>
  <si>
    <t>#233 - B. 9787</t>
  </si>
  <si>
    <t>#234 - B. 9787</t>
  </si>
  <si>
    <t>#235 - B. 9787</t>
  </si>
  <si>
    <t>#236 - B. 9787</t>
  </si>
  <si>
    <t>#237 - B. 9787</t>
  </si>
  <si>
    <t>#238 - B. 9787</t>
  </si>
  <si>
    <t>#239 - B. 9787</t>
  </si>
  <si>
    <t>#240 - B. 9787</t>
  </si>
  <si>
    <t>#241 - B. 9787</t>
  </si>
  <si>
    <t>#242 - B. 9787</t>
  </si>
  <si>
    <t>#243 - B. 9787</t>
  </si>
  <si>
    <t>#244 - B. 9787</t>
  </si>
  <si>
    <t>#245 - B. 9787</t>
  </si>
  <si>
    <t>#246 - B. 9787</t>
  </si>
  <si>
    <t>#247 - B. 9787</t>
  </si>
  <si>
    <t>#248 - B. 9787</t>
  </si>
  <si>
    <t>#249 - B. 9787</t>
  </si>
  <si>
    <t>#250 - B. 9787</t>
  </si>
  <si>
    <t>#251 - B. 9787</t>
  </si>
  <si>
    <t>#252 - B. 9787</t>
  </si>
  <si>
    <t>#253 - B. 9787</t>
  </si>
  <si>
    <t>#254 - B. 9787</t>
  </si>
  <si>
    <t>#255 - B. 9787</t>
  </si>
  <si>
    <t>#256 - B. 9787</t>
  </si>
  <si>
    <t>#257 - B. 9787</t>
  </si>
  <si>
    <t>#258 - B. 9787</t>
  </si>
  <si>
    <t>#259 - B. 9787</t>
  </si>
  <si>
    <t>#260 - B. 9787</t>
  </si>
  <si>
    <t>#261 - B. 9787</t>
  </si>
  <si>
    <t>#262 - B. 9787</t>
  </si>
  <si>
    <t>#263 - B. 9787</t>
  </si>
  <si>
    <t>#264 - B. 9787</t>
  </si>
  <si>
    <t>#265 - B. 9787</t>
  </si>
  <si>
    <t>#266 - B. 9787</t>
  </si>
  <si>
    <t>#267 - B. 9787</t>
  </si>
  <si>
    <t>#268 - B. 9787</t>
  </si>
  <si>
    <t>#269 - B. 9787</t>
  </si>
  <si>
    <t>#270 - B. 9787</t>
  </si>
  <si>
    <t>#271 - B. 9787</t>
  </si>
  <si>
    <t>#272 - B. 9787</t>
  </si>
  <si>
    <t>#273 - B. 9787</t>
  </si>
  <si>
    <t>#274 - B. 9787</t>
  </si>
  <si>
    <t>#275 - B. 9787</t>
  </si>
  <si>
    <t>#276 - B. 9787</t>
  </si>
  <si>
    <t>#277 - B. 9787</t>
  </si>
  <si>
    <t>#278 - B. 9787</t>
  </si>
  <si>
    <t>#279 - B. 9787</t>
  </si>
  <si>
    <t>#280 - B. 9787</t>
  </si>
  <si>
    <t>#281 - B. 9787</t>
  </si>
  <si>
    <t>#282 - B. 9787</t>
  </si>
  <si>
    <t>#283 - B. 9787</t>
  </si>
  <si>
    <t>#284 - B. 9787</t>
  </si>
  <si>
    <t>#285 - B. 9787</t>
  </si>
  <si>
    <t>#286 - B. 9787</t>
  </si>
  <si>
    <t>#287 - B. 9787</t>
  </si>
  <si>
    <t>#288 - B. 9787</t>
  </si>
  <si>
    <t>#289 - B. 9787</t>
  </si>
  <si>
    <t>#290 - B. 9787</t>
  </si>
  <si>
    <t>#291 - B. 9787</t>
  </si>
  <si>
    <t>#292 - B. 9787</t>
  </si>
  <si>
    <t>#293 - B. 9787</t>
  </si>
  <si>
    <t>#294 - B. 9787</t>
  </si>
  <si>
    <t>#295 - B. 9787</t>
  </si>
  <si>
    <t>#296 - B. 9787</t>
  </si>
  <si>
    <t>#297 - B. 9787</t>
  </si>
  <si>
    <t>#298 - B. 9787</t>
  </si>
  <si>
    <t>#299 - B. 9787</t>
  </si>
  <si>
    <t>#300 - B. 9787</t>
  </si>
  <si>
    <t>#301 - B. 9787</t>
  </si>
  <si>
    <t>#302 - B. 9787</t>
  </si>
  <si>
    <t>#303 - B. 9787</t>
  </si>
  <si>
    <t>#304 - B. 9787</t>
  </si>
  <si>
    <t>#305 - B. 9787</t>
  </si>
  <si>
    <t>#306 - B. 9787</t>
  </si>
  <si>
    <t>#307 - B. 9787</t>
  </si>
  <si>
    <t>#308 - B. 9787</t>
  </si>
  <si>
    <t>#309 - B. 9787</t>
  </si>
  <si>
    <t>#310 - B. 9787</t>
  </si>
  <si>
    <t>#311 - B. 9787</t>
  </si>
  <si>
    <t>#312 - B. 9787</t>
  </si>
  <si>
    <t>#313 - B. 9787</t>
  </si>
  <si>
    <t>#314 - B. 9787</t>
  </si>
  <si>
    <t>#315 - B. 9787</t>
  </si>
  <si>
    <t>#316 - B. 9787</t>
  </si>
  <si>
    <t>#317 - B. 9787</t>
  </si>
  <si>
    <t>#318 - B. 9787</t>
  </si>
  <si>
    <t>#319 - B. 9787</t>
  </si>
  <si>
    <t>#320 - B. 9787</t>
  </si>
  <si>
    <t>#321 - B. 9787</t>
  </si>
  <si>
    <t>#322 - B. 9787</t>
  </si>
  <si>
    <t>#323 - B. 9787</t>
  </si>
  <si>
    <t>#324 - B. 9787</t>
  </si>
  <si>
    <t>#325 - B. 9787</t>
  </si>
  <si>
    <t>#326 - B. 9787</t>
  </si>
  <si>
    <t>#327 - B. 9787</t>
  </si>
  <si>
    <t>#328 - B. 9787</t>
  </si>
  <si>
    <t>#329 - B. 9787</t>
  </si>
  <si>
    <t>#330 - B. 9787</t>
  </si>
  <si>
    <t>#331 - B. 9787</t>
  </si>
  <si>
    <t>#332 - B. 9787</t>
  </si>
  <si>
    <t>#333 - B. 9787</t>
  </si>
  <si>
    <t>#334 - B. 9787</t>
  </si>
  <si>
    <t>#335 - B. 9787</t>
  </si>
  <si>
    <t>#336 - B. 9787</t>
  </si>
  <si>
    <t>#337 - B. 9787</t>
  </si>
  <si>
    <t>#338 - B. 9787</t>
  </si>
  <si>
    <t>#339 - B. 9787</t>
  </si>
  <si>
    <t>#340 - B. 9787</t>
  </si>
  <si>
    <t>#341 - B. 9787</t>
  </si>
  <si>
    <t>#342 - B. 9787</t>
  </si>
  <si>
    <t>#343 - B. 9787</t>
  </si>
  <si>
    <t>#344 - B. 9787</t>
  </si>
  <si>
    <t>#345 - B. 9787</t>
  </si>
  <si>
    <t>#346 - B. 9787</t>
  </si>
  <si>
    <t>#347 - B. 9787</t>
  </si>
  <si>
    <t>#348 - B. 9787</t>
  </si>
  <si>
    <t>#349 - B. 9787</t>
  </si>
  <si>
    <t>#350 - B. 9787</t>
  </si>
  <si>
    <t>#351 - B. 9787</t>
  </si>
  <si>
    <t>#352 - B. 9787</t>
  </si>
  <si>
    <t>#353 - B. 9787</t>
  </si>
  <si>
    <t>#354 - B. 9787</t>
  </si>
  <si>
    <t>#355 - B. 9787</t>
  </si>
  <si>
    <t>#356 - B. 9787</t>
  </si>
  <si>
    <t>#357 - B. 9787</t>
  </si>
  <si>
    <t>#358 - B. 9787</t>
  </si>
  <si>
    <t>#359 - B. 9787</t>
  </si>
  <si>
    <t>#360 - B. 9787</t>
  </si>
  <si>
    <t>#361 - B. 9787</t>
  </si>
  <si>
    <t>#362 - B. 9787</t>
  </si>
  <si>
    <t>#363 - B. 9787</t>
  </si>
  <si>
    <t>#364 - B. 9787</t>
  </si>
  <si>
    <t>#365 - B. 9787</t>
  </si>
  <si>
    <t>#366 - B. 9787</t>
  </si>
  <si>
    <t>#367 - B. 9787</t>
  </si>
  <si>
    <t>#368 - B. 9787</t>
  </si>
  <si>
    <t>#369 - B. 9787</t>
  </si>
  <si>
    <t>#370 - B. 9787</t>
  </si>
  <si>
    <t>#371 - B. 9787</t>
  </si>
  <si>
    <t>#372 - B. 9787</t>
  </si>
  <si>
    <t>#373 - B. 9787</t>
  </si>
  <si>
    <t>#374 - B. 9787</t>
  </si>
  <si>
    <t>#375 - B. 9787</t>
  </si>
  <si>
    <t>#376 - B. 9787</t>
  </si>
  <si>
    <t>#377 - B. 9787</t>
  </si>
  <si>
    <t>#378 - B. 9787</t>
  </si>
  <si>
    <t>#379 - B. 9787</t>
  </si>
  <si>
    <t>#380 - B. 9787</t>
  </si>
  <si>
    <t>#381 - B. 9787</t>
  </si>
  <si>
    <t>#382 - B. 9787</t>
  </si>
  <si>
    <t>#383 - B. 9787</t>
  </si>
  <si>
    <t>#384 - B. 9787</t>
  </si>
  <si>
    <t>#385 - B. 9787</t>
  </si>
  <si>
    <t>#386 - B. 9787</t>
  </si>
  <si>
    <t>#387 - B. 9787</t>
  </si>
  <si>
    <t>#388 - B. 9787</t>
  </si>
  <si>
    <t>#389 - B. 9787</t>
  </si>
  <si>
    <t>#390 - B. 9787</t>
  </si>
  <si>
    <t>#391 - B. 9787</t>
  </si>
  <si>
    <t>#392 - B. 9787</t>
  </si>
  <si>
    <t>#393 - B. 9787</t>
  </si>
  <si>
    <t>#394 - B. 9787</t>
  </si>
  <si>
    <t>#395 - B. 9787</t>
  </si>
  <si>
    <t>#396 - B. 9787</t>
  </si>
  <si>
    <t>#397 - B. 9787</t>
  </si>
  <si>
    <t>#398 - B. 9787</t>
  </si>
  <si>
    <t>#399 - B. 9787</t>
  </si>
  <si>
    <t>#400 - B. 9787</t>
  </si>
  <si>
    <t>#401 - B. 9787</t>
  </si>
  <si>
    <t>#402 - B. 9787</t>
  </si>
  <si>
    <t>#403 - B. 9787</t>
  </si>
  <si>
    <t>#404 - B. 9787</t>
  </si>
  <si>
    <t>#405 - B. 9787</t>
  </si>
  <si>
    <t>#406 - B. 9787</t>
  </si>
  <si>
    <t>#407 - B. 9787</t>
  </si>
  <si>
    <t>#408 - B. 9787</t>
  </si>
  <si>
    <t>#409 - B. 9787</t>
  </si>
  <si>
    <t>#410 - B. 9787</t>
  </si>
  <si>
    <t>#411 - B. 9787</t>
  </si>
  <si>
    <t>#412 - B. 9787</t>
  </si>
  <si>
    <t>#413 - B. 9787</t>
  </si>
  <si>
    <t>#414 - B. 9787</t>
  </si>
  <si>
    <t>#415 - B. 9787</t>
  </si>
  <si>
    <t>#416 - B. 9787</t>
  </si>
  <si>
    <t>#417 - B. 9787</t>
  </si>
  <si>
    <t>#418 - B. 9787</t>
  </si>
  <si>
    <t>#419 - B. 9787</t>
  </si>
  <si>
    <t>#420 - B. 9787</t>
  </si>
  <si>
    <t>#421 - B. 9787</t>
  </si>
  <si>
    <t>#422 - B. 9787</t>
  </si>
  <si>
    <t>#423 - B. 9787</t>
  </si>
  <si>
    <t>#424 - B. 9787</t>
  </si>
  <si>
    <t>#425 - B. 9787</t>
  </si>
  <si>
    <t>#426 - B. 9787</t>
  </si>
  <si>
    <t>#427 - B. 9787</t>
  </si>
  <si>
    <t>#428 - B. 9787</t>
  </si>
  <si>
    <t>#429 - B. 9787</t>
  </si>
  <si>
    <t>#430 - B. 9787</t>
  </si>
  <si>
    <t>#431 - B. 9787</t>
  </si>
  <si>
    <t>#432 - B. 9787</t>
  </si>
  <si>
    <t>#433 - B. 9787</t>
  </si>
  <si>
    <t>#434 - B. 9787</t>
  </si>
  <si>
    <t>#435 - B. 9787</t>
  </si>
  <si>
    <t>#436 - B. 9787</t>
  </si>
  <si>
    <t>#437 - B. 9787</t>
  </si>
  <si>
    <t>#438 - B. 9787</t>
  </si>
  <si>
    <t>#439 - B. 9787</t>
  </si>
  <si>
    <t>#440 - B. 9787</t>
  </si>
  <si>
    <t>#441 - B. 9787</t>
  </si>
  <si>
    <t>#442 - B. 9787</t>
  </si>
  <si>
    <t>#443 - B. 9787</t>
  </si>
  <si>
    <t>#444 - B. 9787</t>
  </si>
  <si>
    <t>#445 - B. 9787</t>
  </si>
  <si>
    <t>#446 - B. 9787</t>
  </si>
  <si>
    <t>#447 - B. 9787</t>
  </si>
  <si>
    <t>#448 - B. 9787</t>
  </si>
  <si>
    <t>#449 - B. 9787</t>
  </si>
  <si>
    <t>#450 - B. 9787</t>
  </si>
  <si>
    <t>#451 - B. 9787</t>
  </si>
  <si>
    <t>#452 - B. 9787</t>
  </si>
  <si>
    <t>#453 - B. 9787</t>
  </si>
  <si>
    <t>#454 - B. 9787</t>
  </si>
  <si>
    <t>#455 - B. 9787</t>
  </si>
  <si>
    <t>#456 - B. 9787</t>
  </si>
  <si>
    <t>#457 - B. 9787</t>
  </si>
  <si>
    <t>(===============================================================================
(=                                                                             =
(=           MODELOS C.F. MELO EM DIFERENTES VALORES DE TRANSFERENCIA          =
(=                                                                             =
(===============================================================================
(
(=                                                                         
(-------------------------------------------------------------------------------
(= CENÁRIO AVALIADO                                                        
(= Sentido  : [SENTIDO]
(= Potência : [POT]
(-------------------------------------------------------------------------------
(=                                                                         
(
(===============================================================================
( ASSOCIACAO DE ARQUIVO PARA SAIDA DE RELATORIOS ( opcao FILE )
(===============================================================================
(
ULOG
4
OUT\[FILE].OUT
(
(===============================================================================
( ASSOCIACAO DE ARQUIVO COM DADOS PARA PLOTAGEM
(===============================================================================
ULOG
8
PLT\[FILE].PLT
(
(===============================================================================
( AnatemCodeASSOCIACAO DE ARQUIVO PARA SAIDA DE MENSAGENS DE EVENTOS DA SIMULACAO
(===============================================================================
ULOG
9
LOG\[FILE].LOG
(
(===============================================================================
( DADOS DE OPCOES DEFAULT DE EXECUCAO
(==AnatemCode=============================================================================
DOPC IMPR
(Op) E (Op) E (Op) E (Op) E (Op) E (Op) E (Op) E (Op) E (Op) E (Op) E
CONT L 80CO L FILE L IMPR D
999999
(
(===============================================================================
( TOLERANCIA DE CONVERGENCIA DESEJADA PARA O FLUXO DE POTENCIA
(===============================================================================
DCTE
(Ct) (Val )
TETE 1.e-04
TEMD 1.e-04
TABS 1.e-07
999999
(
(===============================================================================
( ASSOCIACAO DE ARQUIVO COM FLUXO DE POTENCIA ( ANAREDE )
(===============================================================================
ULOG
2
[FILE.SAV]
(
(===============================================================================
( RESTABELECIMENTO DO CASO DE FLUXO DE POTENCIA
(===============================================================================
ARQV REST IMPR
[CASENUMBER]
(
(===============================================================================
( ASSOCIACAO DE ARQUIVO COM MODELOS DO BTB MELO
(===============================================================================
DARQ
   CDU     .\Modelos\Melo_BtB_PowerCtrl_V10.cdu
   CDU     .\Modelos\Melo_BtB_PhaseCtrl_V10.CDU
   CDU     .\Modelos\Melo_BtB_Tap_Control_V6_AUT.cdu
   CDU     .\Modelos\Melo_BtB_OLRPC_TOV_V5.cdu
   CDU     .\Modelos\Melo_BtB_RPC_V8_LIG.cdu
   DAT     .\Modelos\Melo_BtB_DLOC.DAT                                             
999999
(
(===============================================================================
(           DADOS DE MODELOS DE BARRAS INFINITAS
(===============================================================================
(
DMDG MD01
(
(....... Barra infinita 60 Hz
(No) O (L'd)(Ra )( H )( D )(MVA)Fr C
0098                            60
(
(....... Barra infinita 50 Hz
(No) O (L'd)(Ra )( H )( D )(MVA)Fr C
0010                            50
(
999999
(
DMAQ
( Nb)   Gr (P) (Q) Und ( Mg ) ( Mt )u( Mv )u( Me )u(Xvd)(Nbc)
    1   10 100 100   1     98                               1 BARRAINFINITA 60 Hz
99019   10 100 100   1     10                           99019 BARRAINFINITA 50 Hz
999999
(
(===============================================================================
( INDUTANCIAS DE LINHAS CC
(===============================================================================
DCLI
(
(BTB MELO
(De)    (Pa)Nc         ( L  )( C  )
4101    4102 1          100.    
(
999999
(
(===============================================================================
( DADOS DE CONVERSORES
(===============================================================================
(
DCNV
[BEGIN CONVERTER B-U]
( ***** MELO BtB - BRASIL =&gt; URUGUAI ***** )
(Nc)   (Gkb)(Amn)(Amx)(Gmn)( Mc )u( S1 )u( S2 )u( S3 )u( S4 )u(Tap )u   
4201           2. 163.       9091u                              9093u 
4202          90.       13.  9092u                              9094u
999999
(
(===============================================================================
( DETECCAO AUTOMATICA DE FALHA DE COMUTACAO
(===============================================================================
DFCM
(BTB MELO
(Nm) (Vfc) (Gfc) (Thd)
4202         8.0 0.016
999999
[END CONVERTER B-U]
[BEGIN CONVERTER U-B]
( ***** MELO BtB - URUGUAI =&gt; BRASIL ***** )
(Nc)   (Gkb)(Amn)(Amx)(Gmn)( Mc )u( S1 )u( S2 )u( S3 )u( S4 )u(Tap )u   
4201          90.       13.  9091u                              9093u
4202           2. 163.       9092u                              9094u 
999999
(
(===============================================================================
( DETECCAO AUTOMATICA DE FALHA DE COMUTACAO
(===============================================================================
DFCM
(BTB MELO
(Nm) (Vfc) (Gfc) (Thd)
4201         8.0 0.016
999999
[END CONVERTER U-B]
(
(
(===============================================================================
( CONTROLADORES NAO ESPECIFICOS
(===============================================================================
DCNE
(Nc)   ( Mc )u
(Power Control - VSC - Run-back   
9335     9335u
(OLRPC / TOV Control - URUGUAI
9395     9395u
(OLRPC / TOV Control - BRASIL
9396     9396u
(Reactive Power Control (RPC)
9920     9920u
999999
(
(===============================================================================
( DADOS PARA PLOTAGEM
(===============================================================================
DPLT IERR
(Tipo)M( El ) ( Pa) Nc Gp ( Br) Gr ( Ex) (Bl) P
VOLT     9787
VOLT    90018
PCNV     4201 
CCNV     4201 
VCNV     4201 
ALFA     4201 
COMU     4201 
GAMA     4201 
PCNV     4202
CCNV     4202
VCNV     4202
ALFA     4202
COMU     4202
GAMA     4202
999999
(
(===============================================================================
( DADOS DE EVENTOS
(===============================================================================
(
(
(===============================================================================
( DADOS DE SIMULACAO
(===============================================================================
DSIM
( Tmax ) (Stp) ( P ) ( I )
   60.00 0.001    11
(
(===============================================================================
( EXECUCAO DA SIMULACAO
(===============================================================================
EXSI
(
(===============================================================================
( FIM DA SIMULACAO
(===============================================================================
FIM</t>
  </si>
  <si>
    <t>#69 - B. 9787</t>
  </si>
  <si>
    <t>(===============================================================================
(=                                                                             =
(=           MODELOS C.F. MELO EM DIFERENTES VALORES DE TRANSFERENCIA          =
(=                                                                             =
(===============================================================================
(
(=                                                                         
(-------------------------------------------------------------------------------
(= CENÁRIO AVALIADO                                                        
(= Sentido  : [SENTIDO]
(= Potência : [POT]
(-------------------------------------------------------------------------------
(
DARQ                                                                        
(
( ARQUIVOS DE SÁIDA DA SIMULAÇÃO
(Tipo) (C) ( Nome do Arquivo   
   OUT     OUT\[FILE].OUT
   LOG     LOG\[FILE].LOG
   PLT     PLT\[FILE].PLT
(
(
( ARQUIVO HISTÓRICO/REGISTRO DO CASO DE FLUXO DE POTÊNCIA
   SAV  [CASENUMBER]  [FILE.SAV] 
(
(===============================================================================
( ASSOCIACAO DE ARQUIVO COM MODELOS DO BTB MELO
(===============================================================================
   CDU     .\Modelos\Melo_BtB_PowerCtrl_V10.cdu
   CDU     .\Modelos\Melo_BtB_PhaseCtrl_V10.CDU
   CDU     .\Modelos\Melo_BtB_Tap_Control_V6_AUT.cdu
   CDU     .\Modelos\Melo_BtB_OLRPC_TOV_V5.cdu
   CDU     .\Modelos\Melo_BtB_RPC_V8_LIG.cdu
   DAT     .\Modelos\Melo_BtB_DLOC.DAT                                             
999999
(
(===============================================================================
(           DADOS DE MODELOS DE BARRAS INFINITAS
(===============================================================================
(
DMDG MD01
(
(....... Barra infinita 60 Hz
(No) O (L'd)(Ra )( H )( D )(MVA)Fr C
0098                            60
(
(....... Barra infinita 50 Hz
(No) O (L'd)(Ra )( H )( D )(MVA)Fr C
0010                            50
(
999999
(
DMAQ
( Nb)   Gr (P) (Q) Und ( Mg ) ( Mt )u( Mv )u( Me )u(Xvd)(Nbc)
    1   10 100 100   1     98                               1 BARRAINFINITA 60 Hz
99019   10 100 100   1     10                           99019 BARRAINFINITA 50 Hz
999999
(
(===============================================================================
( INDUTANCIAS DE LINHAS CC
(===============================================================================
DCLI
(
(BTB MELO
(De)    (Pa)Nc         ( L  )( C  )
4101    4102 1          100.    
(
999999
(
(===============================================================================
( DADOS ASSOCIACAO DE ELO CC AOS CONTROLES
(===============================================================================
DELO
(Ne)   ( M+ )u( M- )u
999999
(===============================================================================
( DADOS DE CONVERSORES E ASSOCIACAO DE CONVERSORES AOS CONTROLES
(===============================================================================
DCNV
(Nc)   (Gkb)(Amn)(Amx)(Gmn)( Mc )u( S1 )u( S2 )u( S3 )u( S4 )u(Tap )u   
4201                         9091u                              9093u 
4202                         9092u                              9094u
(
999999
(
(===============================================================================
( DADOS DE FALHA AUTOMATICA DE COMUTACAO
(===============================================================================
(
DFCM
(Nm) (Vfc) (Gfc) (Thd)
[BEGIN CONVERTER B-U]
( ***** MELO BtB - BRASIL =&gt; URUGUAI ***** )
4202         8.0 0.020
[END CONVERTER B-U]
[BEGIN CONVERTER U-B]
( ***** MELO BtB - URUGUAI =&gt; BRASIL ***** )
4201         8.0 0.016
[END CONVERTER U-B]
999999
(
(===============================================================================
( CONTROLADORES NAO ESPECIFICOS
(===============================================================================
DCNE
(Nc)   ( Mc )u
(Power Control - VSC - Run-back   
9335     9335u
(OLRPC / TOV Control - URUGUAI
9395     9395u
(OLRPC / TOV Control - BRASIL
9396     9396u
(Reactive Power Control (RPC)
9920     9920u
999999
(
(===============================================================================
( DADOS PARA PLOTAGEM
(===============================================================================
DPLT IERR
(Tipo)M( El ) ( Pa) Nc Gp ( Br) Gr ( Ex) (Bl) P
VOLT     9787
VOLT    90018
PCNV     4201 
CCNV     4201 
VCNV     4201 
ALFA     4201 
COMU     4201 
GAMA     4201 
PCNV     4202
CCNV     4202
VCNV     4202
ALFA     4202
COMU     4202
GAMA     4202
999999
(
(===============================================================================
( DADOS DE EVENTOS
(===============================================================================
(
(
(===============================================================================
( DADOS DE SIMULACAO
(===============================================================================
DSIM
( Tmax ) (Stp) ( P ) ( I )
   60.00 0.001    11
(
(===============================================================================
( EXECUCAO DA SIMULACAO
(===============================================================================
EXSI
(
(===============================================================================
( FIM DA SIMULACAO
(===============================================================================
FIM</t>
  </si>
  <si>
    <t>C:\Users\andersonrg\Desktop\Validação\BU\STBList_B-U.txt</t>
  </si>
  <si>
    <r>
      <rPr>
        <b/>
        <sz val="10"/>
        <color theme="1"/>
        <rFont val="Calibri"/>
        <family val="2"/>
        <scheme val="minor"/>
      </rPr>
      <t xml:space="preserve">Instruções para funcionamento da ferramenta:
</t>
    </r>
    <r>
      <rPr>
        <sz val="10"/>
        <color theme="1"/>
        <rFont val="Calibri"/>
        <family val="2"/>
        <scheme val="minor"/>
      </rPr>
      <t xml:space="preserve">
Esta ferramenta irá ajustar os seguintes parâmetros de acordo com a potência e o sentido de transferência entre o Brasil e o Uruguai pela C.F. Melo:
- Filtros e reatores do sistema CA de Melo 50 Hz (90018);
- Filtros do sistema CA de Melo 60 Hz (9787);
- Filtro e reator da SE Candiota 525 kV (9786);
- Valores de ângulo do retificador e do inversor;
- Valores de tensão do lado de CC do retificador;
- Para facilitar a convergência e utilizar o modo de controle nominal da conversora, será alterada a barra controlada da swing do sistema uruguaio, visando controlar em 1,00 pu a tensão da barra de Melo 50 Hz (90018);
- Para facilitar a convergência e utilizar o modo de controle nominal da conversora, será alterada a barra controlada do ATR 525/230 kV da SE Candiota, visando controlar em 1,00 pu a tensão da barra de Melo 60 Hz (9787).
- Somente é possível gerar arquivos com valores inteiros de transferência e entre 52 MW e 508 MW;
- O valor definido para transferência é no lado DC. Caso queira estipular um valor de transferência com base no ponto de conexão (SE 525 kV Candiota) deve ser levado em consideração as perdas do sistema.
- O arquivo "inclusão" altera a barra de 230 kV da SE P. Médici (1239) para uma barra swing com tensão controlada de 1,030 pu visando facilitar a convergência. </t>
    </r>
    <r>
      <rPr>
        <sz val="10"/>
        <color rgb="FFFF0000"/>
        <rFont val="Calibri"/>
        <family val="2"/>
        <scheme val="minor"/>
      </rPr>
      <t>Esta swing deve ser retirada pelo analista.</t>
    </r>
  </si>
  <si>
    <t>(
(==============================================================
(= Arquivo de inclusão da C.F. Melo
(= Cenário de Transferência: [SENTIDO]
(= Valor                   : [POT]
(=
(=
(=              ////// ATENÇÃO \\\\\\
(= 
(=  ESTE ARQUIVO ALTEROU O TIPO DA BARRA DE P. MÉDICI 230 KV
(=   PARA BARRA SWING DE FORMA A FACILITAR A CONVERGÊNCIA.
(=       O ANALISTA DEVERÁ RETIRAR A SWING AOS POUCOS
(=        APÓS PASSAR O DECK DE INCLUSÃO DE CF MELO
(= 
(==============================================================
(
(--------------------------------------------------------------------------
( AJUSTES REDE CA LADO BRASIL
(--------------------------------------------------------------------------
(
(Inserir uma swing na barra de 230 kV da SE P.Médici para facilitar a convergência
DBAR    
(Num)OETGb(   nome   )Gl( V)( A)( Pg)( Qg)( Qn)( Qm)(Bc  )( Pl)( Ql)( Sh)Are(Vf)M(1)(2)(3)(4)(5)(6)(7)(8)(9)(10
 1239ML2                1025              -999999999
99999
(
(Tape TR 525/230 kV Candiota
DLIN                                                                 
(De )d O d(Pa )NcEP ( R% )( X% )(Mvar)(Tap)(Tmn)(Tmx)(Phs)(Bc  )(Cn)(Ce)Ns(Cq)(1)(2)(3)(4)(5)(6)(7)(8)(9)(10
 9785  2   9786 1                            0.9  1.1       9787
99999
(
DTPF CIRC                                                            
(De ) (Pa ) Nc (De ) (Pa ) Nc (De ) (Pa ) Nc (De ) (Pa ) Nc (De ) (Pa ) Nc O
 9785  9786  1                                                             E                                                        
99999
(
(Tensão da Barra CA controlada pela transformador
DBAR                                                                 
(Num)OETGb(   nome   )Gl( V)( A)( Pg)( Qg)( Qn)( Qm)(Bc  )( Pl)( Ql)( Sh)Are(Vf)M(1)(2)(3)(4)(5)(6)(7)(8)(9)(10
 97872                  1000
99999
(
(Inserir o sistema Uruguaio associado à CF Melo
DBAR    
(Num)OETGb(   nome   )Gl( V)( A)( Pg)( Qg)( Qn)( Qm)(Bc  )( Pl)( Ql)( Sh)Are(Vf)M(1)(2)(3)(4)(5)(6)(7)(8)(9)(10
90018 L0  MELO----50HZ  1000                                             1501000                    
90019 L0  SCARLOS-50HZ  1000                                             1501000
99019 L2  UY EQ----5GR  1050              -999999999 90018               150
99999
(
DLIN
(De )d O d(Pa )NcEP ( R% )( X% )(Mvar)(Tap)(Tmn)(Tmx)(Phs)(Bc  )(Cn)(Ce)Ns(Cq)(1)(2)(3)(4)(5)(6)(7)(8)(9)(10
90018  A  90019 1   .2973 3.2442283.35                          14552066  2066                   
90019  A  99019 1   .2505 2.5759       1.0                      14551455  1455
99999
(
DSHL
(De ) O  (Pa )Nc (Shde)(Shpa) ED EP
90018 A  90019 1 -100.  -100.  L  L
99999
(
DBSH
(NFr) O (NTo) Nc C (Vmn (Vmx Bctrl (Qini) T A (Extr
90018 A       
(G  O E (U) UOp (Sht )
10  A L  1    0   -70.
FBAN
99999
(
(Insere C.F.
DELO
(No) O ( V ) ( P ) (   Identificacao  ) M E
4001 A 158.4  508. BtB MELO-----------1 N L
99999
DCBA
(No) O TP(   Nome   )Gl( Vd)                                      ( Rs)(Elo
4101 A [B]+MELO-BRA                                                      4001
4102 A [U]+MELO-URU                                                      4001
4103 A  0MELO-NEU-BR      0.                                         0.4001
4104 A  0MELO-NEU-UR      0.                                         0.4001
99999
DCLI
(De) O  (Pa)Nc P (  R )( L  )                               (Cn)
4101 A  4102 1 F  0.400
99999
DCNV
(No) O (CA ) (CC) (EL) T p (Ino) (Xc ) (Vfs) (Snt) (Rra) (Lra) (CCC) Fr
4201 A  9787 4101 4103 [CB] 2 3206. 21.80  70.0  324.    0.
4202 A 90018 4102 4104 [CU] 2 3206. 18.00  70.0  324.    0.
99999
DCCV
(No) O FMC (Vsp) (Marg (IMax (Dsp) (Dtn) (Dtm) (Tmn) (Tmx) (S (Vmn (Tmh) (Ttr)
4201 A [MARGBRA] [DSB]  [DNB] 69.00 .9024 1.296         1.296    1.
4202 A [MARGURU] [DSU]  [DNU] 69.00 .9217 1.297         1.297    1.  
99999
(
(Inclusão de Filtros
DBSH
(NFr) O (NTo) Nc C (Vmn (Vmx Bctrl (Qini) T A (Extr
 9786 M  9787  1 D 0950 1048  9786        C    9786 
(G  O E (U) UOp (Sht )
90  A     1   1    65.
FBAN
(NFr) O (NTo) Nc C (Vmn (Vmx Bctrl (Qini) T A (Extr
 9787 A          F 0950 1050  9787        C         
(G  O E (U) UOp (Sht )
90  A     3   3    96.
FBAN
(NFr) O (NTo) Nc C (Vmn (Vmx Bctrl (Qini) T A (Extr
90018 M       
(G  O E (U) UOp (Sht )
90  A L  3    3   110.
FBAN
99999
(</t>
  </si>
  <si>
    <t>Ajustes da C.F. MELO (Versão 13)</t>
  </si>
  <si>
    <t>(
(===================================================
(= Arquivo de alteração da C.F. Melo    
(= Cenário de Transferência: [SENTIDO]
(= Valor                   : [POT]
(===================================================
(
(--------------------------------------------------------------------------
( AJUSTES REDE CA LADO BRASIL
(--------------------------------------------------------------------------
(
(Reator 75 MVar de barra de Candiota 525 kV
dbsh
(NFr) O (NTo) Nc C (Vmn (Vmx Bctrl (Qini) T A (Extr
 9786 M  9787  1              9786             9786                                                                                 
(G  O E (U) UOp (Sht )
10  M       [RB]
99999
(
(--------------------------------------------------------------------------
( AJUSTES REDE CA LADO URUGUAI
(--------------------------------------------------------------------------
(
(Reator 70 MVar de barra de Melo 500 kV
dbsh
(NFr) O (NTo) Nc C (Vmn (Vmx Bctrl (Qini) T A (Extr
90018 M                                      
(G  O E (U) UOp (Sht )
10  M       [RU]       
99999
(
(--------------------------------------------------------------------------
( AJUSTES DA CONVERSORA
(--------------------------------------------------------------------------
(
(Potência, Ângulo de Disparo e Extinção
DCCV
(No) O FMC (Vsp) (Marg (IMax (Dsp) (Dtn) (Dtm) (Tmn) (Tmx) (S (Vmn (Tmh) (Ttr)
4201 m     [POT]             [DSB]
4202 m     [POT]             [DSU]
99999
(
(Tensão CC do Retificador
dcba
(No) O TP(   Nome   )Gl( Vd)                                      ( Rs)(Elo
4101 m                 [VCC]
4102 m                 [VCC]
99999
(
(--------------------------------------------------------------------------
( AJUSTES DOS FILTROS
(--------------------------------------------------------------------------
(
(Lado Uruguai
(Filtros de 110 MVar na barra de 500 da C.F. Melo:[FUR]
DBSH
(NFr) O (NTo) Nc C (Vmn (Vmx Bctrl (Qini) T A (Extr
90018 M       
(G  O E (U) UOp (Sht )
90  M L  3[FUR]   110.
FBAN
99999
(
(Lado Brasil
(Filtro de 65 MVar na linha de 525 da C.F. Melo - Candiota (terminal de Candiota): 1
(Filtros de 96 MVar na barra de 525 da C.F. Melo:[FBR]
DBSH
(NFr) O (NTo) Nc C (Vmn (Vmx Bctrl (Qini) T A (Extr
 9786 M  9787  1 D 0950 1048  9786        C    9786 
(G  O E (U) UOp (Sht )
90  M     1   1    65.
FBAN
(NFr) O (NTo) Nc C (Vmn (Vmx Bctrl (Qini) T A (Extr
 9787 M          F 0950 1050  9787        C         
(G  O E (U) UOp (Sht )
90  M    3[FBR]    96.
FBAN
99999
(
exlf
(--------------------------------------------------------------------------
( AJUSTES DA CONVERSORA
(--------------------------------------------------------------------------
(
(Potência, Ângulo de Disparo e Extinção
DCCV
(No) O FMC (Vsp) (Marg (IMax (Dsp) (Dtn) (Dtm) (Tmn) (Tmx) (S (Vmn (Tmh) (Ttr)
4201 m     [POT]             [DSB]
4202 m     [POT]             [DSU]
99999
(
(Tensão CC do Retificador
dcba
(No) O TP(   Nome   )Gl( Vd)                                      ( Rs)(Elo
4101 m                 [VCC]
99999
exlf
(
fim</t>
  </si>
  <si>
    <t>N:\_EGS\Estudos Gerais\Interligações Internacionais\CF Melo\CC 1200 MVA\Definição das Condições para Teste\UB_508_ret.PWF</t>
  </si>
  <si>
    <t>(
(===================================================
(= Arquivo de eliminação da C.F. Melo    
(===================================================
(
(Eliminar a C.F.Melo
DCRE                                                                 
4001 P                                                                                                                              
99999  
exlf
(Eliminar o sistema Uruguaio associado à CF Melo
DBAR    
(Num)OETGb(   nome   )Gl( V)( A)( Pg)( Qg)( Qn)( Qm)(Bc  )( Pl)( Ql)( Sh)Are(Vf)M(1)(2)(3)(4)(5)(6)(7)(8)(9)(10
90018E
90019E
99019E
99999
(
(Retirada dos Filtros do lado Brasileiro
DBSH                                                                 
(NFr) O (NTo) Nc C (Vmn (Vmx Bctrl (Qini) T A (Extr
09787 M          F 0950 1050 09787   192. C       0                                                                                 
(G  O E (U) UOp (Sht )
90  E                                                                                                                               
FBAN
(NFr) O (NTo) Nc C (Vmn (Vmx Bctrl (Qini) T A (Extr
09786 M 09787 01 D 0950 1048 09786    65. C   09786                                                                                 
(G  O E (U) UOp (Sht )
90  E                                                                                                                               
FBAN                                                                                                                                
99999 
(
(Liga o Reator do Lado Brasileiro
DBSH
(NFr) O (NTo) Nc C (Vmn (Vmx Bctrl (Qini) T A (Extr
09786 M 09787 01 D 0950 1048 09786    75. C   09786                                                                                 
(G  O E (U) UOp (Sht )
10  M L                                                                                                                             
FBAN                                                                                                                                
99999 
(
DLIN                                                                 
(De )d O d(Pa )NcEP ( R% )( X% )(Mvar)(Tap)(Tmn)(Tmx)(Phs)(Bc  )(Cn)(Ce)Ns(Cq)(1)(2)(3)(4)(5)(6)(7)(8)(9)(10
 9785  2   9786 1                        1.
99999
DTPF CIRC                                                            
(De ) (Pa ) Nc (De ) (Pa ) Nc (De ) (Pa ) Nc (De ) (Pa ) Nc (De ) (Pa ) Nc O
 9785  9786  1                                                             A                                                        
99999 
exlf
fim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</si>
</sst>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[$-F400]h:mm:ss\ AM/PM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sz val="8"/>
      <color theme="1"/>
      <name val="Consolas"/>
      <family val="3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5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2" fillId="0" borderId="0"/>
    <xf numFmtId="0" fontId="3" fillId="0" borderId="0"/>
    <xf numFmtId="0" fontId="4" fillId="0" borderId="0"/>
    <xf numFmtId="0" fontId="1" fillId="0" borderId="0"/>
  </cellStyleXfs>
  <cellXfs count="6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7" fillId="4" borderId="2" xfId="1" applyFont="1" applyFill="1" applyBorder="1" applyAlignment="1" applyProtection="1">
      <alignment horizontal="center" vertical="center"/>
      <protection locked="0"/>
    </xf>
    <xf numFmtId="0" fontId="9" fillId="6" borderId="3" xfId="1" applyFont="1" applyFill="1" applyBorder="1" applyAlignment="1">
      <alignment horizontal="center" vertical="center"/>
    </xf>
    <xf numFmtId="0" fontId="9" fillId="6" borderId="2" xfId="1" applyFont="1" applyFill="1" applyBorder="1" applyAlignment="1">
      <alignment horizontal="center" vertical="center"/>
    </xf>
    <xf numFmtId="0" fontId="10" fillId="4" borderId="2" xfId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0" fillId="5" borderId="2" xfId="0" applyFill="1" applyBorder="1" applyAlignment="1" applyProtection="1">
      <alignment horizontal="center"/>
    </xf>
    <xf numFmtId="0" fontId="12" fillId="9" borderId="1" xfId="0" applyFont="1" applyFill="1" applyBorder="1" applyAlignment="1">
      <alignment horizontal="center" vertical="center" wrapText="1"/>
    </xf>
    <xf numFmtId="164" fontId="12" fillId="2" borderId="1" xfId="0" applyNumberFormat="1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/>
    </xf>
    <xf numFmtId="165" fontId="12" fillId="2" borderId="1" xfId="0" applyNumberFormat="1" applyFont="1" applyFill="1" applyBorder="1" applyAlignment="1">
      <alignment horizontal="center" vertical="center" wrapText="1"/>
    </xf>
    <xf numFmtId="0" fontId="11" fillId="8" borderId="0" xfId="0" applyFont="1" applyFill="1"/>
    <xf numFmtId="0" fontId="13" fillId="10" borderId="10" xfId="1" applyNumberFormat="1" applyFont="1" applyFill="1" applyBorder="1" applyAlignment="1">
      <alignment horizontal="left" vertical="center" wrapText="1"/>
    </xf>
    <xf numFmtId="0" fontId="14" fillId="7" borderId="2" xfId="1" applyNumberFormat="1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4" fillId="7" borderId="2" xfId="1" applyNumberFormat="1" applyFont="1" applyFill="1" applyBorder="1" applyAlignment="1">
      <alignment horizontal="left" vertical="center"/>
    </xf>
    <xf numFmtId="22" fontId="0" fillId="8" borderId="0" xfId="0" applyNumberFormat="1" applyFill="1"/>
    <xf numFmtId="0" fontId="5" fillId="8" borderId="0" xfId="0" applyFont="1" applyFill="1"/>
    <xf numFmtId="166" fontId="0" fillId="8" borderId="0" xfId="0" applyNumberFormat="1" applyFill="1"/>
    <xf numFmtId="11" fontId="0" fillId="8" borderId="0" xfId="0" applyNumberFormat="1" applyFill="1"/>
    <xf numFmtId="0" fontId="14" fillId="7" borderId="2" xfId="1" applyNumberFormat="1" applyFont="1" applyFill="1" applyBorder="1" applyAlignment="1">
      <alignment horizontal="right" vertical="center"/>
    </xf>
    <xf numFmtId="11" fontId="0" fillId="0" borderId="0" xfId="0" applyNumberFormat="1"/>
    <xf numFmtId="165" fontId="0" fillId="0" borderId="1" xfId="0" applyNumberFormat="1" applyBorder="1" applyAlignment="1">
      <alignment horizontal="center" vertical="center"/>
    </xf>
    <xf numFmtId="0" fontId="15" fillId="10" borderId="10" xfId="1" applyFont="1" applyFill="1" applyBorder="1" applyAlignment="1" applyProtection="1">
      <alignment horizontal="center" vertical="center"/>
    </xf>
    <xf numFmtId="0" fontId="15" fillId="10" borderId="6" xfId="1" applyFont="1" applyFill="1" applyBorder="1" applyAlignment="1" applyProtection="1">
      <alignment horizontal="center" vertical="center"/>
    </xf>
    <xf numFmtId="0" fontId="17" fillId="11" borderId="16" xfId="0" applyFont="1" applyFill="1" applyBorder="1" applyAlignment="1">
      <alignment horizontal="justify" vertical="top" wrapText="1"/>
    </xf>
    <xf numFmtId="0" fontId="17" fillId="11" borderId="7" xfId="0" applyFont="1" applyFill="1" applyBorder="1" applyAlignment="1">
      <alignment horizontal="justify" vertical="top" wrapText="1"/>
    </xf>
    <xf numFmtId="0" fontId="17" fillId="11" borderId="17" xfId="0" applyFont="1" applyFill="1" applyBorder="1" applyAlignment="1">
      <alignment horizontal="justify" vertical="top" wrapText="1"/>
    </xf>
    <xf numFmtId="0" fontId="17" fillId="11" borderId="18" xfId="0" applyFont="1" applyFill="1" applyBorder="1" applyAlignment="1">
      <alignment horizontal="justify" vertical="top" wrapText="1"/>
    </xf>
    <xf numFmtId="0" fontId="17" fillId="11" borderId="19" xfId="0" applyFont="1" applyFill="1" applyBorder="1" applyAlignment="1">
      <alignment horizontal="justify" vertical="top" wrapText="1"/>
    </xf>
    <xf numFmtId="0" fontId="17" fillId="11" borderId="20" xfId="0" applyFont="1" applyFill="1" applyBorder="1" applyAlignment="1">
      <alignment horizontal="justify" vertical="top" wrapText="1"/>
    </xf>
    <xf numFmtId="0" fontId="9" fillId="6" borderId="10" xfId="1" applyFont="1" applyFill="1" applyBorder="1" applyAlignment="1">
      <alignment horizontal="center" vertical="center"/>
    </xf>
    <xf numFmtId="0" fontId="9" fillId="6" borderId="6" xfId="1" applyFont="1" applyFill="1" applyBorder="1" applyAlignment="1">
      <alignment horizontal="center" vertical="center"/>
    </xf>
    <xf numFmtId="0" fontId="8" fillId="6" borderId="3" xfId="1" applyNumberFormat="1" applyFont="1" applyFill="1" applyBorder="1" applyAlignment="1">
      <alignment horizontal="left" vertical="top" wrapText="1"/>
    </xf>
    <xf numFmtId="0" fontId="8" fillId="6" borderId="4" xfId="1" applyNumberFormat="1" applyFont="1" applyFill="1" applyBorder="1" applyAlignment="1">
      <alignment horizontal="left" vertical="top" wrapText="1"/>
    </xf>
    <xf numFmtId="0" fontId="8" fillId="6" borderId="5" xfId="1" applyNumberFormat="1" applyFont="1" applyFill="1" applyBorder="1" applyAlignment="1">
      <alignment horizontal="left" vertical="top" wrapText="1"/>
    </xf>
    <xf numFmtId="0" fontId="5" fillId="3" borderId="12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center" vertical="center" wrapText="1"/>
    </xf>
    <xf numFmtId="0" fontId="5" fillId="3" borderId="14" xfId="0" applyFont="1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4" xr:uid="{00000000-0005-0000-0000-000004000000}"/>
    <cellStyle name="Normal 5 2" xfId="5" xr:uid="{00000000-0005-0000-0000-000005000000}"/>
  </cellStyles>
  <dxfs count="500"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ont>
        <color rgb="FFFF0000"/>
      </font>
      <fill>
        <patternFill>
          <bgColor rgb="FFFFFF00"/>
        </patternFill>
      </fill>
    </dxf>
    <dxf>
      <fill>
        <patternFill>
          <bgColor theme="7" tint="0.59996337778862885"/>
        </patternFill>
      </fill>
      <border>
        <vertical/>
        <horizontal/>
      </border>
    </dxf>
    <dxf>
      <font>
        <color rgb="FFFFB7B7"/>
      </font>
      <fill>
        <patternFill>
          <bgColor rgb="FFCC0005"/>
        </patternFill>
      </fill>
    </dxf>
    <dxf>
      <fill>
        <patternFill>
          <bgColor rgb="FF92D050"/>
        </patternFill>
      </fill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59996337778862885"/>
        </patternFill>
      </fill>
      <border>
        <vertical/>
        <horizontal/>
      </border>
    </dxf>
    <dxf>
      <font>
        <color rgb="FFFFB7B7"/>
      </font>
      <fill>
        <patternFill>
          <bgColor rgb="FFCC000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  <border>
        <vertical/>
        <horizontal/>
      </border>
    </dxf>
    <dxf>
      <font>
        <color rgb="FFFFB7B7"/>
      </font>
      <fill>
        <patternFill>
          <bgColor rgb="FFCC000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000"/>
      <color rgb="FFCCFFCC"/>
      <color rgb="FFE6E6E6"/>
      <color rgb="FFFFFF99"/>
      <color rgb="FFCCFFFF"/>
      <color rgb="FFFF00FF"/>
      <color rgb="FFFFFF66"/>
      <color rgb="FFEBFF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1722485</xdr:colOff>
      <xdr:row>7</xdr:row>
      <xdr:rowOff>18011</xdr:rowOff>
    </xdr:from>
    <xdr:to>
      <xdr:col>2</xdr:col>
      <xdr:colOff>1562042</xdr:colOff>
      <xdr:row>8</xdr:row>
      <xdr:rowOff>136106</xdr:rowOff>
    </xdr:to>
    <xdr:sp macro="[0]!ExportAlteration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81100" y="1747165"/>
          <a:ext cx="1620000" cy="359883"/>
        </a:xfrm>
        <a:prstGeom prst="rect">
          <a:avLst/>
        </a:prstGeom>
        <a:solidFill>
          <a:srgbClr val="FFC000"/>
        </a:solidFill>
        <a:ln w="19050">
          <a:solidFill>
            <a:schemeClr val="tx1"/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EXPORTA</a:t>
          </a:r>
          <a:r>
            <a:rPr lang="pt-BR" sz="1000" b="1" baseline="0">
              <a:solidFill>
                <a:sysClr val="windowText" lastClr="000000"/>
              </a:solidFill>
            </a:rPr>
            <a:t> ALTERAÇÃO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302850</xdr:colOff>
      <xdr:row>6</xdr:row>
      <xdr:rowOff>0</xdr:rowOff>
    </xdr:to>
    <xdr:sp macro="[0]!LoadAnaredeOutputFile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400550" y="1504950"/>
          <a:ext cx="360000" cy="200025"/>
        </a:xfrm>
        <a:prstGeom prst="rect">
          <a:avLst/>
        </a:prstGeom>
        <a:solidFill>
          <a:srgbClr val="FFC000"/>
        </a:solidFill>
        <a:ln w="12700">
          <a:solidFill>
            <a:schemeClr val="tx1"/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...</a:t>
          </a:r>
        </a:p>
      </xdr:txBody>
    </xdr:sp>
    <xdr:clientData/>
  </xdr:twoCellAnchor>
  <xdr:twoCellAnchor>
    <xdr:from>
      <xdr:col>1</xdr:col>
      <xdr:colOff>26913</xdr:colOff>
      <xdr:row>7</xdr:row>
      <xdr:rowOff>18011</xdr:rowOff>
    </xdr:from>
    <xdr:to>
      <xdr:col>1</xdr:col>
      <xdr:colOff>1646913</xdr:colOff>
      <xdr:row>8</xdr:row>
      <xdr:rowOff>136106</xdr:rowOff>
    </xdr:to>
    <xdr:sp macro="[0]!ExportInclusion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5528" y="1747165"/>
          <a:ext cx="1620000" cy="359883"/>
        </a:xfrm>
        <a:prstGeom prst="rect">
          <a:avLst/>
        </a:prstGeom>
        <a:solidFill>
          <a:srgbClr val="FFC000"/>
        </a:solidFill>
        <a:ln w="19050">
          <a:solidFill>
            <a:schemeClr val="tx1"/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EXPORTA</a:t>
          </a:r>
          <a:r>
            <a:rPr lang="pt-BR" sz="1000" b="1" baseline="0">
              <a:solidFill>
                <a:sysClr val="windowText" lastClr="000000"/>
              </a:solidFill>
            </a:rPr>
            <a:t> INCLUSÃO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1637614</xdr:colOff>
      <xdr:row>7</xdr:row>
      <xdr:rowOff>18011</xdr:rowOff>
    </xdr:from>
    <xdr:to>
      <xdr:col>2</xdr:col>
      <xdr:colOff>3257614</xdr:colOff>
      <xdr:row>8</xdr:row>
      <xdr:rowOff>136106</xdr:rowOff>
    </xdr:to>
    <xdr:sp macro="[0]!ExportExclusion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476672" y="1747165"/>
          <a:ext cx="1620000" cy="359883"/>
        </a:xfrm>
        <a:prstGeom prst="rect">
          <a:avLst/>
        </a:prstGeom>
        <a:solidFill>
          <a:srgbClr val="FFC000"/>
        </a:solidFill>
        <a:ln w="19050">
          <a:solidFill>
            <a:schemeClr val="tx1"/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RETIRAR C.F. MELO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69806</xdr:colOff>
      <xdr:row>1</xdr:row>
      <xdr:rowOff>17525</xdr:rowOff>
    </xdr:from>
    <xdr:to>
      <xdr:col>11</xdr:col>
      <xdr:colOff>1149806</xdr:colOff>
      <xdr:row>2</xdr:row>
      <xdr:rowOff>11191</xdr:rowOff>
    </xdr:to>
    <xdr:sp macro="[0]!CallGeraSTB_BU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1057651" y="76646"/>
          <a:ext cx="1080000" cy="243286"/>
        </a:xfrm>
        <a:prstGeom prst="rect">
          <a:avLst/>
        </a:prstGeom>
        <a:solidFill>
          <a:srgbClr val="FFC000"/>
        </a:solidFill>
        <a:ln w="19050">
          <a:solidFill>
            <a:schemeClr val="tx1"/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TESTA B para U</a:t>
          </a:r>
        </a:p>
      </xdr:txBody>
    </xdr:sp>
    <xdr:clientData/>
  </xdr:twoCellAnchor>
  <xdr:twoCellAnchor>
    <xdr:from>
      <xdr:col>11</xdr:col>
      <xdr:colOff>1254293</xdr:colOff>
      <xdr:row>1</xdr:row>
      <xdr:rowOff>17679</xdr:rowOff>
    </xdr:from>
    <xdr:to>
      <xdr:col>11</xdr:col>
      <xdr:colOff>2334293</xdr:colOff>
      <xdr:row>2</xdr:row>
      <xdr:rowOff>11345</xdr:rowOff>
    </xdr:to>
    <xdr:sp macro="[0]!CallGeraSTB_UB" textlink="">
      <xdr:nvSpPr>
        <xdr:cNvPr id="3" name="Retângulo 2">
          <a:extLst>
            <a:ext uri="{FF2B5EF4-FFF2-40B4-BE49-F238E27FC236}">
              <a16:creationId xmlns:a16="http://schemas.microsoft.com/office/drawing/2014/main" id="{091F9270-A42F-4D91-9E49-D0683F3CB278}"/>
            </a:ext>
          </a:extLst>
        </xdr:cNvPr>
        <xdr:cNvSpPr/>
      </xdr:nvSpPr>
      <xdr:spPr>
        <a:xfrm>
          <a:off x="22242138" y="76800"/>
          <a:ext cx="1080000" cy="243286"/>
        </a:xfrm>
        <a:prstGeom prst="rect">
          <a:avLst/>
        </a:prstGeom>
        <a:solidFill>
          <a:srgbClr val="FFC000"/>
        </a:solidFill>
        <a:ln w="19050">
          <a:solidFill>
            <a:schemeClr val="tx1"/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TESTA U para B</a:t>
          </a:r>
        </a:p>
      </xdr:txBody>
    </xdr:sp>
    <xdr:clientData/>
  </xdr:twoCellAnchor>
  <xdr:twoCellAnchor>
    <xdr:from>
      <xdr:col>13</xdr:col>
      <xdr:colOff>4123765</xdr:colOff>
      <xdr:row>1</xdr:row>
      <xdr:rowOff>44824</xdr:rowOff>
    </xdr:from>
    <xdr:to>
      <xdr:col>13</xdr:col>
      <xdr:colOff>5572393</xdr:colOff>
      <xdr:row>2</xdr:row>
      <xdr:rowOff>158177</xdr:rowOff>
    </xdr:to>
    <xdr:sp macro="[0]!STBAltExport" textlink="">
      <xdr:nvSpPr>
        <xdr:cNvPr id="4" name="Retângulo 3">
          <a:extLst>
            <a:ext uri="{FF2B5EF4-FFF2-40B4-BE49-F238E27FC236}">
              <a16:creationId xmlns:a16="http://schemas.microsoft.com/office/drawing/2014/main" id="{70B9811B-CB39-413B-BAAA-1DAC97222E2E}"/>
            </a:ext>
          </a:extLst>
        </xdr:cNvPr>
        <xdr:cNvSpPr/>
      </xdr:nvSpPr>
      <xdr:spPr>
        <a:xfrm>
          <a:off x="31320441" y="100853"/>
          <a:ext cx="1448628" cy="359883"/>
        </a:xfrm>
        <a:prstGeom prst="rect">
          <a:avLst/>
        </a:prstGeom>
        <a:solidFill>
          <a:srgbClr val="FFC000"/>
        </a:solidFill>
        <a:ln w="19050">
          <a:solidFill>
            <a:schemeClr val="tx1"/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EXPORTA</a:t>
          </a:r>
          <a:r>
            <a:rPr lang="pt-BR" sz="1000" b="1" baseline="0">
              <a:solidFill>
                <a:sysClr val="windowText" lastClr="000000"/>
              </a:solidFill>
            </a:rPr>
            <a:t> ANATEM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3</xdr:col>
      <xdr:colOff>360000</xdr:colOff>
      <xdr:row>2</xdr:row>
      <xdr:rowOff>0</xdr:rowOff>
    </xdr:to>
    <xdr:sp macro="[0]!ListFileChoose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76500" y="57150"/>
          <a:ext cx="360000" cy="190500"/>
        </a:xfrm>
        <a:prstGeom prst="rect">
          <a:avLst/>
        </a:prstGeom>
        <a:solidFill>
          <a:srgbClr val="FFC000"/>
        </a:solidFill>
        <a:ln w="12700">
          <a:solidFill>
            <a:schemeClr val="tx1"/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...</a:t>
          </a:r>
        </a:p>
      </xdr:txBody>
    </xdr:sp>
    <xdr:clientData/>
  </xdr:twoCellAnchor>
  <xdr:twoCellAnchor>
    <xdr:from>
      <xdr:col>6</xdr:col>
      <xdr:colOff>466724</xdr:colOff>
      <xdr:row>1</xdr:row>
      <xdr:rowOff>0</xdr:rowOff>
    </xdr:from>
    <xdr:to>
      <xdr:col>9</xdr:col>
      <xdr:colOff>285749</xdr:colOff>
      <xdr:row>2</xdr:row>
      <xdr:rowOff>19050</xdr:rowOff>
    </xdr:to>
    <xdr:sp macro="[0]!ReadPLT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62949" y="57150"/>
          <a:ext cx="1647825" cy="209550"/>
        </a:xfrm>
        <a:prstGeom prst="rect">
          <a:avLst/>
        </a:prstGeom>
        <a:solidFill>
          <a:srgbClr val="FFC000"/>
        </a:solidFill>
        <a:ln w="12700">
          <a:solidFill>
            <a:schemeClr val="tx1"/>
          </a:solidFill>
        </a:ln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run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ataTable" displayName="DataTable" ref="A3:AA917" totalsRowShown="0" headerRowDxfId="492" dataDxfId="490" headerRowBorderDxfId="491" tableBorderDxfId="489" totalsRowBorderDxfId="488">
  <autoFilter ref="A3:AA917" xr:uid="{00000000-0009-0000-0100-000002000000}"/>
  <sortState ref="A4:AA917">
    <sortCondition ref="A3:A917"/>
  </sortState>
  <tableColumns count="27">
    <tableColumn id="1" xr3:uid="{00000000-0010-0000-0000-000001000000}" name="Sentido" dataDxfId="487"/>
    <tableColumn id="2" xr3:uid="{00000000-0010-0000-0000-000002000000}" name="Valor" dataDxfId="486"/>
    <tableColumn id="5" xr3:uid="{00000000-0010-0000-0000-000005000000}" name="Min  " dataDxfId="485">
      <calculatedColumnFormula>MiniVWVB(A4,B4,E4)</calculatedColumnFormula>
    </tableColumn>
    <tableColumn id="6" xr3:uid="{00000000-0010-0000-0000-000006000000}" name="Max" dataDxfId="484">
      <calculatedColumnFormula>MaxVWV(A4,B4)</calculatedColumnFormula>
    </tableColumn>
    <tableColumn id="7" xr3:uid="{00000000-0010-0000-0000-000007000000}" name="Normal" dataDxfId="483">
      <calculatedColumnFormula>RatedVWV(B4)</calculatedColumnFormula>
    </tableColumn>
    <tableColumn id="9" xr3:uid="{00000000-0010-0000-0000-000009000000}" name="Min" dataDxfId="482">
      <calculatedColumnFormula>MinQB(A4,B4)</calculatedColumnFormula>
    </tableColumn>
    <tableColumn id="10" xr3:uid="{00000000-0010-0000-0000-00000A000000}" name="Max(3F)" dataDxfId="481">
      <calculatedColumnFormula>MaxQB3F(A4,B4)</calculatedColumnFormula>
    </tableColumn>
    <tableColumn id="11" xr3:uid="{00000000-0010-0000-0000-00000B000000}" name="Max(4F)" dataDxfId="480">
      <calculatedColumnFormula>MaxQB4F(A4,B4)</calculatedColumnFormula>
    </tableColumn>
    <tableColumn id="8" xr3:uid="{00000000-0010-0000-0000-000008000000}" name="Normal   " dataDxfId="479"/>
    <tableColumn id="15" xr3:uid="{00000000-0010-0000-0000-00000F000000}" name="Min " dataDxfId="478">
      <calculatedColumnFormula>MiniVWVU(A4,B4,L4)</calculatedColumnFormula>
    </tableColumn>
    <tableColumn id="16" xr3:uid="{00000000-0010-0000-0000-000010000000}" name="Max " dataDxfId="477">
      <calculatedColumnFormula>MaxVWV(A4,B4)</calculatedColumnFormula>
    </tableColumn>
    <tableColumn id="17" xr3:uid="{00000000-0010-0000-0000-000011000000}" name="Normal " dataDxfId="476">
      <calculatedColumnFormula>RatedVWV(B4)</calculatedColumnFormula>
    </tableColumn>
    <tableColumn id="19" xr3:uid="{00000000-0010-0000-0000-000013000000}" name="Min   " dataDxfId="475">
      <calculatedColumnFormula>MinQU(A4,B4)</calculatedColumnFormula>
    </tableColumn>
    <tableColumn id="3" xr3:uid="{00000000-0010-0000-0000-000003000000}" name="Max   " dataDxfId="474">
      <calculatedColumnFormula>MaxQU(A4,B4)</calculatedColumnFormula>
    </tableColumn>
    <tableColumn id="20" xr3:uid="{00000000-0010-0000-0000-000014000000}" name="Normal  " dataDxfId="473"/>
    <tableColumn id="22" xr3:uid="{00000000-0010-0000-0000-000016000000}" name="Min    " dataDxfId="472">
      <calculatedColumnFormula>MiniUpper(A4,B4)</calculatedColumnFormula>
    </tableColumn>
    <tableColumn id="23" xr3:uid="{00000000-0010-0000-0000-000017000000}" name="Max     " dataDxfId="471">
      <calculatedColumnFormula>MaxUpper(A4,B4)</calculatedColumnFormula>
    </tableColumn>
    <tableColumn id="56" xr3:uid="{00000000-0010-0000-0000-000038000000}" name="Nominal" dataDxfId="470">
      <calculatedColumnFormula>vd(DataTable[[#This Row],[Sentido]],DataTable[[#This Row],[Valor]])</calculatedColumnFormula>
    </tableColumn>
    <tableColumn id="71" xr3:uid="{00000000-0010-0000-0000-000047000000}" name="Tensão Barra Melo 60 Hz (9787)" dataDxfId="469">
      <calculatedColumnFormula>IF(DataTable[[#This Row],[Valor]]&gt;1,1,1)</calculatedColumnFormula>
    </tableColumn>
    <tableColumn id="66" xr3:uid="{00000000-0010-0000-0000-000042000000}" name="Tensão Barra Melo 50 Hz (90018)" dataDxfId="468">
      <calculatedColumnFormula>IF(DataTable[[#This Row],[Valor]]&gt;1,1,1)</calculatedColumnFormula>
    </tableColumn>
    <tableColumn id="25" xr3:uid="{00000000-0010-0000-0000-000019000000}" name="Retificador" dataDxfId="467">
      <calculatedColumnFormula>angr(DataTable[[#This Row],[Sentido]],DataTable[[#This Row],[Valor]])</calculatedColumnFormula>
    </tableColumn>
    <tableColumn id="52" xr3:uid="{00000000-0010-0000-0000-000034000000}" name="Inversor" dataDxfId="466">
      <calculatedColumnFormula>ANGI(DataTable[[#This Row],[Sentido]],DataTable[[#This Row],[Valor]])</calculatedColumnFormula>
    </tableColumn>
    <tableColumn id="35" xr3:uid="{00000000-0010-0000-0000-000023000000}" name="Melo: 4 x 96 Mvar (9787)" dataDxfId="465">
      <calculatedColumnFormula>IF(A5="URUGUAI para BRASIL",IF(B4&gt;119,IF(B4&gt;240,3,2),1),IF(B4&gt;120,IF(B4&gt;240,3,2),1))</calculatedColumnFormula>
    </tableColumn>
    <tableColumn id="30" xr3:uid="{00000000-0010-0000-0000-00001E000000}" name="Candiota: 1 x 65 Mvar (9786)" dataDxfId="464">
      <calculatedColumnFormula>IF(DataTable[[#This Row],[Valor]]&gt;1,1,1)</calculatedColumnFormula>
    </tableColumn>
    <tableColumn id="28" xr3:uid="{00000000-0010-0000-0000-00001C000000}" name="Melo: 3 x 110 Mvar (90018)" dataDxfId="463">
      <calculatedColumnFormula>IF(A5="URUGUAI para BRASIL",IF(B4&gt;119,IF(B4&gt;240,3,2),1),IF(B4&gt;120,IF(B4&gt;240,3,2),1))</calculatedColumnFormula>
    </tableColumn>
    <tableColumn id="31" xr3:uid="{00000000-0010-0000-0000-00001F000000}" name="Brasil: Candiota 1 x 75 Mvar (9786) " dataDxfId="462">
      <calculatedColumnFormula>IF(AND(DataTable[[#This Row],[Sentido]]="URUGUAI para BRASIL",DataTable[[#This Row],[Valor]]&gt;350),1,0)</calculatedColumnFormula>
    </tableColumn>
    <tableColumn id="43" xr3:uid="{00000000-0010-0000-0000-00002B000000}" name="Uruguai: Melo 1 x 70 Mvar (90018) " dataDxfId="461">
      <calculatedColumnFormula>IF(DataTable[[#This Row],[Valor]]&gt;1,0,0)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A8B7BC-D504-44F0-A460-F19A8A6B218A}" name="PlotsTable" displayName="PlotsTable" ref="B5:QQ7" totalsRowShown="0">
  <autoFilter ref="B5:QQ7" xr:uid="{6EB28BA3-9400-4F96-B6A7-9CFEF4BF4B08}"/>
  <tableColumns count="458">
    <tableColumn id="1" xr3:uid="{FA2B92AD-1821-486E-8357-E111271CF394}" name="Tempo"/>
    <tableColumn id="3" xr3:uid="{F8DA3881-85CB-4217-B6C0-FB17C3A81F8B}" name="#1 - B. 9787" dataDxfId="456"/>
    <tableColumn id="4" xr3:uid="{7E1E0CA4-E9AF-4D2E-B6F0-DF07ADC0C5AA}" name="#2 - B. 9787" dataDxfId="455"/>
    <tableColumn id="5" xr3:uid="{236CF800-FD89-4CBC-8E15-2D34400D179C}" name="#3 - B. 9787" dataDxfId="454"/>
    <tableColumn id="6" xr3:uid="{1F0F1B5B-A08B-4DE8-83E1-B254F8B42885}" name="#4 - B. 9787" dataDxfId="453"/>
    <tableColumn id="7" xr3:uid="{B53ACE31-9E6C-424C-BEBA-264124A7F79D}" name="#5 - B. 9787" dataDxfId="452"/>
    <tableColumn id="8" xr3:uid="{F253A9F8-F558-45CB-B0BC-9780A34C09F2}" name="#6 - B. 9787" dataDxfId="451"/>
    <tableColumn id="9" xr3:uid="{0FA84600-1723-4B9F-99DF-41DBADC76BEC}" name="#7 - B. 9787" dataDxfId="450"/>
    <tableColumn id="10" xr3:uid="{C5BA299C-38B8-4DB1-918B-A759D906823B}" name="#8 - B. 9787" dataDxfId="449"/>
    <tableColumn id="11" xr3:uid="{9DA851CD-7F1B-4960-8017-B2DECB22914E}" name="#9 - B. 9787" dataDxfId="448"/>
    <tableColumn id="12" xr3:uid="{903C526F-D2C2-48CF-8DBE-C85C149AB55C}" name="#10 - B. 9787" dataDxfId="447"/>
    <tableColumn id="13" xr3:uid="{79F21D62-FF2A-4EE9-9B6D-1D166D404E46}" name="#11 - B. 9787" dataDxfId="446"/>
    <tableColumn id="14" xr3:uid="{CEB6A679-A719-4DA7-A1C6-4E92CF21CA90}" name="#12 - B. 9787" dataDxfId="445"/>
    <tableColumn id="15" xr3:uid="{735835B7-5A31-4945-989F-5641DB8ED9CB}" name="#13 - B. 9787" dataDxfId="444"/>
    <tableColumn id="16" xr3:uid="{45E41D50-5F47-4B94-900F-CA8122D5B58D}" name="#14 - B. 9787" dataDxfId="443"/>
    <tableColumn id="17" xr3:uid="{166E9EDB-7E12-4437-B62C-47B8505DC78C}" name="#15 - B. 9787" dataDxfId="442"/>
    <tableColumn id="18" xr3:uid="{F5C39798-E107-4377-B565-5719BD5ED3F2}" name="#16 - B. 9787" dataDxfId="441"/>
    <tableColumn id="19" xr3:uid="{7D6CD6AB-F368-4CEF-928E-EA3282683D97}" name="#17 - B. 9787" dataDxfId="440"/>
    <tableColumn id="20" xr3:uid="{724E4BBC-E9FB-4AD6-A346-3D58F58076A9}" name="#18 - B. 9787" dataDxfId="439"/>
    <tableColumn id="21" xr3:uid="{05296DF9-92BF-44B3-8F42-B5D4B173F1F2}" name="#19 - B. 9787" dataDxfId="438"/>
    <tableColumn id="22" xr3:uid="{A0EE21D3-0584-43B2-9B7D-3524024F80EA}" name="#20 - B. 9787" dataDxfId="437"/>
    <tableColumn id="23" xr3:uid="{8EAF320D-1A74-4E4C-A1B1-81DA2068E348}" name="#21 - B. 9787" dataDxfId="436"/>
    <tableColumn id="24" xr3:uid="{D7B0BF35-F1CA-402D-88D4-E1C6A36646A9}" name="#22 - B. 9787" dataDxfId="435"/>
    <tableColumn id="25" xr3:uid="{75FDB2DD-6954-4A8B-98AA-68043BAD2B28}" name="#23 - B. 9787" dataDxfId="434"/>
    <tableColumn id="26" xr3:uid="{B84A1D98-CF07-46CE-88A4-A71DC659D994}" name="#24 - B. 9787" dataDxfId="433"/>
    <tableColumn id="27" xr3:uid="{EAA35732-0802-4820-A20E-66D1214158EA}" name="#25 - B. 9787" dataDxfId="432"/>
    <tableColumn id="28" xr3:uid="{5F69DAF8-C5B5-488C-9AEB-AD3F7A9BC650}" name="#26 - B. 9787" dataDxfId="431"/>
    <tableColumn id="29" xr3:uid="{498B9BD0-2488-4FED-8F90-E7CAAA635867}" name="#27 - B. 9787" dataDxfId="430"/>
    <tableColumn id="30" xr3:uid="{47AF29CC-4EE2-454F-AD7C-B3C66159E9D1}" name="#28 - B. 9787" dataDxfId="429"/>
    <tableColumn id="31" xr3:uid="{49A5E71D-92B6-44A5-91C1-70A041205A89}" name="#29 - B. 9787" dataDxfId="428"/>
    <tableColumn id="32" xr3:uid="{7520F6A3-32E0-447D-9347-084D587E64CF}" name="#30 - B. 9787" dataDxfId="427"/>
    <tableColumn id="33" xr3:uid="{E888023E-9AFC-415E-B619-320DCBBE8BAC}" name="#31 - B. 9787" dataDxfId="426"/>
    <tableColumn id="34" xr3:uid="{8B58BC7A-C9CD-45CD-8C1B-9349D2A314DD}" name="#32 - B. 9787" dataDxfId="425"/>
    <tableColumn id="35" xr3:uid="{FADC7626-11A7-49CF-B769-0DA190C9BC03}" name="#33 - B. 9787" dataDxfId="424"/>
    <tableColumn id="36" xr3:uid="{CEF12BDE-92AB-4043-9554-7EEC4C0030FF}" name="#34 - B. 9787" dataDxfId="423"/>
    <tableColumn id="37" xr3:uid="{AC8EC1D4-2E44-47C3-9F47-9CBC5092FB92}" name="#35 - B. 9787" dataDxfId="422"/>
    <tableColumn id="38" xr3:uid="{3FAA98B7-DEA7-41F1-9128-9FE0EB261FF1}" name="#36 - B. 9787" dataDxfId="421"/>
    <tableColumn id="39" xr3:uid="{71D9BDF2-2198-4074-BA96-0C238AB185E7}" name="#37 - B. 9787" dataDxfId="420"/>
    <tableColumn id="40" xr3:uid="{A7E2584D-FA62-4D8A-84A6-721DBB8B8B9D}" name="#38 - B. 9787" dataDxfId="419"/>
    <tableColumn id="41" xr3:uid="{708101D4-F807-40D0-ACAE-6F7BD96F5424}" name="#39 - B. 9787" dataDxfId="418"/>
    <tableColumn id="42" xr3:uid="{722D8317-9F37-4847-937B-BA1CFEADDAE8}" name="#40 - B. 9787" dataDxfId="417"/>
    <tableColumn id="43" xr3:uid="{B2172F41-418C-47F3-9DCC-2D2F8633CCC0}" name="#41 - B. 9787" dataDxfId="416"/>
    <tableColumn id="44" xr3:uid="{AF343130-0B3D-4D94-9CBA-2ED1FA4E12A3}" name="#42 - B. 9787" dataDxfId="415"/>
    <tableColumn id="45" xr3:uid="{7D714B8E-2ADB-497A-9D56-624FF26CB78A}" name="#43 - B. 9787" dataDxfId="414"/>
    <tableColumn id="46" xr3:uid="{1E8C05B3-EBFA-4E72-A494-989DDBEA428A}" name="#44 - B. 9787" dataDxfId="413"/>
    <tableColumn id="47" xr3:uid="{45FE6FDF-80EF-4344-98F2-44B3F752E3FE}" name="#45 - B. 9787" dataDxfId="412"/>
    <tableColumn id="48" xr3:uid="{4F79C288-23C7-47EC-B518-9A8CA3915E82}" name="#46 - B. 9787" dataDxfId="411"/>
    <tableColumn id="49" xr3:uid="{E2EBA980-B816-4000-91F5-06873B940367}" name="#47 - B. 9787" dataDxfId="410"/>
    <tableColumn id="50" xr3:uid="{0D326B48-BEF1-4967-8C3D-6843C58311E8}" name="#48 - B. 9787" dataDxfId="409"/>
    <tableColumn id="51" xr3:uid="{5DCFD11E-45B1-4DBD-B9B6-880FACF739E8}" name="#49 - B. 9787" dataDxfId="408"/>
    <tableColumn id="52" xr3:uid="{C57B47CE-9428-4254-A9A2-F10AC1D10D5B}" name="#50 - B. 9787" dataDxfId="407"/>
    <tableColumn id="53" xr3:uid="{B3E9DA3A-BD35-4D99-B103-79BDF7D7613B}" name="#51 - B. 9787" dataDxfId="406"/>
    <tableColumn id="54" xr3:uid="{767BF5D5-CBAF-4C36-9CDE-E0B7FAA28757}" name="#52 - B. 9787" dataDxfId="405"/>
    <tableColumn id="55" xr3:uid="{043651E1-7C95-461C-878C-E75D5E53DE7D}" name="#53 - B. 9787" dataDxfId="404"/>
    <tableColumn id="56" xr3:uid="{CC9A8BF8-B70F-4EAA-908E-5BC21C259B07}" name="#54 - B. 9787" dataDxfId="403"/>
    <tableColumn id="57" xr3:uid="{5A88B7E6-6060-4A57-BF02-0F5E7AEE8253}" name="#55 - B. 9787" dataDxfId="402"/>
    <tableColumn id="58" xr3:uid="{9DB3AF1D-8E16-4CCB-8691-E6E55E3ED1FD}" name="#56 - B. 9787" dataDxfId="401"/>
    <tableColumn id="59" xr3:uid="{8BE1FD88-C031-479C-8826-91F53ABC1806}" name="#57 - B. 9787" dataDxfId="400"/>
    <tableColumn id="60" xr3:uid="{AB5182B2-60CD-47B8-9AEE-9CB33452832E}" name="#58 - B. 9787" dataDxfId="399"/>
    <tableColumn id="61" xr3:uid="{142F8474-ED6E-4CF2-BB06-851B22FBAE7C}" name="#59 - B. 9787" dataDxfId="398"/>
    <tableColumn id="62" xr3:uid="{F5A6A3AF-BF00-401C-9B6B-521BCF7984B8}" name="#60 - B. 9787" dataDxfId="397"/>
    <tableColumn id="63" xr3:uid="{4CD9B76C-953B-44EA-9D53-7CFDD2D4C245}" name="#61 - B. 9787" dataDxfId="396"/>
    <tableColumn id="64" xr3:uid="{DD317DC0-C9B9-4C57-95D1-A5DF8D75563F}" name="#62 - B. 9787" dataDxfId="395"/>
    <tableColumn id="65" xr3:uid="{5C092289-586E-494E-BFAF-FFA4D084C7F7}" name="#63 - B. 9787" dataDxfId="394"/>
    <tableColumn id="66" xr3:uid="{A024D436-AC26-43C6-962E-41CAB6EA8D18}" name="#64 - B. 9787" dataDxfId="393"/>
    <tableColumn id="67" xr3:uid="{76BEF4D8-E295-4316-8684-966AD7889C14}" name="#65 - B. 9787" dataDxfId="392"/>
    <tableColumn id="68" xr3:uid="{A3BF859C-1F69-48ED-9B79-DD06EE9910C3}" name="#66 - B. 9787" dataDxfId="391"/>
    <tableColumn id="69" xr3:uid="{46F3B2FA-C5F0-46CD-920E-F9D99E142C98}" name="#67 - B. 9787" dataDxfId="390"/>
    <tableColumn id="70" xr3:uid="{E44C168F-E4CE-470C-9A7D-C7E09E8E035E}" name="#68 - B. 9787" dataDxfId="389"/>
    <tableColumn id="71" xr3:uid="{4B9652E3-A3E2-4C6F-8D9B-1687009CF805}" name="#69 - B. 9787" dataDxfId="388"/>
    <tableColumn id="72" xr3:uid="{2D97A768-0EBD-493B-8DAB-9F1E9CE506FC}" name="#70 - B. 9787" dataDxfId="387"/>
    <tableColumn id="73" xr3:uid="{99DED6C8-00A9-474E-BEA1-6C1F0D46FAE0}" name="#71 - B. 9787" dataDxfId="386"/>
    <tableColumn id="74" xr3:uid="{27A66EF0-0E60-4FF2-8103-C3EBC8132D21}" name="#72 - B. 9787" dataDxfId="385"/>
    <tableColumn id="75" xr3:uid="{65DA7A0E-5A2F-495E-917E-1577533F953B}" name="#73 - B. 9787" dataDxfId="384"/>
    <tableColumn id="76" xr3:uid="{4CF3BF4D-9AB3-4A45-9270-09174F47E142}" name="#74 - B. 9787" dataDxfId="383"/>
    <tableColumn id="77" xr3:uid="{FE025CFC-D232-45B6-B10D-8826BF107622}" name="#75 - B. 9787" dataDxfId="382"/>
    <tableColumn id="78" xr3:uid="{73D0062D-A592-42BD-B4B9-9A13EB010460}" name="#76 - B. 9787" dataDxfId="381"/>
    <tableColumn id="79" xr3:uid="{542640EE-5323-4C78-AA41-76A6C7283912}" name="#77 - B. 9787" dataDxfId="380"/>
    <tableColumn id="80" xr3:uid="{37AE3310-BDC3-4CEE-B64A-99AD91914AD0}" name="#78 - B. 9787" dataDxfId="379"/>
    <tableColumn id="81" xr3:uid="{36A6B345-CB96-4E6A-9FB8-CB22ED9A25DC}" name="#79 - B. 9787" dataDxfId="378"/>
    <tableColumn id="82" xr3:uid="{3399314F-6042-427F-A353-2D164EC0166D}" name="#80 - B. 9787" dataDxfId="377"/>
    <tableColumn id="83" xr3:uid="{369CF049-EFCB-43D3-B833-1E3821BF7158}" name="#81 - B. 9787" dataDxfId="376"/>
    <tableColumn id="84" xr3:uid="{3C6F9351-2809-4B46-A215-375E63DA9C09}" name="#82 - B. 9787" dataDxfId="375"/>
    <tableColumn id="85" xr3:uid="{97283A68-08DE-419B-9C5D-110463B29023}" name="#83 - B. 9787" dataDxfId="374"/>
    <tableColumn id="86" xr3:uid="{A61D11BA-F27F-4425-95C1-03AB5758DD9B}" name="#84 - B. 9787" dataDxfId="373"/>
    <tableColumn id="87" xr3:uid="{3B7D549A-7992-41D7-9175-965E712B4597}" name="#85 - B. 9787" dataDxfId="372"/>
    <tableColumn id="88" xr3:uid="{DD685B20-DE16-4678-9DB6-3B5D19F40FE4}" name="#86 - B. 9787" dataDxfId="371"/>
    <tableColumn id="89" xr3:uid="{5B3A25A6-59F4-4638-B1D5-C2A348F4CF42}" name="#87 - B. 9787" dataDxfId="370"/>
    <tableColumn id="90" xr3:uid="{D1778C05-B628-470E-9B01-016743F3A1CB}" name="#88 - B. 9787" dataDxfId="369"/>
    <tableColumn id="91" xr3:uid="{77B4C892-D37A-4E0A-ACDF-A06C9729F7D9}" name="#89 - B. 9787" dataDxfId="368"/>
    <tableColumn id="92" xr3:uid="{2F49ED4E-51F2-4A60-B546-9EC4BCFEBAAF}" name="#90 - B. 9787" dataDxfId="367"/>
    <tableColumn id="93" xr3:uid="{B236938E-F9D7-481A-86F1-8EA55DABF8A9}" name="#91 - B. 9787" dataDxfId="366"/>
    <tableColumn id="94" xr3:uid="{1C27ADF2-85D4-49DC-98F0-AB826B2941DF}" name="#92 - B. 9787" dataDxfId="365"/>
    <tableColumn id="95" xr3:uid="{57BA64B5-01DF-492F-88D1-A4C1B88F18A3}" name="#93 - B. 9787" dataDxfId="364"/>
    <tableColumn id="96" xr3:uid="{BA129688-1217-488B-8757-22ECC94DF946}" name="#94 - B. 9787" dataDxfId="363"/>
    <tableColumn id="97" xr3:uid="{F9364F64-0DFB-4761-B22B-41AFE1538722}" name="#95 - B. 9787" dataDxfId="362"/>
    <tableColumn id="98" xr3:uid="{9FEF2ED4-87E6-40B7-B8A8-D3B2AB257A5A}" name="#96 - B. 9787" dataDxfId="361"/>
    <tableColumn id="99" xr3:uid="{D106FF4F-C6E7-4F80-A8A0-B30848C1D6A5}" name="#97 - B. 9787" dataDxfId="360"/>
    <tableColumn id="100" xr3:uid="{4E4A50B7-9602-429D-B83D-7D5D0AB5F596}" name="#98 - B. 9787" dataDxfId="359"/>
    <tableColumn id="101" xr3:uid="{514586D4-20F4-40BF-B208-D555365A4363}" name="#99 - B. 9787" dataDxfId="358"/>
    <tableColumn id="102" xr3:uid="{9A3CBF20-1CC2-4413-9C10-FA197FDBC6BC}" name="#100 - B. 9787" dataDxfId="357"/>
    <tableColumn id="103" xr3:uid="{B02C4027-2033-4207-8DC5-839D1933D19D}" name="#101 - B. 9787" dataDxfId="356"/>
    <tableColumn id="104" xr3:uid="{D6F25B4F-6477-4E10-A38A-D0302A6BD747}" name="#102 - B. 9787" dataDxfId="355"/>
    <tableColumn id="105" xr3:uid="{D6EB8620-1004-49F8-80F0-65B61D539438}" name="#103 - B. 9787" dataDxfId="354"/>
    <tableColumn id="106" xr3:uid="{77303AF0-F5CA-46A0-8870-C1A876D280E1}" name="#104 - B. 9787" dataDxfId="353"/>
    <tableColumn id="107" xr3:uid="{D4160F7A-06EC-428F-B1DB-016C31E24644}" name="#105 - B. 9787" dataDxfId="352"/>
    <tableColumn id="108" xr3:uid="{C83443FA-D5C0-4B64-81A5-E36CEA4E3D58}" name="#106 - B. 9787" dataDxfId="351"/>
    <tableColumn id="109" xr3:uid="{616246C8-6701-40C2-9939-6D7CAF1BAB16}" name="#107 - B. 9787" dataDxfId="350"/>
    <tableColumn id="110" xr3:uid="{D6FC3260-D5AD-4608-A253-72845A600F93}" name="#108 - B. 9787" dataDxfId="349"/>
    <tableColumn id="111" xr3:uid="{FABE89B0-4255-4626-9227-DC6E4A0B772C}" name="#109 - B. 9787" dataDxfId="348"/>
    <tableColumn id="112" xr3:uid="{BA57EB9D-FE5B-4F8C-8694-96E12BDB9E8D}" name="#110 - B. 9787" dataDxfId="347"/>
    <tableColumn id="113" xr3:uid="{D61443B9-8ADF-4AAB-B43C-8D7509B21F38}" name="#111 - B. 9787" dataDxfId="346"/>
    <tableColumn id="114" xr3:uid="{A2C89392-E79D-4D53-81A4-0B986671B650}" name="#112 - B. 9787" dataDxfId="345"/>
    <tableColumn id="115" xr3:uid="{2B209B7D-A36F-45A4-80C2-B8299B36BA35}" name="#113 - B. 9787" dataDxfId="344"/>
    <tableColumn id="116" xr3:uid="{89718125-AB1F-4D09-BCDE-835FC9A9C4F8}" name="#114 - B. 9787" dataDxfId="343"/>
    <tableColumn id="117" xr3:uid="{0EE096AB-D2E5-40AC-A8C2-E5DD916959F6}" name="#115 - B. 9787" dataDxfId="342"/>
    <tableColumn id="118" xr3:uid="{05A54861-D489-442A-B104-F60A28C6A44F}" name="#116 - B. 9787" dataDxfId="341"/>
    <tableColumn id="119" xr3:uid="{42CD12C9-356F-431D-A29B-42B463C55C1C}" name="#117 - B. 9787" dataDxfId="340"/>
    <tableColumn id="120" xr3:uid="{27A53FF8-94B3-4A0D-97A0-EDB3D8836DDC}" name="#118 - B. 9787" dataDxfId="339"/>
    <tableColumn id="121" xr3:uid="{6559D7E2-A9F3-4F80-9D87-870E95F403C9}" name="#119 - B. 9787" dataDxfId="338"/>
    <tableColumn id="122" xr3:uid="{0D80E86D-0DD2-43B7-97C2-9ECABA125C0F}" name="#120 - B. 9787" dataDxfId="337"/>
    <tableColumn id="123" xr3:uid="{5706B850-39AE-4402-AB1D-D7084B90FFC0}" name="#121 - B. 9787" dataDxfId="336"/>
    <tableColumn id="124" xr3:uid="{AB05822B-FB60-4543-ACA2-DFECDE0C0E1A}" name="#122 - B. 9787" dataDxfId="335"/>
    <tableColumn id="125" xr3:uid="{734C6DD8-7D82-4912-8941-0F2A4424DDFD}" name="#123 - B. 9787" dataDxfId="334"/>
    <tableColumn id="126" xr3:uid="{E15B9CE1-F516-4319-8E62-F577AB7A9CB7}" name="#124 - B. 9787" dataDxfId="333"/>
    <tableColumn id="127" xr3:uid="{0EDAEC32-B362-4584-8315-4270006F1A04}" name="#125 - B. 9787" dataDxfId="332"/>
    <tableColumn id="128" xr3:uid="{96AA65FC-3940-4D3B-9A6E-41D8647E2D29}" name="#126 - B. 9787" dataDxfId="331"/>
    <tableColumn id="129" xr3:uid="{A3BB9F5E-64AF-4002-A41A-9408ED6A49AD}" name="#127 - B. 9787" dataDxfId="330"/>
    <tableColumn id="130" xr3:uid="{D3356B7F-ACB1-488B-BB0A-33A6A2D8C9BD}" name="#128 - B. 9787" dataDxfId="329"/>
    <tableColumn id="131" xr3:uid="{33BA7CBF-EBB5-4E5F-8171-3AA1225B5EE3}" name="#129 - B. 9787" dataDxfId="328"/>
    <tableColumn id="132" xr3:uid="{66C6C3F2-8639-4B2A-A556-1518587AC655}" name="#130 - B. 9787" dataDxfId="327"/>
    <tableColumn id="133" xr3:uid="{91BDE225-6FC9-4F7C-AFC6-A3220A6C6CFB}" name="#131 - B. 9787" dataDxfId="326"/>
    <tableColumn id="134" xr3:uid="{119582D3-8BCF-402F-B4DF-B07E03CAAB13}" name="#132 - B. 9787" dataDxfId="325"/>
    <tableColumn id="135" xr3:uid="{BF6CA7F2-5573-4CF9-82C8-7E68D72AD473}" name="#133 - B. 9787" dataDxfId="324"/>
    <tableColumn id="136" xr3:uid="{C36F9F45-56AD-425C-93BE-0D5F6AA9FBB4}" name="#134 - B. 9787" dataDxfId="323"/>
    <tableColumn id="137" xr3:uid="{D679B336-5AC4-48A7-AEFE-C8A2370CE91B}" name="#135 - B. 9787" dataDxfId="322"/>
    <tableColumn id="138" xr3:uid="{22A03C1B-162F-408A-B76C-7D454E45D858}" name="#136 - B. 9787" dataDxfId="321"/>
    <tableColumn id="139" xr3:uid="{B388DAF6-31C9-4A57-B765-2D680D037F2B}" name="#137 - B. 9787" dataDxfId="320"/>
    <tableColumn id="140" xr3:uid="{0F798CA8-128D-4645-A7E9-1A439505522B}" name="#138 - B. 9787" dataDxfId="319"/>
    <tableColumn id="141" xr3:uid="{8F3FA482-D971-4D6A-B267-D14DD33F7C42}" name="#139 - B. 9787" dataDxfId="318"/>
    <tableColumn id="142" xr3:uid="{3965D690-B836-4768-808B-0956991C7C06}" name="#140 - B. 9787" dataDxfId="317"/>
    <tableColumn id="143" xr3:uid="{D6F75C6A-846D-4D2A-8A31-D5F99379B27B}" name="#141 - B. 9787" dataDxfId="316"/>
    <tableColumn id="144" xr3:uid="{4EB0C1C6-63A2-46A1-BF09-16D611C37DD3}" name="#142 - B. 9787" dataDxfId="315"/>
    <tableColumn id="145" xr3:uid="{F868A717-9343-44D7-9A8B-E009EECEA5EF}" name="#143 - B. 9787" dataDxfId="314"/>
    <tableColumn id="146" xr3:uid="{6516F0D1-CF15-4368-AB27-B49D2B064A11}" name="#144 - B. 9787" dataDxfId="313"/>
    <tableColumn id="147" xr3:uid="{53FD1F9F-763E-4DB1-B19F-28293D94F569}" name="#145 - B. 9787" dataDxfId="312"/>
    <tableColumn id="148" xr3:uid="{5CFF972A-401C-4C6D-83BB-2CCE6C4FF358}" name="#146 - B. 9787" dataDxfId="311"/>
    <tableColumn id="149" xr3:uid="{F76E11F0-867F-4D83-85E3-8C9B535B3E3D}" name="#147 - B. 9787" dataDxfId="310"/>
    <tableColumn id="150" xr3:uid="{C74DC4FF-8B92-4C1F-83B2-DD3FFE3C6868}" name="#148 - B. 9787" dataDxfId="309"/>
    <tableColumn id="151" xr3:uid="{F9C75784-5AC1-42F6-A2BC-A5891094A6B6}" name="#149 - B. 9787" dataDxfId="308"/>
    <tableColumn id="152" xr3:uid="{EFEC04F2-59DE-4147-BE70-4EE12DD301BA}" name="#150 - B. 9787" dataDxfId="307"/>
    <tableColumn id="153" xr3:uid="{C8F7A72B-75B3-4707-BC3F-9C48BF4A4C9B}" name="#151 - B. 9787" dataDxfId="306"/>
    <tableColumn id="154" xr3:uid="{D359A6F4-6025-4508-9AC5-256B72472CDA}" name="#152 - B. 9787" dataDxfId="305"/>
    <tableColumn id="155" xr3:uid="{AC983E73-B3C5-42AA-9071-7AB069C1B4EB}" name="#153 - B. 9787" dataDxfId="304"/>
    <tableColumn id="156" xr3:uid="{9F507B3F-F618-4752-BACA-7076F8C26667}" name="#154 - B. 9787" dataDxfId="303"/>
    <tableColumn id="157" xr3:uid="{4864C6D9-2A43-480B-9E50-207DF27B3045}" name="#155 - B. 9787" dataDxfId="302"/>
    <tableColumn id="158" xr3:uid="{4C34BAA1-21C1-4867-B4AB-7C9D935023E5}" name="#156 - B. 9787" dataDxfId="301"/>
    <tableColumn id="159" xr3:uid="{49118090-19EE-4418-8790-A36C844471F7}" name="#157 - B. 9787" dataDxfId="300"/>
    <tableColumn id="160" xr3:uid="{1495DD5C-6125-4B9F-83AB-D2CE296D3557}" name="#158 - B. 9787" dataDxfId="299"/>
    <tableColumn id="161" xr3:uid="{5732ADEA-B5AC-4540-BB5E-E478A19D8BF6}" name="#159 - B. 9787" dataDxfId="298"/>
    <tableColumn id="162" xr3:uid="{5EB2D61F-7CC7-45CB-98CD-A4BC92F40C81}" name="#160 - B. 9787" dataDxfId="297"/>
    <tableColumn id="163" xr3:uid="{1F151AEE-7519-40EB-BABD-0C8E3EF6DC4B}" name="#161 - B. 9787" dataDxfId="296"/>
    <tableColumn id="164" xr3:uid="{A2D6BE7E-B186-4F51-AF02-3D7A9EBDAC98}" name="#162 - B. 9787" dataDxfId="295"/>
    <tableColumn id="165" xr3:uid="{D72150DE-4EC8-4AFB-BB1C-E86B76CFC377}" name="#163 - B. 9787" dataDxfId="294"/>
    <tableColumn id="166" xr3:uid="{E7493881-CA25-49E7-948C-9936B05892DA}" name="#164 - B. 9787" dataDxfId="293"/>
    <tableColumn id="167" xr3:uid="{67BD34DA-7D36-4537-8F01-72F4CF691DDD}" name="#165 - B. 9787" dataDxfId="292"/>
    <tableColumn id="168" xr3:uid="{9FB6FA8F-E15E-428D-8E4E-55A39D1230B9}" name="#166 - B. 9787" dataDxfId="291"/>
    <tableColumn id="169" xr3:uid="{DA21BFA3-107E-4F69-A97D-1DA534D7F677}" name="#167 - B. 9787" dataDxfId="290"/>
    <tableColumn id="170" xr3:uid="{52A44896-8D59-4854-8ADA-50F35C2E1ED7}" name="#168 - B. 9787" dataDxfId="289"/>
    <tableColumn id="171" xr3:uid="{46DC9A5A-B0FE-4E06-BAEA-AD7D20D2938C}" name="#169 - B. 9787" dataDxfId="288"/>
    <tableColumn id="172" xr3:uid="{74B4356D-5C91-48E1-AE5B-D599155E530A}" name="#170 - B. 9787" dataDxfId="287"/>
    <tableColumn id="173" xr3:uid="{B739F2F3-DCF6-43EA-BCDC-8591D8CC5691}" name="#171 - B. 9787" dataDxfId="286"/>
    <tableColumn id="174" xr3:uid="{1225F50B-E764-47CC-BEDB-A4BE056C42D8}" name="#172 - B. 9787" dataDxfId="285"/>
    <tableColumn id="175" xr3:uid="{CCD25419-DDF5-4C2C-87ED-923C77FB0557}" name="#173 - B. 9787" dataDxfId="284"/>
    <tableColumn id="176" xr3:uid="{4C5F3E50-E78B-4127-9C8A-58DD4568D2EE}" name="#174 - B. 9787" dataDxfId="283"/>
    <tableColumn id="177" xr3:uid="{8D81A785-3A7C-48E7-9136-4FF74BA48196}" name="#175 - B. 9787" dataDxfId="282"/>
    <tableColumn id="178" xr3:uid="{CF66E607-4F21-4739-8212-565EC24FBFD2}" name="#176 - B. 9787" dataDxfId="281"/>
    <tableColumn id="179" xr3:uid="{05271D24-3B92-4F34-A7EB-CB4ED8200997}" name="#177 - B. 9787" dataDxfId="280"/>
    <tableColumn id="180" xr3:uid="{52A8C566-78D3-4416-BE1B-59E1964733EA}" name="#178 - B. 9787" dataDxfId="279"/>
    <tableColumn id="181" xr3:uid="{2CBFA554-CE7C-4455-BB5D-B2A7C3C1BCA6}" name="#179 - B. 9787" dataDxfId="278"/>
    <tableColumn id="182" xr3:uid="{326E8A45-930E-46E1-984A-783AC7E21E8C}" name="#180 - B. 9787" dataDxfId="277"/>
    <tableColumn id="183" xr3:uid="{E7789200-C987-4645-9EF1-61F822441378}" name="#181 - B. 9787" dataDxfId="276"/>
    <tableColumn id="184" xr3:uid="{8C7E1D8C-D051-46BE-84B0-5097C1BB3905}" name="#182 - B. 9787" dataDxfId="275"/>
    <tableColumn id="185" xr3:uid="{63E6AD52-4325-4564-ACEE-9C32FD47AF7D}" name="#183 - B. 9787" dataDxfId="274"/>
    <tableColumn id="186" xr3:uid="{F588885F-7FEF-4E7C-BDF4-37C1B7891134}" name="#184 - B. 9787" dataDxfId="273"/>
    <tableColumn id="187" xr3:uid="{01DC72D7-2D6A-48DD-A1F1-A13EAAFF4A22}" name="#185 - B. 9787" dataDxfId="272"/>
    <tableColumn id="188" xr3:uid="{0F47DF1B-A5D6-4F4D-837D-E5A12A329FFA}" name="#186 - B. 9787" dataDxfId="271"/>
    <tableColumn id="189" xr3:uid="{E5E7940D-A332-49BB-9DED-C90FDDB9B051}" name="#187 - B. 9787" dataDxfId="270"/>
    <tableColumn id="190" xr3:uid="{3C7235E4-9770-4EA0-B8EE-15C9A6EDBF68}" name="#188 - B. 9787" dataDxfId="269"/>
    <tableColumn id="191" xr3:uid="{3E2EB86B-AB5B-4335-AEE6-279591052AE4}" name="#189 - B. 9787" dataDxfId="268"/>
    <tableColumn id="192" xr3:uid="{04444DEE-41F2-47EF-9B54-62B81D246CD7}" name="#190 - B. 9787" dataDxfId="267"/>
    <tableColumn id="193" xr3:uid="{11D242FE-78B2-4708-A6EF-8CB1810715FB}" name="#191 - B. 9787" dataDxfId="266"/>
    <tableColumn id="194" xr3:uid="{4922328C-FB8F-496B-B311-1C9635FE322B}" name="#192 - B. 9787" dataDxfId="265"/>
    <tableColumn id="195" xr3:uid="{92451782-4851-4AED-9E53-C6E969032D24}" name="#193 - B. 9787" dataDxfId="264"/>
    <tableColumn id="196" xr3:uid="{78E9BAC6-29E6-4BC6-9044-2BEB6EFAF004}" name="#194 - B. 9787" dataDxfId="263"/>
    <tableColumn id="197" xr3:uid="{C8B1AC50-DB63-48C0-8E62-8EB9E576AA38}" name="#195 - B. 9787" dataDxfId="262"/>
    <tableColumn id="198" xr3:uid="{604BF6AD-94D7-4B64-9D73-4A053FC13BBA}" name="#196 - B. 9787" dataDxfId="261"/>
    <tableColumn id="199" xr3:uid="{4E3FE877-F54B-4FAF-BEE6-C980FC88A48E}" name="#197 - B. 9787" dataDxfId="260"/>
    <tableColumn id="200" xr3:uid="{F4C404A3-6F96-41A6-89C6-8EC75A1D55A7}" name="#198 - B. 9787" dataDxfId="259"/>
    <tableColumn id="201" xr3:uid="{1197F62E-F1B9-440C-B166-6C376FDC491A}" name="#199 - B. 9787" dataDxfId="258"/>
    <tableColumn id="202" xr3:uid="{A61BC71D-7246-4E7E-93C7-4AAFC7D468AC}" name="#200 - B. 9787" dataDxfId="257"/>
    <tableColumn id="203" xr3:uid="{7B478D94-ED15-42F0-8F48-CC3DD0D4DDB5}" name="#201 - B. 9787" dataDxfId="256"/>
    <tableColumn id="204" xr3:uid="{ED445708-68A6-4B7F-BE89-E6156A8395C8}" name="#202 - B. 9787" dataDxfId="255"/>
    <tableColumn id="205" xr3:uid="{2C62275E-BFB4-45A6-9E06-9E161C25BEF6}" name="#203 - B. 9787" dataDxfId="254"/>
    <tableColumn id="206" xr3:uid="{FA534819-4F5C-4E7B-BC3B-C062EA0CC5F1}" name="#204 - B. 9787" dataDxfId="253"/>
    <tableColumn id="207" xr3:uid="{3DADCF3F-7919-4A27-9213-13ED107B30E7}" name="#205 - B. 9787" dataDxfId="252"/>
    <tableColumn id="208" xr3:uid="{EBDCD88A-241C-435D-AACE-D4A4D2EB0516}" name="#206 - B. 9787" dataDxfId="251"/>
    <tableColumn id="209" xr3:uid="{CB637BD5-7BD7-4C1B-BFB9-CD30AB7ACECF}" name="#207 - B. 9787" dataDxfId="250"/>
    <tableColumn id="210" xr3:uid="{5D3E62CE-2B14-4DB9-97C5-05CEFDFAD774}" name="#208 - B. 9787" dataDxfId="249"/>
    <tableColumn id="211" xr3:uid="{AA6AF9D0-6838-4EB6-A9E0-185DC567A269}" name="#209 - B. 9787" dataDxfId="248"/>
    <tableColumn id="212" xr3:uid="{553B6FE2-246C-4DFC-96BA-6F5C7CC52782}" name="#210 - B. 9787" dataDxfId="247"/>
    <tableColumn id="213" xr3:uid="{83A72EF1-5A4E-4572-A589-51F84B2FFBB8}" name="#211 - B. 9787" dataDxfId="246"/>
    <tableColumn id="214" xr3:uid="{BA6AB16D-752A-4E8F-9866-A18DAC0D370E}" name="#212 - B. 9787" dataDxfId="245"/>
    <tableColumn id="215" xr3:uid="{19166127-485E-4C67-B540-AA09D671D9AE}" name="#213 - B. 9787" dataDxfId="244"/>
    <tableColumn id="216" xr3:uid="{CDF34EEC-7EE3-47D9-BB72-60F08E830C0D}" name="#214 - B. 9787" dataDxfId="243"/>
    <tableColumn id="217" xr3:uid="{98EBFB4D-2555-42BE-86D3-150D73311BFA}" name="#215 - B. 9787" dataDxfId="242"/>
    <tableColumn id="218" xr3:uid="{86925CAC-A215-4D79-9826-5B2A976662AD}" name="#216 - B. 9787" dataDxfId="241"/>
    <tableColumn id="219" xr3:uid="{6B2C5CE1-3FC2-404A-9D50-46C79FA9DA3D}" name="#217 - B. 9787" dataDxfId="240"/>
    <tableColumn id="220" xr3:uid="{BBC55968-B74F-451A-B938-567FED0352C8}" name="#218 - B. 9787" dataDxfId="239"/>
    <tableColumn id="221" xr3:uid="{467E1E51-3287-4C03-B64B-E8F4639610C8}" name="#219 - B. 9787" dataDxfId="238"/>
    <tableColumn id="222" xr3:uid="{82AD83BA-9501-4A56-AE38-FFF4D1923BCC}" name="#220 - B. 9787" dataDxfId="237"/>
    <tableColumn id="223" xr3:uid="{36EFFAF0-228A-449D-8BDB-F361AE0BD085}" name="#221 - B. 9787" dataDxfId="236"/>
    <tableColumn id="224" xr3:uid="{96BE74B3-9541-4DF5-B2C0-3135360AE835}" name="#222 - B. 9787" dataDxfId="235"/>
    <tableColumn id="225" xr3:uid="{BAFD6B34-F7E0-4E87-889F-1D8431C76C9D}" name="#223 - B. 9787" dataDxfId="234"/>
    <tableColumn id="226" xr3:uid="{C57FC9F1-A93C-4B2B-A440-5C4263BAF02F}" name="#224 - B. 9787" dataDxfId="233"/>
    <tableColumn id="227" xr3:uid="{739AAA1C-DA2E-484B-8609-DD2D242D84C6}" name="#225 - B. 9787" dataDxfId="232"/>
    <tableColumn id="228" xr3:uid="{09EDFE88-C721-4E44-A4B7-96DC7EE8C740}" name="#226 - B. 9787" dataDxfId="231"/>
    <tableColumn id="229" xr3:uid="{ED0239D9-D747-475E-AE0D-61EE87587BF1}" name="#227 - B. 9787" dataDxfId="230"/>
    <tableColumn id="230" xr3:uid="{98904BDC-D79B-4CCC-BB2E-A81968B42AD2}" name="#228 - B. 9787" dataDxfId="229"/>
    <tableColumn id="231" xr3:uid="{6192EEA2-266E-430A-AE0C-462F8555FF9C}" name="#229 - B. 9787" dataDxfId="228"/>
    <tableColumn id="232" xr3:uid="{6B87617A-136B-4B6E-A9C1-32913AC0967C}" name="#230 - B. 9787" dataDxfId="227"/>
    <tableColumn id="233" xr3:uid="{30E93AF6-B466-477A-9889-B141C31FBE7A}" name="#231 - B. 9787" dataDxfId="226"/>
    <tableColumn id="234" xr3:uid="{F2C2B541-1476-47EA-912A-0D3CA760D0B8}" name="#232 - B. 9787" dataDxfId="225"/>
    <tableColumn id="235" xr3:uid="{04462472-725C-47C6-B36C-E7103B578A4D}" name="#233 - B. 9787" dataDxfId="224"/>
    <tableColumn id="236" xr3:uid="{B1EB40B5-5170-4EF6-BF0B-A17C77B91C68}" name="#234 - B. 9787" dataDxfId="223"/>
    <tableColumn id="237" xr3:uid="{98A05CDD-B68D-4D4C-A256-05BBF3075C6A}" name="#235 - B. 9787" dataDxfId="222"/>
    <tableColumn id="238" xr3:uid="{C87CD32C-F389-49DE-8839-189AD75BC307}" name="#236 - B. 9787" dataDxfId="221"/>
    <tableColumn id="239" xr3:uid="{2EC7CAB4-83FD-4CDB-B530-3F86918DBD94}" name="#237 - B. 9787" dataDxfId="220"/>
    <tableColumn id="240" xr3:uid="{489C3CF8-5392-48B4-86B2-E8034D3AFC28}" name="#238 - B. 9787" dataDxfId="219"/>
    <tableColumn id="241" xr3:uid="{9F642133-8525-48B0-AC3B-505B89D83B5E}" name="#239 - B. 9787" dataDxfId="218"/>
    <tableColumn id="242" xr3:uid="{B502C7C4-3367-4CB9-AB1D-CACB38960958}" name="#240 - B. 9787" dataDxfId="217"/>
    <tableColumn id="243" xr3:uid="{F3E8FD81-BA53-4CD4-8724-4FE4AB034196}" name="#241 - B. 9787" dataDxfId="216"/>
    <tableColumn id="244" xr3:uid="{42B98584-8DDE-49DA-82D2-E2F98634AEC9}" name="#242 - B. 9787" dataDxfId="215"/>
    <tableColumn id="245" xr3:uid="{C3A710D7-BBAF-424A-BF50-0EE957C2D04A}" name="#243 - B. 9787" dataDxfId="214"/>
    <tableColumn id="246" xr3:uid="{C7502553-6AC5-45EA-8003-F3E0EB2AACA0}" name="#244 - B. 9787" dataDxfId="213"/>
    <tableColumn id="247" xr3:uid="{9171A213-64A4-4FF4-AC57-D5486AB23D9D}" name="#245 - B. 9787" dataDxfId="212"/>
    <tableColumn id="248" xr3:uid="{EFA961F4-AF61-4925-8B6E-6B52C81CFFA2}" name="#246 - B. 9787" dataDxfId="211"/>
    <tableColumn id="249" xr3:uid="{FDE92633-F9C4-4547-8D6E-E23EF0B151D0}" name="#247 - B. 9787" dataDxfId="210"/>
    <tableColumn id="250" xr3:uid="{26A7315D-4A2F-491B-AE05-33D21BFA72F0}" name="#248 - B. 9787" dataDxfId="209"/>
    <tableColumn id="251" xr3:uid="{E8DD126E-F159-448B-853A-960FB1AF8AA6}" name="#249 - B. 9787" dataDxfId="208"/>
    <tableColumn id="252" xr3:uid="{D18F8D62-EE0B-4813-90B2-4F340FAEF6FF}" name="#250 - B. 9787" dataDxfId="207"/>
    <tableColumn id="253" xr3:uid="{DCCFF688-B8FA-4BDC-8105-B609EA181E92}" name="#251 - B. 9787" dataDxfId="206"/>
    <tableColumn id="254" xr3:uid="{5B5B5A8E-B5CF-4799-899B-194E4A903415}" name="#252 - B. 9787" dataDxfId="205"/>
    <tableColumn id="255" xr3:uid="{9BB1A3BE-249C-4449-85F1-7990E48FA1E4}" name="#253 - B. 9787" dataDxfId="204"/>
    <tableColumn id="256" xr3:uid="{3ACC12E9-1FF1-400A-B6C3-E1D5F67873C9}" name="#254 - B. 9787" dataDxfId="203"/>
    <tableColumn id="257" xr3:uid="{5FBA8E20-2F4B-4AC2-B7C4-BEED8583A13E}" name="#255 - B. 9787" dataDxfId="202"/>
    <tableColumn id="258" xr3:uid="{8FC9A4D3-0330-411B-93F7-1EA4B3FD17E4}" name="#256 - B. 9787" dataDxfId="201"/>
    <tableColumn id="259" xr3:uid="{B46E7B57-1DE1-47A5-AC5E-B1276CC16F3F}" name="#257 - B. 9787" dataDxfId="200"/>
    <tableColumn id="260" xr3:uid="{EF08C0D7-6548-495B-BA64-417C08289400}" name="#258 - B. 9787" dataDxfId="199"/>
    <tableColumn id="261" xr3:uid="{BD2C022C-CB45-406B-A691-2C3D5DD07627}" name="#259 - B. 9787" dataDxfId="198"/>
    <tableColumn id="262" xr3:uid="{23F63072-843B-4796-B824-B9E8FC78DA20}" name="#260 - B. 9787" dataDxfId="197"/>
    <tableColumn id="263" xr3:uid="{BF57C8C7-6D5F-4FC1-BD29-A89C8DF232FB}" name="#261 - B. 9787" dataDxfId="196"/>
    <tableColumn id="264" xr3:uid="{1F525CE3-7AD6-403D-BF09-950DA0392127}" name="#262 - B. 9787" dataDxfId="195"/>
    <tableColumn id="265" xr3:uid="{7BE4C860-142F-4398-A84E-AFBEBC00DB2F}" name="#263 - B. 9787" dataDxfId="194"/>
    <tableColumn id="266" xr3:uid="{177D12E4-B685-4B77-A126-EFA9E8201C09}" name="#264 - B. 9787" dataDxfId="193"/>
    <tableColumn id="267" xr3:uid="{C623F6E8-E3C1-473F-9216-F6F2A1B89DFB}" name="#265 - B. 9787" dataDxfId="192"/>
    <tableColumn id="268" xr3:uid="{39C47542-237C-4F7F-BECC-932A7397FD81}" name="#266 - B. 9787" dataDxfId="191"/>
    <tableColumn id="269" xr3:uid="{08C9801A-E330-490D-9EEE-B5226072152F}" name="#267 - B. 9787" dataDxfId="190"/>
    <tableColumn id="270" xr3:uid="{DFC00CCB-89C3-482D-AC8C-5CC96F95A56D}" name="#268 - B. 9787" dataDxfId="189"/>
    <tableColumn id="271" xr3:uid="{A852E4F4-E9EE-4914-BDF7-69AE5C9062EA}" name="#269 - B. 9787" dataDxfId="188"/>
    <tableColumn id="272" xr3:uid="{053D3E0D-3563-4A4C-BAC9-9E0B8DDC3E75}" name="#270 - B. 9787" dataDxfId="187"/>
    <tableColumn id="273" xr3:uid="{0C1B1F9F-50E6-436F-BA5C-D41A1C92A7C2}" name="#271 - B. 9787" dataDxfId="186"/>
    <tableColumn id="274" xr3:uid="{1BAD51AD-8A1C-4A24-8146-8297EA4E06E5}" name="#272 - B. 9787" dataDxfId="185"/>
    <tableColumn id="275" xr3:uid="{05D4716D-4C24-42A2-BD86-DBC92D53B559}" name="#273 - B. 9787" dataDxfId="184"/>
    <tableColumn id="276" xr3:uid="{ED35762A-D38D-4157-AFDC-4F6BB54ED485}" name="#274 - B. 9787" dataDxfId="183"/>
    <tableColumn id="277" xr3:uid="{84704B81-4690-459C-A0E6-ED8C9003F584}" name="#275 - B. 9787" dataDxfId="182"/>
    <tableColumn id="278" xr3:uid="{81C606BE-888F-4F43-AE90-BA7E77C7A422}" name="#276 - B. 9787" dataDxfId="181"/>
    <tableColumn id="279" xr3:uid="{744E42D6-4725-4D4A-A5A6-5A53C562B901}" name="#277 - B. 9787" dataDxfId="180"/>
    <tableColumn id="280" xr3:uid="{7A950519-7B49-49FB-8EB5-1B52D3258555}" name="#278 - B. 9787" dataDxfId="179"/>
    <tableColumn id="281" xr3:uid="{43E7493B-969C-4D50-A1D2-19B9F7CCB83D}" name="#279 - B. 9787" dataDxfId="178"/>
    <tableColumn id="282" xr3:uid="{3CB9AB86-46C8-4751-A07B-187695577FF2}" name="#280 - B. 9787" dataDxfId="177"/>
    <tableColumn id="283" xr3:uid="{DE5B5BC6-FA1C-4B60-AC5F-CAAFD080116B}" name="#281 - B. 9787" dataDxfId="176"/>
    <tableColumn id="284" xr3:uid="{C385FE4D-BE49-4CAA-AC62-4B02622855A8}" name="#282 - B. 9787" dataDxfId="175"/>
    <tableColumn id="285" xr3:uid="{6A171168-8254-4766-8C19-455732D50505}" name="#283 - B. 9787" dataDxfId="174"/>
    <tableColumn id="286" xr3:uid="{57A9EE79-38CE-4F86-9D2D-EFE9A9BE3FB9}" name="#284 - B. 9787" dataDxfId="173"/>
    <tableColumn id="287" xr3:uid="{7C463D90-02A5-4584-82EB-627FEDB235FD}" name="#285 - B. 9787" dataDxfId="172"/>
    <tableColumn id="288" xr3:uid="{8B665CC9-E767-4118-AB06-5D0DCF4CB2BE}" name="#286 - B. 9787" dataDxfId="171"/>
    <tableColumn id="289" xr3:uid="{6EA77141-1A28-459D-A7B0-D519DD31A3F2}" name="#287 - B. 9787" dataDxfId="170"/>
    <tableColumn id="290" xr3:uid="{E8644617-62C0-429F-929C-2FB401076508}" name="#288 - B. 9787" dataDxfId="169"/>
    <tableColumn id="291" xr3:uid="{57DE52C3-AA9A-4D9F-8B8A-DB4F00E49E1A}" name="#289 - B. 9787" dataDxfId="168"/>
    <tableColumn id="292" xr3:uid="{CB3F8D40-1557-4877-9802-96AAEC587282}" name="#290 - B. 9787" dataDxfId="167"/>
    <tableColumn id="293" xr3:uid="{57A2E31F-A6D7-466C-AE46-890C94D4E159}" name="#291 - B. 9787" dataDxfId="166"/>
    <tableColumn id="294" xr3:uid="{0C4B1168-867E-447F-BEF7-CDC0607A2AAC}" name="#292 - B. 9787" dataDxfId="165"/>
    <tableColumn id="295" xr3:uid="{6C393140-4136-42B5-9643-BAAC07C72A47}" name="#293 - B. 9787" dataDxfId="164"/>
    <tableColumn id="296" xr3:uid="{DC3B16F2-98D3-479A-AE1A-A02FA923DE37}" name="#294 - B. 9787" dataDxfId="163"/>
    <tableColumn id="297" xr3:uid="{2150DA68-082A-4C5D-9347-5995FF413244}" name="#295 - B. 9787" dataDxfId="162"/>
    <tableColumn id="298" xr3:uid="{A4D29FDD-027B-4012-8585-F05B80227C8C}" name="#296 - B. 9787" dataDxfId="161"/>
    <tableColumn id="299" xr3:uid="{A979D3BD-0088-4BA3-880E-49D81D43CB15}" name="#297 - B. 9787" dataDxfId="160"/>
    <tableColumn id="300" xr3:uid="{311F16A1-DA25-4A4F-8981-E6F6A0DFC497}" name="#298 - B. 9787" dataDxfId="159"/>
    <tableColumn id="301" xr3:uid="{BCBC67CA-F827-49FF-9295-405353256DCA}" name="#299 - B. 9787" dataDxfId="158"/>
    <tableColumn id="302" xr3:uid="{C0B711D0-9AFB-4A88-9CD7-13A96AFCCD28}" name="#300 - B. 9787" dataDxfId="157"/>
    <tableColumn id="303" xr3:uid="{BB868C4E-1A10-4F64-B93E-6B37D0E8DF47}" name="#301 - B. 9787" dataDxfId="156"/>
    <tableColumn id="304" xr3:uid="{B088ED40-6AE9-45AC-9313-FD6B2624BA3A}" name="#302 - B. 9787" dataDxfId="155"/>
    <tableColumn id="305" xr3:uid="{345309DA-43B8-476C-916D-F8A146539BB8}" name="#303 - B. 9787" dataDxfId="154"/>
    <tableColumn id="306" xr3:uid="{0CC00121-1B93-43F9-B68A-0330CD38DF5A}" name="#304 - B. 9787" dataDxfId="153"/>
    <tableColumn id="307" xr3:uid="{E5DF8935-BA82-46A3-A2D9-1CB81C6CC343}" name="#305 - B. 9787" dataDxfId="152"/>
    <tableColumn id="308" xr3:uid="{8F22234D-2562-4633-8A19-E9A99294783D}" name="#306 - B. 9787" dataDxfId="151"/>
    <tableColumn id="309" xr3:uid="{EED17BEA-D9A6-446C-A4AF-5FCE4D8D4CB0}" name="#307 - B. 9787" dataDxfId="150"/>
    <tableColumn id="310" xr3:uid="{A6C684A5-3E40-4E88-B01D-B8E0C2E2A1D6}" name="#308 - B. 9787" dataDxfId="149"/>
    <tableColumn id="311" xr3:uid="{A90C8592-B0C0-48FE-BCFB-ED4D6C8432D5}" name="#309 - B. 9787" dataDxfId="148"/>
    <tableColumn id="312" xr3:uid="{B51B01C0-A6D3-4B85-AE85-838441540425}" name="#310 - B. 9787" dataDxfId="147"/>
    <tableColumn id="313" xr3:uid="{E6162305-85F8-4D4F-992D-C4BE86D3C540}" name="#311 - B. 9787" dataDxfId="146"/>
    <tableColumn id="314" xr3:uid="{D3155489-76F0-476A-BD6E-13F3EC66DFFF}" name="#312 - B. 9787" dataDxfId="145"/>
    <tableColumn id="315" xr3:uid="{2422D7C1-F4CD-4AC7-B7D5-910EC5010C19}" name="#313 - B. 9787" dataDxfId="144"/>
    <tableColumn id="316" xr3:uid="{FC379909-F3B5-45AD-8F2F-9697BBD02219}" name="#314 - B. 9787" dataDxfId="143"/>
    <tableColumn id="317" xr3:uid="{3657B08C-7797-49D4-BE98-1C132D34E0DF}" name="#315 - B. 9787" dataDxfId="142"/>
    <tableColumn id="318" xr3:uid="{6F4345A5-92AA-449F-BDB8-2CB3DF7E0D2F}" name="#316 - B. 9787" dataDxfId="141"/>
    <tableColumn id="319" xr3:uid="{02F4B5EA-64C6-4A16-880A-3C903CF05277}" name="#317 - B. 9787" dataDxfId="140"/>
    <tableColumn id="320" xr3:uid="{52DA1EB9-BA09-4A11-A077-5ED9E3659D88}" name="#318 - B. 9787" dataDxfId="139"/>
    <tableColumn id="321" xr3:uid="{554EFDD3-0C7A-4D0D-BEE3-7A653367A911}" name="#319 - B. 9787" dataDxfId="138"/>
    <tableColumn id="322" xr3:uid="{A9519489-DD32-44D6-A472-60886ED42E6D}" name="#320 - B. 9787" dataDxfId="137"/>
    <tableColumn id="323" xr3:uid="{28DD6309-B762-496C-996A-35F3E00346FF}" name="#321 - B. 9787" dataDxfId="136"/>
    <tableColumn id="324" xr3:uid="{66B1A340-D9C7-45F8-90E9-0013D9D07512}" name="#322 - B. 9787" dataDxfId="135"/>
    <tableColumn id="325" xr3:uid="{66164C79-D864-4310-86C2-34BDA8471A65}" name="#323 - B. 9787" dataDxfId="134"/>
    <tableColumn id="326" xr3:uid="{18B5BB29-886A-4024-A70B-3AE887EF5921}" name="#324 - B. 9787" dataDxfId="133"/>
    <tableColumn id="327" xr3:uid="{57350AB7-A9BA-4809-9F91-3509F0C84C29}" name="#325 - B. 9787" dataDxfId="132"/>
    <tableColumn id="328" xr3:uid="{237121A4-F89C-47D9-971E-52FF5AD1E7A4}" name="#326 - B. 9787" dataDxfId="131"/>
    <tableColumn id="329" xr3:uid="{2C713DB1-9923-4D27-B1BA-BBC3BB0138EC}" name="#327 - B. 9787" dataDxfId="130"/>
    <tableColumn id="330" xr3:uid="{7FF17096-2A01-4C75-940D-84C7900DD572}" name="#328 - B. 9787" dataDxfId="129"/>
    <tableColumn id="331" xr3:uid="{F1EB049E-6FB0-4F4D-9789-E35753D6B502}" name="#329 - B. 9787" dataDxfId="128"/>
    <tableColumn id="332" xr3:uid="{332FB758-3CFA-4E21-B0E4-0573235608EA}" name="#330 - B. 9787" dataDxfId="127"/>
    <tableColumn id="333" xr3:uid="{42E97CA2-F941-4447-9E74-5AA55ED3B90C}" name="#331 - B. 9787" dataDxfId="126"/>
    <tableColumn id="334" xr3:uid="{538C6A72-DD7D-4A00-8362-6FF51BA5EC1B}" name="#332 - B. 9787" dataDxfId="125"/>
    <tableColumn id="335" xr3:uid="{9B214182-CA2C-4546-8FE4-D44D77E48322}" name="#333 - B. 9787" dataDxfId="124"/>
    <tableColumn id="336" xr3:uid="{1F27B865-8758-4DE7-88D1-F4CB5C3FE251}" name="#334 - B. 9787" dataDxfId="123"/>
    <tableColumn id="337" xr3:uid="{79E6F65E-0572-418E-BFAC-2FD5416F81CB}" name="#335 - B. 9787" dataDxfId="122"/>
    <tableColumn id="338" xr3:uid="{BBE2A97A-D695-4E3B-8672-175153745733}" name="#336 - B. 9787" dataDxfId="121"/>
    <tableColumn id="339" xr3:uid="{06DAFB49-E9B7-4121-9B8D-A083B4E11FD6}" name="#337 - B. 9787" dataDxfId="120"/>
    <tableColumn id="340" xr3:uid="{C67699AE-6E50-4720-BF6F-5E7B3217725B}" name="#338 - B. 9787" dataDxfId="119"/>
    <tableColumn id="341" xr3:uid="{AC174E69-A8B1-4B5B-889F-70BFFA0ACFDF}" name="#339 - B. 9787" dataDxfId="118"/>
    <tableColumn id="342" xr3:uid="{185B689F-69A0-4158-B16A-06463010DA96}" name="#340 - B. 9787" dataDxfId="117"/>
    <tableColumn id="343" xr3:uid="{10B976B6-D9E1-4196-93F6-9BC3AE232167}" name="#341 - B. 9787" dataDxfId="116"/>
    <tableColumn id="344" xr3:uid="{BA064A11-064F-4453-A642-1D59EA4FB951}" name="#342 - B. 9787" dataDxfId="115"/>
    <tableColumn id="345" xr3:uid="{AF0B8CBF-4251-41C5-8203-0BCDE6BFA34B}" name="#343 - B. 9787" dataDxfId="114"/>
    <tableColumn id="346" xr3:uid="{57ACD30F-1361-4BDA-9BBB-A83A54563053}" name="#344 - B. 9787" dataDxfId="113"/>
    <tableColumn id="347" xr3:uid="{3C019F2E-90C2-4764-9DEA-DADE36827362}" name="#345 - B. 9787" dataDxfId="112"/>
    <tableColumn id="348" xr3:uid="{256D38AE-0614-40B2-A810-E79F71C3ADE4}" name="#346 - B. 9787" dataDxfId="111"/>
    <tableColumn id="349" xr3:uid="{13A8402C-7F4C-4390-9617-B056266A7EC0}" name="#347 - B. 9787" dataDxfId="110"/>
    <tableColumn id="350" xr3:uid="{5AD38B83-3E21-4D80-9285-198FABD36355}" name="#348 - B. 9787" dataDxfId="109"/>
    <tableColumn id="351" xr3:uid="{37354F86-BEAE-49B7-A90B-A7D87010779A}" name="#349 - B. 9787" dataDxfId="108"/>
    <tableColumn id="352" xr3:uid="{51336CD8-C220-42E4-9976-6460081013D5}" name="#350 - B. 9787" dataDxfId="107"/>
    <tableColumn id="353" xr3:uid="{FE7ADBF1-CD95-4735-8A34-30965377EC69}" name="#351 - B. 9787" dataDxfId="106"/>
    <tableColumn id="354" xr3:uid="{C2F59943-A477-4C6D-9117-DB342FFDC11B}" name="#352 - B. 9787" dataDxfId="105"/>
    <tableColumn id="355" xr3:uid="{AFD33853-8B9B-44F3-BC3D-935F39D76719}" name="#353 - B. 9787" dataDxfId="104"/>
    <tableColumn id="356" xr3:uid="{6C6D3FCB-333D-46F6-9F23-93CE57F21AFB}" name="#354 - B. 9787" dataDxfId="103"/>
    <tableColumn id="357" xr3:uid="{84619309-D556-4C5F-9C5D-988F5C8354DD}" name="#355 - B. 9787" dataDxfId="102"/>
    <tableColumn id="358" xr3:uid="{D8D3EB33-A00A-414A-AE4D-18674BAD09FF}" name="#356 - B. 9787" dataDxfId="101"/>
    <tableColumn id="359" xr3:uid="{9446882A-13B7-4ED1-A6B6-2420069F45D6}" name="#357 - B. 9787" dataDxfId="100"/>
    <tableColumn id="360" xr3:uid="{FAEAE4AD-DEA0-480F-A2E4-18E9B9BCF1D1}" name="#358 - B. 9787" dataDxfId="99"/>
    <tableColumn id="361" xr3:uid="{33F3F3F9-1CF0-4444-9D9C-313C7694DC5B}" name="#359 - B. 9787" dataDxfId="98"/>
    <tableColumn id="362" xr3:uid="{372D178B-8178-4C82-B085-37A662CE703B}" name="#360 - B. 9787" dataDxfId="97"/>
    <tableColumn id="363" xr3:uid="{AEA7E31B-D1B2-4D72-80A6-CE054DF1DE57}" name="#361 - B. 9787" dataDxfId="96"/>
    <tableColumn id="364" xr3:uid="{5339987A-5D19-4C76-8DC5-7FFAFF553B2E}" name="#362 - B. 9787" dataDxfId="95"/>
    <tableColumn id="365" xr3:uid="{64BA3ACC-3A15-4FCB-BEB8-67B82B7D3CBA}" name="#363 - B. 9787" dataDxfId="94"/>
    <tableColumn id="366" xr3:uid="{151190D7-C2BC-4BD0-AD1E-1DE9BB8D0370}" name="#364 - B. 9787" dataDxfId="93"/>
    <tableColumn id="367" xr3:uid="{7FACDED2-E257-4B79-9F1A-FF67F7D9536D}" name="#365 - B. 9787" dataDxfId="92"/>
    <tableColumn id="368" xr3:uid="{B37EFACF-B39A-4D60-A773-224B1135BE2F}" name="#366 - B. 9787" dataDxfId="91"/>
    <tableColumn id="369" xr3:uid="{43A2E8A5-CB66-4352-A0BE-0341799333C4}" name="#367 - B. 9787" dataDxfId="90"/>
    <tableColumn id="370" xr3:uid="{2480ABC5-CBCC-4760-A8F4-4617DE2F6E31}" name="#368 - B. 9787" dataDxfId="89"/>
    <tableColumn id="371" xr3:uid="{D73028BF-D930-458E-B022-B11F79892C5A}" name="#369 - B. 9787" dataDxfId="88"/>
    <tableColumn id="372" xr3:uid="{7C189070-6ABC-4EDC-B971-8A2B7ADA6464}" name="#370 - B. 9787" dataDxfId="87"/>
    <tableColumn id="373" xr3:uid="{98533AD9-DC6A-4C87-B988-46F818D7C88F}" name="#371 - B. 9787" dataDxfId="86"/>
    <tableColumn id="374" xr3:uid="{8B382CF9-421C-46EC-9DDE-ABFED6E54467}" name="#372 - B. 9787" dataDxfId="85"/>
    <tableColumn id="375" xr3:uid="{9814D951-6974-408C-8F87-8271B83C7193}" name="#373 - B. 9787" dataDxfId="84"/>
    <tableColumn id="376" xr3:uid="{06E20B2A-794C-4EF3-B25B-EC7B1F9ACA3C}" name="#374 - B. 9787" dataDxfId="83"/>
    <tableColumn id="377" xr3:uid="{95F9CA4C-5613-4728-B401-22D9877CB5F3}" name="#375 - B. 9787" dataDxfId="82"/>
    <tableColumn id="378" xr3:uid="{2D57C7D4-53AB-4727-9B3D-739CEE5A41AF}" name="#376 - B. 9787" dataDxfId="81"/>
    <tableColumn id="379" xr3:uid="{972D65F3-25A9-4E9F-8D08-D4FB7B2A4953}" name="#377 - B. 9787" dataDxfId="80"/>
    <tableColumn id="380" xr3:uid="{86940E1D-6F1B-43B4-ACC3-EB00D364DACB}" name="#378 - B. 9787" dataDxfId="79"/>
    <tableColumn id="381" xr3:uid="{1D4DC8A0-D697-46B8-A7BE-81DD82563BD9}" name="#379 - B. 9787" dataDxfId="78"/>
    <tableColumn id="382" xr3:uid="{A8F48AC3-48FE-4D24-8121-C4E83A9F0287}" name="#380 - B. 9787" dataDxfId="77"/>
    <tableColumn id="383" xr3:uid="{6B4AFCA2-D109-4AF9-8BFC-A8C8428442E3}" name="#381 - B. 9787" dataDxfId="76"/>
    <tableColumn id="384" xr3:uid="{BD21110C-D13C-464E-8F13-8CE301C53AD3}" name="#382 - B. 9787" dataDxfId="75"/>
    <tableColumn id="385" xr3:uid="{A3A1705A-7326-4342-B79C-17187845270A}" name="#383 - B. 9787" dataDxfId="74"/>
    <tableColumn id="386" xr3:uid="{3301E93B-0EAB-4605-879C-DD481C2626B4}" name="#384 - B. 9787" dataDxfId="73"/>
    <tableColumn id="387" xr3:uid="{A3EFFFFA-8A3A-406E-9E2E-A94C0CCA1072}" name="#385 - B. 9787" dataDxfId="72"/>
    <tableColumn id="388" xr3:uid="{25B3344D-4B09-4662-BCE2-17D89CA2EADE}" name="#386 - B. 9787" dataDxfId="71"/>
    <tableColumn id="389" xr3:uid="{A5821B01-B029-4883-A1FB-1F2AB5BC9714}" name="#387 - B. 9787" dataDxfId="70"/>
    <tableColumn id="390" xr3:uid="{C14FD326-B027-4806-B11D-15D6EF7FA72F}" name="#388 - B. 9787" dataDxfId="69"/>
    <tableColumn id="391" xr3:uid="{7264274C-FFE5-46F1-86C4-5C4D49C1BD30}" name="#389 - B. 9787" dataDxfId="68"/>
    <tableColumn id="392" xr3:uid="{41CBB165-C3B8-4CC2-9A5F-FFE1D4AAB4AD}" name="#390 - B. 9787" dataDxfId="67"/>
    <tableColumn id="393" xr3:uid="{2131383A-C27E-4C8E-A94B-B75166D29107}" name="#391 - B. 9787" dataDxfId="66"/>
    <tableColumn id="394" xr3:uid="{36D8C750-71E1-4241-B145-4B44047789AE}" name="#392 - B. 9787" dataDxfId="65"/>
    <tableColumn id="395" xr3:uid="{85EED32E-0413-47F4-992C-6AFDEC37B56A}" name="#393 - B. 9787" dataDxfId="64"/>
    <tableColumn id="396" xr3:uid="{244E7A4F-4854-4C6D-94F9-10E5555A7D14}" name="#394 - B. 9787" dataDxfId="63"/>
    <tableColumn id="397" xr3:uid="{0F27F925-0CBD-4014-88E5-E21CAD61CE0A}" name="#395 - B. 9787" dataDxfId="62"/>
    <tableColumn id="398" xr3:uid="{7D5262BC-B39D-479D-8079-D583233BE3D2}" name="#396 - B. 9787" dataDxfId="61"/>
    <tableColumn id="399" xr3:uid="{C32F4A50-A626-4CF8-B359-E873E8854455}" name="#397 - B. 9787" dataDxfId="60"/>
    <tableColumn id="400" xr3:uid="{A7B24F96-7D88-4CDF-A6DC-DACCB7FB3F5B}" name="#398 - B. 9787" dataDxfId="59"/>
    <tableColumn id="401" xr3:uid="{3734C777-5A35-4F93-9AA9-6EC88BE1A46D}" name="#399 - B. 9787" dataDxfId="58"/>
    <tableColumn id="402" xr3:uid="{4EA63939-2FF7-492A-BFB0-AD9D604A4095}" name="#400 - B. 9787" dataDxfId="57"/>
    <tableColumn id="403" xr3:uid="{D3DEA688-A47F-4AD3-8CA0-97AA518630B4}" name="#401 - B. 9787" dataDxfId="56"/>
    <tableColumn id="404" xr3:uid="{3CF9DD98-BDE4-42E8-8C43-5D0E2EB0E847}" name="#402 - B. 9787" dataDxfId="55"/>
    <tableColumn id="405" xr3:uid="{68EA89E7-673A-47A2-A0D8-6E8C373B2D8C}" name="#403 - B. 9787" dataDxfId="54"/>
    <tableColumn id="406" xr3:uid="{8BC85FF2-B613-43A8-8A9F-2FE1FB1AABF8}" name="#404 - B. 9787" dataDxfId="53"/>
    <tableColumn id="407" xr3:uid="{A0A4DC0B-AF88-492E-A72D-C7FA1FF7EDCC}" name="#405 - B. 9787" dataDxfId="52"/>
    <tableColumn id="408" xr3:uid="{0F3A7240-B310-435D-BBF2-C6FA9AC18E9E}" name="#406 - B. 9787" dataDxfId="51"/>
    <tableColumn id="409" xr3:uid="{0FF58F3F-CFF7-4D06-9F8A-873C8B18CC1E}" name="#407 - B. 9787" dataDxfId="50"/>
    <tableColumn id="410" xr3:uid="{A2217FA0-122F-4F65-A11F-C20397A7F76B}" name="#408 - B. 9787" dataDxfId="49"/>
    <tableColumn id="411" xr3:uid="{05693D39-D730-4A09-B2F0-9F8AC9ECE7F6}" name="#409 - B. 9787" dataDxfId="48"/>
    <tableColumn id="412" xr3:uid="{35DF0E8D-20FA-4AAF-9EA4-3A98452DE55B}" name="#410 - B. 9787" dataDxfId="47"/>
    <tableColumn id="413" xr3:uid="{BEF9550E-AD31-4AB3-A94F-A3B805E3790F}" name="#411 - B. 9787" dataDxfId="46"/>
    <tableColumn id="414" xr3:uid="{EB0B0800-A632-4BC9-8EA0-251D439DD58A}" name="#412 - B. 9787" dataDxfId="45"/>
    <tableColumn id="415" xr3:uid="{583CCD71-5950-4A0A-8057-39EE90D6623B}" name="#413 - B. 9787" dataDxfId="44"/>
    <tableColumn id="416" xr3:uid="{076097F5-BF63-462B-AB0C-328257A1C8B2}" name="#414 - B. 9787" dataDxfId="43"/>
    <tableColumn id="417" xr3:uid="{37C0D440-061A-412E-A175-A80703F87E20}" name="#415 - B. 9787" dataDxfId="42"/>
    <tableColumn id="418" xr3:uid="{06D10FF2-FD28-4C6B-93A9-3ED6BBDFFDBB}" name="#416 - B. 9787" dataDxfId="41"/>
    <tableColumn id="419" xr3:uid="{D5508B8D-8494-4C79-8682-E7440CB60509}" name="#417 - B. 9787" dataDxfId="40"/>
    <tableColumn id="420" xr3:uid="{7DE5D4A6-574C-4D46-BA4A-409B5608F59A}" name="#418 - B. 9787" dataDxfId="39"/>
    <tableColumn id="421" xr3:uid="{B8341719-A12B-4FE0-BE91-7AB523107D2B}" name="#419 - B. 9787" dataDxfId="38"/>
    <tableColumn id="422" xr3:uid="{0D42E3B0-3FE7-4C29-B477-DFC2971F8A18}" name="#420 - B. 9787" dataDxfId="37"/>
    <tableColumn id="423" xr3:uid="{12E1343C-D9AD-4F48-8188-E9C87CD21979}" name="#421 - B. 9787" dataDxfId="36"/>
    <tableColumn id="424" xr3:uid="{DB7DDFDD-1B19-45ED-8EA3-EAC0C1F55C68}" name="#422 - B. 9787" dataDxfId="35"/>
    <tableColumn id="425" xr3:uid="{63DF2B18-BCD8-43D8-B417-9A2B9751046F}" name="#423 - B. 9787" dataDxfId="34"/>
    <tableColumn id="426" xr3:uid="{FFC02F78-62C9-433F-8AB0-F5EEBF24BADF}" name="#424 - B. 9787" dataDxfId="33"/>
    <tableColumn id="427" xr3:uid="{0CB0881E-A271-4374-84E6-A991C2EEBAB4}" name="#425 - B. 9787" dataDxfId="32"/>
    <tableColumn id="428" xr3:uid="{4C00F327-4DA7-4DDE-A913-7FA5C159E7DB}" name="#426 - B. 9787" dataDxfId="31"/>
    <tableColumn id="429" xr3:uid="{B6DD5923-1183-4535-B9EE-E3E0FD0BA1A3}" name="#427 - B. 9787" dataDxfId="30"/>
    <tableColumn id="430" xr3:uid="{01B7FF48-095F-4292-96AB-3EDF4CDDA132}" name="#428 - B. 9787" dataDxfId="29"/>
    <tableColumn id="431" xr3:uid="{6CD4E283-DD02-4E02-971D-5F3223A03757}" name="#429 - B. 9787" dataDxfId="28"/>
    <tableColumn id="432" xr3:uid="{C6FD2FC4-7D9B-418B-BCEA-012DA597C859}" name="#430 - B. 9787" dataDxfId="27"/>
    <tableColumn id="433" xr3:uid="{FC0C53DC-96B4-41A5-8202-D5CD400E8E50}" name="#431 - B. 9787" dataDxfId="26"/>
    <tableColumn id="434" xr3:uid="{4F61587A-9CCA-4435-9917-F88EDD9100B9}" name="#432 - B. 9787" dataDxfId="25"/>
    <tableColumn id="435" xr3:uid="{9EDD6B3C-1F5D-4169-92BD-BD9069815CE4}" name="#433 - B. 9787" dataDxfId="24"/>
    <tableColumn id="436" xr3:uid="{9D626C68-2BFD-42CE-AAB2-FD7FDE6CC486}" name="#434 - B. 9787" dataDxfId="23"/>
    <tableColumn id="437" xr3:uid="{5C88515E-F37F-41DF-A243-A563CFA05522}" name="#435 - B. 9787" dataDxfId="22"/>
    <tableColumn id="438" xr3:uid="{060A9565-3F04-41CE-AB6A-3E9E65F07B9C}" name="#436 - B. 9787" dataDxfId="21"/>
    <tableColumn id="439" xr3:uid="{AE1BE3CC-F4EC-4348-8ACE-8C0A3458103E}" name="#437 - B. 9787" dataDxfId="20"/>
    <tableColumn id="440" xr3:uid="{F69EEF67-D512-4B1E-BF55-F1617B2516EB}" name="#438 - B. 9787" dataDxfId="19"/>
    <tableColumn id="441" xr3:uid="{395F148D-431D-4AE3-97CC-BACDB57E7C25}" name="#439 - B. 9787" dataDxfId="18"/>
    <tableColumn id="442" xr3:uid="{74073DA3-C05B-4CCE-B03E-1D125EBC96AD}" name="#440 - B. 9787" dataDxfId="17"/>
    <tableColumn id="443" xr3:uid="{441663E6-EE9D-4969-B4F5-60E25B71621D}" name="#441 - B. 9787" dataDxfId="16"/>
    <tableColumn id="444" xr3:uid="{0EC47AB7-54F4-4945-AC29-603EF1B6AE80}" name="#442 - B. 9787" dataDxfId="15"/>
    <tableColumn id="445" xr3:uid="{23434FBA-32DC-42AE-A0CC-F5B4F30CF288}" name="#443 - B. 9787" dataDxfId="14"/>
    <tableColumn id="446" xr3:uid="{CD56902F-D3D3-4C8C-99DE-164B4E223452}" name="#444 - B. 9787" dataDxfId="13"/>
    <tableColumn id="447" xr3:uid="{3D267662-A84F-4BBB-B4DD-33221B1164E1}" name="#445 - B. 9787" dataDxfId="12"/>
    <tableColumn id="448" xr3:uid="{5265F3A6-112D-4613-B54C-B1A90734282D}" name="#446 - B. 9787" dataDxfId="11"/>
    <tableColumn id="449" xr3:uid="{D9D6BB5B-16C2-4BB9-9613-C4A9DE6BECBD}" name="#447 - B. 9787" dataDxfId="10"/>
    <tableColumn id="450" xr3:uid="{D92552FB-6824-4FA5-A736-EFDEE3E5AA71}" name="#448 - B. 9787" dataDxfId="9"/>
    <tableColumn id="451" xr3:uid="{C758EE7A-10D5-4365-9B50-7700B48AE98A}" name="#449 - B. 9787" dataDxfId="8"/>
    <tableColumn id="452" xr3:uid="{78EA87B7-6D6A-41FD-BF55-879DFC3CBC68}" name="#450 - B. 9787" dataDxfId="7"/>
    <tableColumn id="453" xr3:uid="{FCD970A9-9468-427B-AFEE-FCF15E1FEBE6}" name="#451 - B. 9787" dataDxfId="6"/>
    <tableColumn id="454" xr3:uid="{8D034263-8EBD-4401-AF2F-483590FF5E6B}" name="#452 - B. 9787" dataDxfId="5"/>
    <tableColumn id="455" xr3:uid="{101BFFE4-CCCE-498F-B4C1-E641D80B6F99}" name="#453 - B. 9787" dataDxfId="4"/>
    <tableColumn id="456" xr3:uid="{C3A98306-4744-4822-9DFE-A612CB2413FB}" name="#454 - B. 9787" dataDxfId="3"/>
    <tableColumn id="457" xr3:uid="{1274AC7E-FB66-4400-B146-10E06309D6C4}" name="#455 - B. 9787" dataDxfId="2"/>
    <tableColumn id="458" xr3:uid="{96499EEF-E22B-4CCB-86E5-F8194E4CD9A6}" name="#456 - B. 9787" dataDxfId="1"/>
    <tableColumn id="459" xr3:uid="{0F1BFB56-68F0-4202-835B-9CD1EF535F77}" name="#457 - B. 9787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B1:E24"/>
  <sheetViews>
    <sheetView tabSelected="1" zoomScale="130" zoomScaleNormal="130" workbookViewId="0">
      <selection activeCell="C6" sqref="C6"/>
    </sheetView>
  </sheetViews>
  <sheetFormatPr defaultRowHeight="18.75" x14ac:dyDescent="0.3"/>
  <cols>
    <col min="1" max="1" width="0.85546875" style="11" customWidth="1"/>
    <col min="2" max="2" width="26.7109375" style="18" customWidth="1"/>
    <col min="3" max="3" width="66.28515625" style="25" customWidth="1"/>
    <col min="4" max="4" width="0.85546875" style="11" customWidth="1"/>
    <col min="5" max="5" width="4.7109375" style="11" customWidth="1"/>
    <col min="6" max="6" width="2" style="11" customWidth="1"/>
    <col min="7" max="7" width="66.140625" style="11" customWidth="1"/>
    <col min="8" max="16384" width="9.140625" style="11"/>
  </cols>
  <sheetData>
    <row r="1" spans="2:5" ht="5.0999999999999996" customHeight="1" thickBot="1" x14ac:dyDescent="0.35"/>
    <row r="2" spans="2:5" ht="32.25" customHeight="1" thickBot="1" x14ac:dyDescent="0.3">
      <c r="B2" s="35" t="s">
        <v>984</v>
      </c>
      <c r="C2" s="36"/>
      <c r="D2" s="11" t="s">
        <v>48</v>
      </c>
    </row>
    <row r="3" spans="2:5" ht="5.0999999999999996" customHeight="1" thickBot="1" x14ac:dyDescent="0.35">
      <c r="D3" s="11" t="s">
        <v>48</v>
      </c>
    </row>
    <row r="4" spans="2:5" ht="30" customHeight="1" thickBot="1" x14ac:dyDescent="0.3">
      <c r="B4" s="19" t="s">
        <v>514</v>
      </c>
      <c r="C4" s="20">
        <v>500</v>
      </c>
      <c r="D4" s="11" t="s">
        <v>48</v>
      </c>
      <c r="E4" s="21"/>
    </row>
    <row r="5" spans="2:5" ht="30" customHeight="1" thickBot="1" x14ac:dyDescent="0.3">
      <c r="B5" s="19" t="s">
        <v>0</v>
      </c>
      <c r="C5" s="20" t="s">
        <v>18</v>
      </c>
      <c r="D5" s="11" t="s">
        <v>48</v>
      </c>
    </row>
    <row r="6" spans="2:5" ht="30" customHeight="1" thickBot="1" x14ac:dyDescent="0.3">
      <c r="B6" s="19" t="s">
        <v>515</v>
      </c>
      <c r="C6" s="27" t="s">
        <v>986</v>
      </c>
      <c r="D6" s="11" t="s">
        <v>48</v>
      </c>
    </row>
    <row r="7" spans="2:5" ht="5.0999999999999996" customHeight="1" x14ac:dyDescent="0.3"/>
    <row r="9" spans="2:5" ht="11.25" customHeight="1" x14ac:dyDescent="0.3"/>
    <row r="10" spans="2:5" ht="5.0999999999999996" customHeight="1" thickBot="1" x14ac:dyDescent="0.35"/>
    <row r="11" spans="2:5" ht="18.75" customHeight="1" x14ac:dyDescent="0.25">
      <c r="B11" s="37" t="s">
        <v>982</v>
      </c>
      <c r="C11" s="38"/>
    </row>
    <row r="12" spans="2:5" ht="18.75" customHeight="1" x14ac:dyDescent="0.25">
      <c r="B12" s="39"/>
      <c r="C12" s="40"/>
    </row>
    <row r="13" spans="2:5" ht="18.75" customHeight="1" x14ac:dyDescent="0.25">
      <c r="B13" s="39"/>
      <c r="C13" s="40"/>
    </row>
    <row r="14" spans="2:5" ht="18.75" customHeight="1" x14ac:dyDescent="0.25">
      <c r="B14" s="39"/>
      <c r="C14" s="40"/>
    </row>
    <row r="15" spans="2:5" ht="18.75" customHeight="1" x14ac:dyDescent="0.25">
      <c r="B15" s="39"/>
      <c r="C15" s="40"/>
    </row>
    <row r="16" spans="2:5" ht="18.75" customHeight="1" x14ac:dyDescent="0.25">
      <c r="B16" s="39"/>
      <c r="C16" s="40"/>
    </row>
    <row r="17" spans="2:3" ht="18.75" customHeight="1" x14ac:dyDescent="0.25">
      <c r="B17" s="39"/>
      <c r="C17" s="40"/>
    </row>
    <row r="18" spans="2:3" ht="18.75" customHeight="1" x14ac:dyDescent="0.25">
      <c r="B18" s="39"/>
      <c r="C18" s="40"/>
    </row>
    <row r="19" spans="2:3" ht="18.75" customHeight="1" x14ac:dyDescent="0.25">
      <c r="B19" s="39"/>
      <c r="C19" s="40"/>
    </row>
    <row r="20" spans="2:3" ht="18.75" customHeight="1" x14ac:dyDescent="0.25">
      <c r="B20" s="39"/>
      <c r="C20" s="40"/>
    </row>
    <row r="21" spans="2:3" ht="18.75" customHeight="1" x14ac:dyDescent="0.25">
      <c r="B21" s="39"/>
      <c r="C21" s="40"/>
    </row>
    <row r="22" spans="2:3" ht="18.75" customHeight="1" x14ac:dyDescent="0.25">
      <c r="B22" s="39"/>
      <c r="C22" s="40"/>
    </row>
    <row r="23" spans="2:3" ht="18.75" customHeight="1" thickBot="1" x14ac:dyDescent="0.3">
      <c r="B23" s="41"/>
      <c r="C23" s="42"/>
    </row>
    <row r="24" spans="2:3" ht="18.75" customHeight="1" x14ac:dyDescent="0.25">
      <c r="B24" s="11"/>
      <c r="C24" s="11"/>
    </row>
  </sheetData>
  <mergeCells count="2">
    <mergeCell ref="B2:C2"/>
    <mergeCell ref="B11:C23"/>
  </mergeCells>
  <conditionalFormatting sqref="E4">
    <cfRule type="cellIs" dxfId="499" priority="7" operator="notEqual">
      <formula>""</formula>
    </cfRule>
  </conditionalFormatting>
  <conditionalFormatting sqref="C4:C5">
    <cfRule type="expression" dxfId="498" priority="8">
      <formula>UPPER($B4)="A"</formula>
    </cfRule>
    <cfRule type="expression" dxfId="497" priority="9">
      <formula>UPPER($B4)="E"</formula>
    </cfRule>
    <cfRule type="cellIs" dxfId="496" priority="10" operator="equal">
      <formula>"-"</formula>
    </cfRule>
  </conditionalFormatting>
  <conditionalFormatting sqref="C6">
    <cfRule type="expression" dxfId="495" priority="4">
      <formula>UPPER($B6)="A"</formula>
    </cfRule>
    <cfRule type="expression" dxfId="494" priority="5">
      <formula>UPPER($B6)="E"</formula>
    </cfRule>
    <cfRule type="cellIs" dxfId="493" priority="6" operator="equal">
      <formula>"-"</formula>
    </cfRule>
  </conditionalFormatting>
  <dataValidations disablePrompts="1" xWindow="893" yWindow="291" count="2">
    <dataValidation type="list" allowBlank="1" showInputMessage="1" showErrorMessage="1" error="Somente pode ser esolhido:_x000a_BRASIL para URUGUAI_x000a_ou_x000a_Uruguai para BRASIL" prompt="Esolha o sentido da Transferência" sqref="C5" xr:uid="{00000000-0002-0000-0000-000000000000}">
      <formula1>"URUGUAI para BRASIL,BRASIL para URUGUAI"</formula1>
    </dataValidation>
    <dataValidation type="whole" allowBlank="1" showInputMessage="1" showErrorMessage="1" error="Devem ser inserido um valor _x000a_inteiro entre 52MW e 508MW._x000a__x000a_Caso queira potência nula,_x000a_somente clique no botão_x000a_RETIRAR C.F. MELO" prompt="Devem ser inserido um valor _x000a_inteiro entre 52MW e 508MW._x000a__x000a_Caso queira potência nula,_x000a_somente clique no botão_x000a_RETIRAR C.F. MELO" sqref="C4" xr:uid="{00000000-0002-0000-0000-000001000000}">
      <formula1>52</formula1>
      <formula2>508</formula2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nfig"/>
  <dimension ref="B1:R524"/>
  <sheetViews>
    <sheetView topLeftCell="A4" zoomScale="85" zoomScaleNormal="85" workbookViewId="0">
      <selection activeCell="QP4" sqref="QP4"/>
    </sheetView>
  </sheetViews>
  <sheetFormatPr defaultRowHeight="15" x14ac:dyDescent="0.25"/>
  <cols>
    <col min="1" max="1" width="0.85546875" style="12" customWidth="1"/>
    <col min="2" max="2" width="91" style="11" customWidth="1"/>
    <col min="3" max="3" width="0.85546875" style="12" customWidth="1"/>
    <col min="4" max="4" width="90.7109375" style="11" customWidth="1"/>
    <col min="5" max="5" width="0.85546875" style="12" customWidth="1"/>
    <col min="6" max="6" width="90.7109375" style="11" customWidth="1"/>
    <col min="7" max="7" width="0.85546875" style="12" customWidth="1"/>
    <col min="8" max="10" width="12.5703125" style="12" customWidth="1"/>
    <col min="11" max="11" width="0.85546875" style="12" customWidth="1"/>
    <col min="12" max="12" width="84.42578125" style="12" customWidth="1"/>
    <col min="13" max="13" width="9.140625" style="12"/>
    <col min="14" max="14" width="84.42578125" style="12" customWidth="1"/>
    <col min="15" max="15" width="9.140625" style="12"/>
    <col min="16" max="16" width="84.42578125" style="12" customWidth="1"/>
    <col min="17" max="17" width="9.140625" style="12"/>
    <col min="18" max="18" width="84.42578125" style="12" customWidth="1"/>
    <col min="19" max="16384" width="9.140625" style="12"/>
  </cols>
  <sheetData>
    <row r="1" spans="2:18" ht="5.0999999999999996" customHeight="1" thickBot="1" x14ac:dyDescent="0.3"/>
    <row r="2" spans="2:18" ht="19.5" thickBot="1" x14ac:dyDescent="0.3">
      <c r="B2" s="5" t="s">
        <v>31</v>
      </c>
      <c r="D2" s="5" t="s">
        <v>31</v>
      </c>
      <c r="F2" s="5" t="s">
        <v>31</v>
      </c>
      <c r="H2" s="8" t="s">
        <v>22</v>
      </c>
      <c r="I2" s="8" t="s">
        <v>30</v>
      </c>
      <c r="J2" s="8" t="s">
        <v>23</v>
      </c>
      <c r="L2" s="5" t="s">
        <v>54</v>
      </c>
      <c r="N2" s="5" t="s">
        <v>54</v>
      </c>
      <c r="P2" s="5" t="s">
        <v>517</v>
      </c>
      <c r="R2" s="5" t="s">
        <v>517</v>
      </c>
    </row>
    <row r="3" spans="2:18" ht="15.75" customHeight="1" thickBot="1" x14ac:dyDescent="0.3">
      <c r="B3" s="13" t="s">
        <v>39</v>
      </c>
      <c r="D3" s="13" t="s">
        <v>32</v>
      </c>
      <c r="F3" s="13" t="s">
        <v>516</v>
      </c>
      <c r="H3" s="6" t="s">
        <v>24</v>
      </c>
      <c r="I3" s="43">
        <v>4102</v>
      </c>
      <c r="J3" s="44"/>
      <c r="L3" s="13" t="s">
        <v>512</v>
      </c>
      <c r="N3" s="13" t="s">
        <v>513</v>
      </c>
      <c r="P3" s="13" t="s">
        <v>519</v>
      </c>
      <c r="R3" s="13" t="s">
        <v>518</v>
      </c>
    </row>
    <row r="4" spans="2:18" ht="15" customHeight="1" thickBot="1" x14ac:dyDescent="0.3">
      <c r="B4" s="45" t="s">
        <v>983</v>
      </c>
      <c r="D4" s="45" t="s">
        <v>985</v>
      </c>
      <c r="F4" s="45" t="s">
        <v>987</v>
      </c>
      <c r="H4" s="6" t="s">
        <v>25</v>
      </c>
      <c r="I4" s="43">
        <v>4101</v>
      </c>
      <c r="J4" s="44"/>
      <c r="L4" s="45" t="s">
        <v>980</v>
      </c>
      <c r="N4" s="45"/>
      <c r="P4" s="45" t="s">
        <v>520</v>
      </c>
      <c r="R4" s="45" t="s">
        <v>520</v>
      </c>
    </row>
    <row r="5" spans="2:18" ht="15" customHeight="1" thickBot="1" x14ac:dyDescent="0.3">
      <c r="B5" s="46"/>
      <c r="D5" s="46"/>
      <c r="F5" s="46"/>
      <c r="H5" s="6" t="s">
        <v>26</v>
      </c>
      <c r="I5" s="43">
        <v>9787</v>
      </c>
      <c r="J5" s="44"/>
      <c r="L5" s="46"/>
      <c r="N5" s="46"/>
      <c r="P5" s="46"/>
      <c r="R5" s="46"/>
    </row>
    <row r="6" spans="2:18" ht="15" customHeight="1" thickBot="1" x14ac:dyDescent="0.3">
      <c r="B6" s="46"/>
      <c r="D6" s="46"/>
      <c r="F6" s="46"/>
      <c r="H6" s="6" t="s">
        <v>27</v>
      </c>
      <c r="I6" s="43">
        <v>90018</v>
      </c>
      <c r="J6" s="44"/>
      <c r="L6" s="46"/>
      <c r="N6" s="46"/>
      <c r="P6" s="46"/>
      <c r="R6" s="46"/>
    </row>
    <row r="7" spans="2:18" ht="15" customHeight="1" thickBot="1" x14ac:dyDescent="0.3">
      <c r="B7" s="46"/>
      <c r="D7" s="46"/>
      <c r="F7" s="46"/>
      <c r="H7" s="6" t="s">
        <v>28</v>
      </c>
      <c r="I7" s="43">
        <v>4201</v>
      </c>
      <c r="J7" s="44"/>
      <c r="L7" s="46"/>
      <c r="N7" s="46"/>
      <c r="P7" s="46"/>
      <c r="R7" s="46"/>
    </row>
    <row r="8" spans="2:18" ht="15" customHeight="1" thickBot="1" x14ac:dyDescent="0.3">
      <c r="B8" s="46"/>
      <c r="D8" s="46"/>
      <c r="F8" s="46"/>
      <c r="H8" s="7" t="s">
        <v>29</v>
      </c>
      <c r="I8" s="43">
        <v>4202</v>
      </c>
      <c r="J8" s="44"/>
      <c r="L8" s="46"/>
      <c r="N8" s="46"/>
      <c r="P8" s="46"/>
      <c r="R8" s="46"/>
    </row>
    <row r="9" spans="2:18" x14ac:dyDescent="0.25">
      <c r="B9" s="46"/>
      <c r="D9" s="46"/>
      <c r="F9" s="46"/>
      <c r="L9" s="46"/>
      <c r="N9" s="46"/>
      <c r="P9" s="46"/>
      <c r="R9" s="46"/>
    </row>
    <row r="10" spans="2:18" x14ac:dyDescent="0.25">
      <c r="B10" s="46"/>
      <c r="D10" s="46"/>
      <c r="F10" s="46"/>
      <c r="L10" s="46"/>
      <c r="N10" s="46"/>
      <c r="P10" s="46"/>
      <c r="R10" s="46"/>
    </row>
    <row r="11" spans="2:18" x14ac:dyDescent="0.25">
      <c r="B11" s="46"/>
      <c r="D11" s="46"/>
      <c r="F11" s="46"/>
      <c r="L11" s="46"/>
      <c r="N11" s="46"/>
      <c r="P11" s="46"/>
      <c r="R11" s="46"/>
    </row>
    <row r="12" spans="2:18" x14ac:dyDescent="0.25">
      <c r="B12" s="46"/>
      <c r="D12" s="46"/>
      <c r="F12" s="46"/>
      <c r="L12" s="46"/>
      <c r="N12" s="46"/>
      <c r="P12" s="46"/>
      <c r="R12" s="46"/>
    </row>
    <row r="13" spans="2:18" x14ac:dyDescent="0.25">
      <c r="B13" s="46"/>
      <c r="D13" s="46"/>
      <c r="F13" s="46"/>
      <c r="L13" s="46"/>
      <c r="N13" s="46"/>
      <c r="P13" s="46"/>
      <c r="R13" s="46"/>
    </row>
    <row r="14" spans="2:18" x14ac:dyDescent="0.25">
      <c r="B14" s="46"/>
      <c r="D14" s="46"/>
      <c r="F14" s="46"/>
      <c r="L14" s="46"/>
      <c r="N14" s="46"/>
      <c r="P14" s="46"/>
      <c r="R14" s="46"/>
    </row>
    <row r="15" spans="2:18" x14ac:dyDescent="0.25">
      <c r="B15" s="46"/>
      <c r="D15" s="46"/>
      <c r="F15" s="46"/>
      <c r="L15" s="46"/>
      <c r="N15" s="46"/>
      <c r="P15" s="46"/>
      <c r="R15" s="46"/>
    </row>
    <row r="16" spans="2:18" x14ac:dyDescent="0.25">
      <c r="B16" s="46"/>
      <c r="D16" s="46"/>
      <c r="F16" s="46"/>
      <c r="L16" s="46"/>
      <c r="N16" s="46"/>
      <c r="P16" s="46"/>
      <c r="R16" s="46"/>
    </row>
    <row r="17" spans="2:18" x14ac:dyDescent="0.25">
      <c r="B17" s="46"/>
      <c r="D17" s="46"/>
      <c r="F17" s="46"/>
      <c r="L17" s="46"/>
      <c r="N17" s="46"/>
      <c r="P17" s="46"/>
      <c r="R17" s="46"/>
    </row>
    <row r="18" spans="2:18" x14ac:dyDescent="0.25">
      <c r="B18" s="46"/>
      <c r="D18" s="46"/>
      <c r="F18" s="46"/>
      <c r="L18" s="46"/>
      <c r="N18" s="46"/>
      <c r="P18" s="46"/>
      <c r="R18" s="46"/>
    </row>
    <row r="19" spans="2:18" x14ac:dyDescent="0.25">
      <c r="B19" s="46"/>
      <c r="D19" s="46"/>
      <c r="F19" s="46"/>
      <c r="L19" s="46"/>
      <c r="N19" s="46"/>
      <c r="P19" s="46"/>
      <c r="R19" s="46"/>
    </row>
    <row r="20" spans="2:18" x14ac:dyDescent="0.25">
      <c r="B20" s="46"/>
      <c r="D20" s="46"/>
      <c r="F20" s="46"/>
      <c r="L20" s="46"/>
      <c r="N20" s="46"/>
      <c r="P20" s="46"/>
      <c r="R20" s="46"/>
    </row>
    <row r="21" spans="2:18" x14ac:dyDescent="0.25">
      <c r="B21" s="46"/>
      <c r="D21" s="46"/>
      <c r="F21" s="46"/>
      <c r="L21" s="46"/>
      <c r="N21" s="46"/>
      <c r="P21" s="46"/>
      <c r="R21" s="46"/>
    </row>
    <row r="22" spans="2:18" x14ac:dyDescent="0.25">
      <c r="B22" s="46"/>
      <c r="D22" s="46"/>
      <c r="F22" s="46"/>
      <c r="L22" s="46"/>
      <c r="N22" s="46"/>
      <c r="P22" s="46"/>
      <c r="R22" s="46"/>
    </row>
    <row r="23" spans="2:18" x14ac:dyDescent="0.25">
      <c r="B23" s="46"/>
      <c r="D23" s="46"/>
      <c r="F23" s="46"/>
      <c r="L23" s="46"/>
      <c r="N23" s="46"/>
      <c r="P23" s="46"/>
      <c r="R23" s="46"/>
    </row>
    <row r="24" spans="2:18" x14ac:dyDescent="0.25">
      <c r="B24" s="46"/>
      <c r="D24" s="46"/>
      <c r="F24" s="46"/>
      <c r="L24" s="46"/>
      <c r="N24" s="46"/>
      <c r="P24" s="46"/>
      <c r="R24" s="46"/>
    </row>
    <row r="25" spans="2:18" x14ac:dyDescent="0.25">
      <c r="B25" s="46"/>
      <c r="D25" s="46"/>
      <c r="F25" s="46"/>
      <c r="L25" s="46"/>
      <c r="N25" s="46"/>
      <c r="P25" s="46"/>
      <c r="R25" s="46"/>
    </row>
    <row r="26" spans="2:18" x14ac:dyDescent="0.25">
      <c r="B26" s="46"/>
      <c r="D26" s="46"/>
      <c r="F26" s="46"/>
      <c r="L26" s="46"/>
      <c r="N26" s="46"/>
      <c r="P26" s="46"/>
      <c r="R26" s="46"/>
    </row>
    <row r="27" spans="2:18" x14ac:dyDescent="0.25">
      <c r="B27" s="46"/>
      <c r="D27" s="46"/>
      <c r="F27" s="46"/>
      <c r="L27" s="46"/>
      <c r="N27" s="46"/>
      <c r="P27" s="46"/>
      <c r="R27" s="46"/>
    </row>
    <row r="28" spans="2:18" x14ac:dyDescent="0.25">
      <c r="B28" s="46"/>
      <c r="D28" s="46"/>
      <c r="F28" s="46"/>
      <c r="L28" s="46"/>
      <c r="N28" s="46"/>
      <c r="P28" s="46"/>
      <c r="R28" s="46"/>
    </row>
    <row r="29" spans="2:18" x14ac:dyDescent="0.25">
      <c r="B29" s="46"/>
      <c r="D29" s="46"/>
      <c r="F29" s="46"/>
      <c r="L29" s="46"/>
      <c r="N29" s="46"/>
      <c r="P29" s="46"/>
      <c r="R29" s="46"/>
    </row>
    <row r="30" spans="2:18" x14ac:dyDescent="0.25">
      <c r="B30" s="46"/>
      <c r="D30" s="46"/>
      <c r="F30" s="46"/>
      <c r="L30" s="46"/>
      <c r="N30" s="46"/>
      <c r="P30" s="46"/>
      <c r="R30" s="46"/>
    </row>
    <row r="31" spans="2:18" x14ac:dyDescent="0.25">
      <c r="B31" s="46"/>
      <c r="D31" s="46"/>
      <c r="F31" s="46"/>
      <c r="L31" s="46"/>
      <c r="N31" s="46"/>
      <c r="P31" s="46"/>
      <c r="R31" s="46"/>
    </row>
    <row r="32" spans="2:18" x14ac:dyDescent="0.25">
      <c r="B32" s="46"/>
      <c r="D32" s="46"/>
      <c r="F32" s="46"/>
      <c r="L32" s="46"/>
      <c r="N32" s="46"/>
      <c r="P32" s="46"/>
      <c r="R32" s="46"/>
    </row>
    <row r="33" spans="2:18" x14ac:dyDescent="0.25">
      <c r="B33" s="46"/>
      <c r="D33" s="46"/>
      <c r="F33" s="46"/>
      <c r="L33" s="46"/>
      <c r="N33" s="46"/>
      <c r="P33" s="46"/>
      <c r="R33" s="46"/>
    </row>
    <row r="34" spans="2:18" x14ac:dyDescent="0.25">
      <c r="B34" s="46"/>
      <c r="D34" s="46"/>
      <c r="F34" s="46"/>
      <c r="L34" s="46"/>
      <c r="N34" s="46"/>
      <c r="P34" s="46"/>
      <c r="R34" s="46"/>
    </row>
    <row r="35" spans="2:18" x14ac:dyDescent="0.25">
      <c r="B35" s="46"/>
      <c r="D35" s="46"/>
      <c r="F35" s="46"/>
      <c r="L35" s="46"/>
      <c r="N35" s="46"/>
      <c r="P35" s="46"/>
      <c r="R35" s="46"/>
    </row>
    <row r="36" spans="2:18" x14ac:dyDescent="0.25">
      <c r="B36" s="46"/>
      <c r="D36" s="46"/>
      <c r="F36" s="46"/>
      <c r="L36" s="46"/>
      <c r="N36" s="46"/>
      <c r="P36" s="46"/>
      <c r="R36" s="46"/>
    </row>
    <row r="37" spans="2:18" x14ac:dyDescent="0.25">
      <c r="B37" s="46"/>
      <c r="D37" s="46"/>
      <c r="F37" s="46"/>
      <c r="L37" s="46"/>
      <c r="N37" s="46"/>
      <c r="P37" s="46"/>
      <c r="R37" s="46"/>
    </row>
    <row r="38" spans="2:18" x14ac:dyDescent="0.25">
      <c r="B38" s="46"/>
      <c r="D38" s="46"/>
      <c r="F38" s="46"/>
      <c r="L38" s="46"/>
      <c r="N38" s="46"/>
      <c r="P38" s="46"/>
      <c r="R38" s="46"/>
    </row>
    <row r="39" spans="2:18" x14ac:dyDescent="0.25">
      <c r="B39" s="46"/>
      <c r="D39" s="46"/>
      <c r="F39" s="46"/>
      <c r="L39" s="46"/>
      <c r="N39" s="46"/>
      <c r="P39" s="46"/>
      <c r="R39" s="46"/>
    </row>
    <row r="40" spans="2:18" x14ac:dyDescent="0.25">
      <c r="B40" s="46"/>
      <c r="D40" s="46"/>
      <c r="F40" s="46"/>
      <c r="L40" s="46"/>
      <c r="N40" s="46"/>
      <c r="P40" s="46"/>
      <c r="R40" s="46"/>
    </row>
    <row r="41" spans="2:18" x14ac:dyDescent="0.25">
      <c r="B41" s="46"/>
      <c r="D41" s="46"/>
      <c r="F41" s="46"/>
      <c r="L41" s="46"/>
      <c r="N41" s="46"/>
      <c r="P41" s="46"/>
      <c r="R41" s="46"/>
    </row>
    <row r="42" spans="2:18" x14ac:dyDescent="0.25">
      <c r="B42" s="46"/>
      <c r="D42" s="46"/>
      <c r="F42" s="46"/>
      <c r="L42" s="46"/>
      <c r="N42" s="46"/>
      <c r="P42" s="46"/>
      <c r="R42" s="46"/>
    </row>
    <row r="43" spans="2:18" x14ac:dyDescent="0.25">
      <c r="B43" s="46"/>
      <c r="D43" s="46"/>
      <c r="F43" s="46"/>
      <c r="L43" s="46"/>
      <c r="N43" s="46"/>
      <c r="P43" s="46"/>
      <c r="R43" s="46"/>
    </row>
    <row r="44" spans="2:18" x14ac:dyDescent="0.25">
      <c r="B44" s="46"/>
      <c r="D44" s="46"/>
      <c r="F44" s="46"/>
      <c r="L44" s="46"/>
      <c r="N44" s="46"/>
      <c r="P44" s="46"/>
      <c r="R44" s="46"/>
    </row>
    <row r="45" spans="2:18" x14ac:dyDescent="0.25">
      <c r="B45" s="46"/>
      <c r="D45" s="46"/>
      <c r="F45" s="46"/>
      <c r="L45" s="46"/>
      <c r="N45" s="46"/>
      <c r="P45" s="46"/>
      <c r="R45" s="46"/>
    </row>
    <row r="46" spans="2:18" x14ac:dyDescent="0.25">
      <c r="B46" s="46"/>
      <c r="D46" s="46"/>
      <c r="F46" s="46"/>
      <c r="L46" s="46"/>
      <c r="N46" s="46"/>
      <c r="P46" s="46"/>
      <c r="R46" s="46"/>
    </row>
    <row r="47" spans="2:18" x14ac:dyDescent="0.25">
      <c r="B47" s="46"/>
      <c r="D47" s="46"/>
      <c r="F47" s="46"/>
      <c r="L47" s="46"/>
      <c r="N47" s="46"/>
      <c r="P47" s="46"/>
      <c r="R47" s="46"/>
    </row>
    <row r="48" spans="2:18" x14ac:dyDescent="0.25">
      <c r="B48" s="46"/>
      <c r="D48" s="46"/>
      <c r="F48" s="46"/>
      <c r="L48" s="46"/>
      <c r="N48" s="46"/>
      <c r="P48" s="46"/>
      <c r="R48" s="46"/>
    </row>
    <row r="49" spans="2:18" x14ac:dyDescent="0.25">
      <c r="B49" s="46"/>
      <c r="D49" s="46"/>
      <c r="F49" s="46"/>
      <c r="L49" s="46"/>
      <c r="N49" s="46"/>
      <c r="P49" s="46"/>
      <c r="R49" s="46"/>
    </row>
    <row r="50" spans="2:18" x14ac:dyDescent="0.25">
      <c r="B50" s="46"/>
      <c r="D50" s="46"/>
      <c r="F50" s="46"/>
      <c r="L50" s="46"/>
      <c r="N50" s="46"/>
      <c r="P50" s="46"/>
      <c r="R50" s="46"/>
    </row>
    <row r="51" spans="2:18" x14ac:dyDescent="0.25">
      <c r="B51" s="46"/>
      <c r="D51" s="46"/>
      <c r="F51" s="46"/>
      <c r="L51" s="46"/>
      <c r="N51" s="46"/>
      <c r="P51" s="46"/>
      <c r="R51" s="46"/>
    </row>
    <row r="52" spans="2:18" x14ac:dyDescent="0.25">
      <c r="B52" s="46"/>
      <c r="D52" s="46"/>
      <c r="F52" s="46"/>
      <c r="L52" s="46"/>
      <c r="N52" s="46"/>
      <c r="P52" s="46"/>
      <c r="R52" s="46"/>
    </row>
    <row r="53" spans="2:18" x14ac:dyDescent="0.25">
      <c r="B53" s="46"/>
      <c r="D53" s="46"/>
      <c r="F53" s="46"/>
      <c r="L53" s="46"/>
      <c r="N53" s="46"/>
      <c r="P53" s="46"/>
      <c r="R53" s="46"/>
    </row>
    <row r="54" spans="2:18" x14ac:dyDescent="0.25">
      <c r="B54" s="46"/>
      <c r="D54" s="46"/>
      <c r="F54" s="46"/>
      <c r="L54" s="46"/>
      <c r="N54" s="46"/>
      <c r="P54" s="46"/>
      <c r="R54" s="46"/>
    </row>
    <row r="55" spans="2:18" x14ac:dyDescent="0.25">
      <c r="B55" s="46"/>
      <c r="D55" s="46"/>
      <c r="F55" s="46"/>
      <c r="L55" s="46"/>
      <c r="N55" s="46"/>
      <c r="P55" s="46"/>
      <c r="R55" s="46"/>
    </row>
    <row r="56" spans="2:18" x14ac:dyDescent="0.25">
      <c r="B56" s="46"/>
      <c r="D56" s="46"/>
      <c r="F56" s="46"/>
      <c r="L56" s="46"/>
      <c r="N56" s="46"/>
      <c r="P56" s="46"/>
      <c r="R56" s="46"/>
    </row>
    <row r="57" spans="2:18" x14ac:dyDescent="0.25">
      <c r="B57" s="46"/>
      <c r="D57" s="46"/>
      <c r="F57" s="46"/>
      <c r="L57" s="46"/>
      <c r="N57" s="46"/>
      <c r="P57" s="46"/>
      <c r="R57" s="46"/>
    </row>
    <row r="58" spans="2:18" x14ac:dyDescent="0.25">
      <c r="B58" s="46"/>
      <c r="D58" s="46"/>
      <c r="F58" s="46"/>
      <c r="L58" s="46"/>
      <c r="N58" s="46"/>
      <c r="P58" s="46"/>
      <c r="R58" s="46"/>
    </row>
    <row r="59" spans="2:18" x14ac:dyDescent="0.25">
      <c r="B59" s="46"/>
      <c r="D59" s="46"/>
      <c r="F59" s="46"/>
      <c r="L59" s="46"/>
      <c r="N59" s="46"/>
      <c r="P59" s="46"/>
      <c r="R59" s="46"/>
    </row>
    <row r="60" spans="2:18" x14ac:dyDescent="0.25">
      <c r="B60" s="46"/>
      <c r="D60" s="46"/>
      <c r="F60" s="46"/>
      <c r="L60" s="46"/>
      <c r="N60" s="46"/>
      <c r="P60" s="46"/>
      <c r="R60" s="46"/>
    </row>
    <row r="61" spans="2:18" x14ac:dyDescent="0.25">
      <c r="B61" s="46"/>
      <c r="D61" s="46"/>
      <c r="F61" s="46"/>
      <c r="L61" s="46"/>
      <c r="N61" s="46"/>
      <c r="P61" s="46"/>
      <c r="R61" s="46"/>
    </row>
    <row r="62" spans="2:18" x14ac:dyDescent="0.25">
      <c r="B62" s="46"/>
      <c r="D62" s="46"/>
      <c r="F62" s="46"/>
      <c r="L62" s="46"/>
      <c r="N62" s="46"/>
      <c r="P62" s="46"/>
      <c r="R62" s="46"/>
    </row>
    <row r="63" spans="2:18" x14ac:dyDescent="0.25">
      <c r="B63" s="46"/>
      <c r="D63" s="46"/>
      <c r="F63" s="46"/>
      <c r="L63" s="46"/>
      <c r="N63" s="46"/>
      <c r="P63" s="46"/>
      <c r="R63" s="46"/>
    </row>
    <row r="64" spans="2:18" x14ac:dyDescent="0.25">
      <c r="B64" s="46"/>
      <c r="D64" s="46"/>
      <c r="F64" s="46"/>
      <c r="L64" s="46"/>
      <c r="N64" s="46"/>
      <c r="P64" s="46"/>
      <c r="R64" s="46"/>
    </row>
    <row r="65" spans="2:18" x14ac:dyDescent="0.25">
      <c r="B65" s="46"/>
      <c r="D65" s="46"/>
      <c r="F65" s="46"/>
      <c r="L65" s="46"/>
      <c r="N65" s="46"/>
      <c r="P65" s="46"/>
      <c r="R65" s="46"/>
    </row>
    <row r="66" spans="2:18" x14ac:dyDescent="0.25">
      <c r="B66" s="46"/>
      <c r="D66" s="46"/>
      <c r="F66" s="46"/>
      <c r="L66" s="46"/>
      <c r="N66" s="46"/>
      <c r="P66" s="46"/>
      <c r="R66" s="46"/>
    </row>
    <row r="67" spans="2:18" x14ac:dyDescent="0.25">
      <c r="B67" s="46"/>
      <c r="D67" s="46"/>
      <c r="F67" s="46"/>
      <c r="L67" s="46"/>
      <c r="N67" s="46"/>
      <c r="P67" s="46"/>
      <c r="R67" s="46"/>
    </row>
    <row r="68" spans="2:18" x14ac:dyDescent="0.25">
      <c r="B68" s="46"/>
      <c r="D68" s="46"/>
      <c r="F68" s="46"/>
      <c r="L68" s="46"/>
      <c r="N68" s="46"/>
      <c r="P68" s="46"/>
      <c r="R68" s="46"/>
    </row>
    <row r="69" spans="2:18" x14ac:dyDescent="0.25">
      <c r="B69" s="46"/>
      <c r="D69" s="46"/>
      <c r="F69" s="46"/>
      <c r="L69" s="46"/>
      <c r="N69" s="46"/>
      <c r="P69" s="46"/>
      <c r="R69" s="46"/>
    </row>
    <row r="70" spans="2:18" x14ac:dyDescent="0.25">
      <c r="B70" s="46"/>
      <c r="D70" s="46"/>
      <c r="F70" s="46"/>
      <c r="L70" s="46"/>
      <c r="N70" s="46"/>
      <c r="P70" s="46"/>
      <c r="R70" s="46"/>
    </row>
    <row r="71" spans="2:18" x14ac:dyDescent="0.25">
      <c r="B71" s="46"/>
      <c r="D71" s="46"/>
      <c r="F71" s="46"/>
      <c r="L71" s="46"/>
      <c r="N71" s="46"/>
      <c r="P71" s="46"/>
      <c r="R71" s="46"/>
    </row>
    <row r="72" spans="2:18" x14ac:dyDescent="0.25">
      <c r="B72" s="46"/>
      <c r="D72" s="46"/>
      <c r="F72" s="46"/>
      <c r="L72" s="46"/>
      <c r="N72" s="46"/>
      <c r="P72" s="46"/>
      <c r="R72" s="46"/>
    </row>
    <row r="73" spans="2:18" x14ac:dyDescent="0.25">
      <c r="B73" s="46"/>
      <c r="D73" s="46"/>
      <c r="F73" s="46"/>
      <c r="L73" s="46"/>
      <c r="N73" s="46"/>
      <c r="P73" s="46"/>
      <c r="R73" s="46"/>
    </row>
    <row r="74" spans="2:18" x14ac:dyDescent="0.25">
      <c r="B74" s="46"/>
      <c r="D74" s="46"/>
      <c r="F74" s="46"/>
      <c r="L74" s="46"/>
      <c r="N74" s="46"/>
      <c r="P74" s="46"/>
      <c r="R74" s="46"/>
    </row>
    <row r="75" spans="2:18" x14ac:dyDescent="0.25">
      <c r="B75" s="46"/>
      <c r="D75" s="46"/>
      <c r="F75" s="46"/>
      <c r="L75" s="46"/>
      <c r="N75" s="46"/>
      <c r="P75" s="46"/>
      <c r="R75" s="46"/>
    </row>
    <row r="76" spans="2:18" x14ac:dyDescent="0.25">
      <c r="B76" s="46"/>
      <c r="D76" s="46"/>
      <c r="F76" s="46"/>
      <c r="L76" s="46"/>
      <c r="N76" s="46"/>
      <c r="P76" s="46"/>
      <c r="R76" s="46"/>
    </row>
    <row r="77" spans="2:18" x14ac:dyDescent="0.25">
      <c r="B77" s="46"/>
      <c r="D77" s="46"/>
      <c r="F77" s="46"/>
      <c r="L77" s="46"/>
      <c r="N77" s="46"/>
      <c r="P77" s="46"/>
      <c r="R77" s="46"/>
    </row>
    <row r="78" spans="2:18" x14ac:dyDescent="0.25">
      <c r="B78" s="46"/>
      <c r="D78" s="46"/>
      <c r="F78" s="46"/>
      <c r="L78" s="46"/>
      <c r="N78" s="46"/>
      <c r="P78" s="46"/>
      <c r="R78" s="46"/>
    </row>
    <row r="79" spans="2:18" x14ac:dyDescent="0.25">
      <c r="B79" s="46"/>
      <c r="D79" s="46"/>
      <c r="F79" s="46"/>
      <c r="L79" s="46"/>
      <c r="N79" s="46"/>
      <c r="P79" s="46"/>
      <c r="R79" s="46"/>
    </row>
    <row r="80" spans="2:18" x14ac:dyDescent="0.25">
      <c r="B80" s="46"/>
      <c r="D80" s="46"/>
      <c r="F80" s="46"/>
      <c r="L80" s="46"/>
      <c r="N80" s="46"/>
      <c r="P80" s="46"/>
      <c r="R80" s="46"/>
    </row>
    <row r="81" spans="2:18" x14ac:dyDescent="0.25">
      <c r="B81" s="46"/>
      <c r="D81" s="46"/>
      <c r="F81" s="46"/>
      <c r="L81" s="46"/>
      <c r="N81" s="46"/>
      <c r="P81" s="46"/>
      <c r="R81" s="46"/>
    </row>
    <row r="82" spans="2:18" x14ac:dyDescent="0.25">
      <c r="B82" s="46"/>
      <c r="D82" s="46"/>
      <c r="F82" s="46"/>
      <c r="L82" s="46"/>
      <c r="N82" s="46"/>
      <c r="P82" s="46"/>
      <c r="R82" s="46"/>
    </row>
    <row r="83" spans="2:18" x14ac:dyDescent="0.25">
      <c r="B83" s="46"/>
      <c r="D83" s="46"/>
      <c r="F83" s="46"/>
      <c r="L83" s="46"/>
      <c r="N83" s="46"/>
      <c r="P83" s="46"/>
      <c r="R83" s="46"/>
    </row>
    <row r="84" spans="2:18" x14ac:dyDescent="0.25">
      <c r="B84" s="46"/>
      <c r="D84" s="46"/>
      <c r="F84" s="46"/>
      <c r="L84" s="46"/>
      <c r="N84" s="46"/>
      <c r="P84" s="46"/>
      <c r="R84" s="46"/>
    </row>
    <row r="85" spans="2:18" x14ac:dyDescent="0.25">
      <c r="B85" s="46"/>
      <c r="D85" s="46"/>
      <c r="F85" s="46"/>
      <c r="L85" s="46"/>
      <c r="N85" s="46"/>
      <c r="P85" s="46"/>
      <c r="R85" s="46"/>
    </row>
    <row r="86" spans="2:18" x14ac:dyDescent="0.25">
      <c r="B86" s="46"/>
      <c r="D86" s="46"/>
      <c r="F86" s="46"/>
      <c r="L86" s="46"/>
      <c r="N86" s="46"/>
      <c r="P86" s="46"/>
      <c r="R86" s="46"/>
    </row>
    <row r="87" spans="2:18" x14ac:dyDescent="0.25">
      <c r="B87" s="46"/>
      <c r="D87" s="46"/>
      <c r="F87" s="46"/>
      <c r="L87" s="46"/>
      <c r="N87" s="46"/>
      <c r="P87" s="46"/>
      <c r="R87" s="46"/>
    </row>
    <row r="88" spans="2:18" x14ac:dyDescent="0.25">
      <c r="B88" s="46"/>
      <c r="D88" s="46"/>
      <c r="F88" s="46"/>
      <c r="L88" s="46"/>
      <c r="N88" s="46"/>
      <c r="P88" s="46"/>
      <c r="R88" s="46"/>
    </row>
    <row r="89" spans="2:18" x14ac:dyDescent="0.25">
      <c r="B89" s="46"/>
      <c r="D89" s="46"/>
      <c r="F89" s="46"/>
      <c r="L89" s="46"/>
      <c r="N89" s="46"/>
      <c r="P89" s="46"/>
      <c r="R89" s="46"/>
    </row>
    <row r="90" spans="2:18" x14ac:dyDescent="0.25">
      <c r="B90" s="46"/>
      <c r="D90" s="46"/>
      <c r="F90" s="46"/>
      <c r="L90" s="46"/>
      <c r="N90" s="46"/>
      <c r="P90" s="46"/>
      <c r="R90" s="46"/>
    </row>
    <row r="91" spans="2:18" x14ac:dyDescent="0.25">
      <c r="B91" s="46"/>
      <c r="D91" s="46"/>
      <c r="F91" s="46"/>
      <c r="L91" s="46"/>
      <c r="N91" s="46"/>
      <c r="P91" s="46"/>
      <c r="R91" s="46"/>
    </row>
    <row r="92" spans="2:18" x14ac:dyDescent="0.25">
      <c r="B92" s="46"/>
      <c r="D92" s="46"/>
      <c r="F92" s="46"/>
      <c r="L92" s="46"/>
      <c r="N92" s="46"/>
      <c r="P92" s="46"/>
      <c r="R92" s="46"/>
    </row>
    <row r="93" spans="2:18" x14ac:dyDescent="0.25">
      <c r="B93" s="46"/>
      <c r="D93" s="46"/>
      <c r="F93" s="46"/>
      <c r="L93" s="46"/>
      <c r="N93" s="46"/>
      <c r="P93" s="46"/>
      <c r="R93" s="46"/>
    </row>
    <row r="94" spans="2:18" x14ac:dyDescent="0.25">
      <c r="B94" s="46"/>
      <c r="D94" s="46"/>
      <c r="F94" s="46"/>
      <c r="L94" s="46"/>
      <c r="N94" s="46"/>
      <c r="P94" s="46"/>
      <c r="R94" s="46"/>
    </row>
    <row r="95" spans="2:18" x14ac:dyDescent="0.25">
      <c r="B95" s="46"/>
      <c r="D95" s="46"/>
      <c r="F95" s="46"/>
      <c r="L95" s="46"/>
      <c r="N95" s="46"/>
      <c r="P95" s="46"/>
      <c r="R95" s="46"/>
    </row>
    <row r="96" spans="2:18" x14ac:dyDescent="0.25">
      <c r="B96" s="46"/>
      <c r="D96" s="46"/>
      <c r="F96" s="46"/>
      <c r="L96" s="46"/>
      <c r="N96" s="46"/>
      <c r="P96" s="46"/>
      <c r="R96" s="46"/>
    </row>
    <row r="97" spans="2:18" x14ac:dyDescent="0.25">
      <c r="B97" s="46"/>
      <c r="D97" s="46"/>
      <c r="F97" s="46"/>
      <c r="L97" s="46"/>
      <c r="N97" s="46"/>
      <c r="P97" s="46"/>
      <c r="R97" s="46"/>
    </row>
    <row r="98" spans="2:18" x14ac:dyDescent="0.25">
      <c r="B98" s="46"/>
      <c r="D98" s="46"/>
      <c r="F98" s="46"/>
      <c r="L98" s="46"/>
      <c r="N98" s="46"/>
      <c r="P98" s="46"/>
      <c r="R98" s="46"/>
    </row>
    <row r="99" spans="2:18" x14ac:dyDescent="0.25">
      <c r="B99" s="46"/>
      <c r="D99" s="46"/>
      <c r="F99" s="46"/>
      <c r="L99" s="46"/>
      <c r="N99" s="46"/>
      <c r="P99" s="46"/>
      <c r="R99" s="46"/>
    </row>
    <row r="100" spans="2:18" x14ac:dyDescent="0.25">
      <c r="B100" s="46"/>
      <c r="D100" s="46"/>
      <c r="F100" s="46"/>
      <c r="L100" s="46"/>
      <c r="N100" s="46"/>
      <c r="P100" s="46"/>
      <c r="R100" s="46"/>
    </row>
    <row r="101" spans="2:18" x14ac:dyDescent="0.25">
      <c r="B101" s="46"/>
      <c r="D101" s="46"/>
      <c r="F101" s="46"/>
      <c r="L101" s="46"/>
      <c r="N101" s="46"/>
      <c r="P101" s="46"/>
      <c r="R101" s="46"/>
    </row>
    <row r="102" spans="2:18" x14ac:dyDescent="0.25">
      <c r="B102" s="46"/>
      <c r="D102" s="46"/>
      <c r="F102" s="46"/>
      <c r="L102" s="46"/>
      <c r="N102" s="46"/>
      <c r="P102" s="46"/>
      <c r="R102" s="46"/>
    </row>
    <row r="103" spans="2:18" x14ac:dyDescent="0.25">
      <c r="B103" s="46"/>
      <c r="D103" s="46"/>
      <c r="F103" s="46"/>
      <c r="L103" s="46"/>
      <c r="N103" s="46"/>
      <c r="P103" s="46"/>
      <c r="R103" s="46"/>
    </row>
    <row r="104" spans="2:18" x14ac:dyDescent="0.25">
      <c r="B104" s="46"/>
      <c r="D104" s="46"/>
      <c r="F104" s="46"/>
      <c r="L104" s="46"/>
      <c r="N104" s="46"/>
      <c r="P104" s="46"/>
      <c r="R104" s="46"/>
    </row>
    <row r="105" spans="2:18" x14ac:dyDescent="0.25">
      <c r="B105" s="46"/>
      <c r="D105" s="46"/>
      <c r="F105" s="46"/>
      <c r="L105" s="46"/>
      <c r="N105" s="46"/>
      <c r="P105" s="46"/>
      <c r="R105" s="46"/>
    </row>
    <row r="106" spans="2:18" x14ac:dyDescent="0.25">
      <c r="B106" s="46"/>
      <c r="D106" s="46"/>
      <c r="F106" s="46"/>
      <c r="L106" s="46"/>
      <c r="N106" s="46"/>
      <c r="P106" s="46"/>
      <c r="R106" s="46"/>
    </row>
    <row r="107" spans="2:18" x14ac:dyDescent="0.25">
      <c r="B107" s="46"/>
      <c r="D107" s="46"/>
      <c r="F107" s="46"/>
      <c r="L107" s="46"/>
      <c r="N107" s="46"/>
      <c r="P107" s="46"/>
      <c r="R107" s="46"/>
    </row>
    <row r="108" spans="2:18" x14ac:dyDescent="0.25">
      <c r="B108" s="46"/>
      <c r="D108" s="46"/>
      <c r="F108" s="46"/>
      <c r="L108" s="46"/>
      <c r="N108" s="46"/>
      <c r="P108" s="46"/>
      <c r="R108" s="46"/>
    </row>
    <row r="109" spans="2:18" x14ac:dyDescent="0.25">
      <c r="B109" s="46"/>
      <c r="D109" s="46"/>
      <c r="F109" s="46"/>
      <c r="L109" s="46"/>
      <c r="N109" s="46"/>
      <c r="P109" s="46"/>
      <c r="R109" s="46"/>
    </row>
    <row r="110" spans="2:18" x14ac:dyDescent="0.25">
      <c r="B110" s="46"/>
      <c r="D110" s="46"/>
      <c r="F110" s="46"/>
      <c r="L110" s="46"/>
      <c r="N110" s="46"/>
      <c r="P110" s="46"/>
      <c r="R110" s="46"/>
    </row>
    <row r="111" spans="2:18" x14ac:dyDescent="0.25">
      <c r="B111" s="46"/>
      <c r="D111" s="46"/>
      <c r="F111" s="46"/>
      <c r="L111" s="46"/>
      <c r="N111" s="46"/>
      <c r="P111" s="46"/>
      <c r="R111" s="46"/>
    </row>
    <row r="112" spans="2:18" x14ac:dyDescent="0.25">
      <c r="B112" s="46"/>
      <c r="D112" s="46"/>
      <c r="F112" s="46"/>
      <c r="L112" s="46"/>
      <c r="N112" s="46"/>
      <c r="P112" s="46"/>
      <c r="R112" s="46"/>
    </row>
    <row r="113" spans="2:18" x14ac:dyDescent="0.25">
      <c r="B113" s="46"/>
      <c r="D113" s="46"/>
      <c r="F113" s="46"/>
      <c r="L113" s="46"/>
      <c r="N113" s="46"/>
      <c r="P113" s="46"/>
      <c r="R113" s="46"/>
    </row>
    <row r="114" spans="2:18" x14ac:dyDescent="0.25">
      <c r="B114" s="46"/>
      <c r="D114" s="46"/>
      <c r="F114" s="46"/>
      <c r="L114" s="46"/>
      <c r="N114" s="46"/>
      <c r="P114" s="46"/>
      <c r="R114" s="46"/>
    </row>
    <row r="115" spans="2:18" x14ac:dyDescent="0.25">
      <c r="B115" s="46"/>
      <c r="D115" s="46"/>
      <c r="F115" s="46"/>
      <c r="L115" s="46"/>
      <c r="N115" s="46"/>
      <c r="P115" s="46"/>
      <c r="R115" s="46"/>
    </row>
    <row r="116" spans="2:18" x14ac:dyDescent="0.25">
      <c r="B116" s="46"/>
      <c r="D116" s="46"/>
      <c r="F116" s="46"/>
      <c r="L116" s="46"/>
      <c r="N116" s="46"/>
      <c r="P116" s="46"/>
      <c r="R116" s="46"/>
    </row>
    <row r="117" spans="2:18" x14ac:dyDescent="0.25">
      <c r="B117" s="46"/>
      <c r="D117" s="46"/>
      <c r="F117" s="46"/>
      <c r="L117" s="46"/>
      <c r="N117" s="46"/>
      <c r="P117" s="46"/>
      <c r="R117" s="46"/>
    </row>
    <row r="118" spans="2:18" x14ac:dyDescent="0.25">
      <c r="B118" s="46"/>
      <c r="D118" s="46"/>
      <c r="F118" s="46"/>
      <c r="L118" s="46"/>
      <c r="N118" s="46"/>
      <c r="P118" s="46"/>
      <c r="R118" s="46"/>
    </row>
    <row r="119" spans="2:18" x14ac:dyDescent="0.25">
      <c r="B119" s="46"/>
      <c r="D119" s="46"/>
      <c r="F119" s="46"/>
      <c r="L119" s="46"/>
      <c r="N119" s="46"/>
      <c r="P119" s="46"/>
      <c r="R119" s="46"/>
    </row>
    <row r="120" spans="2:18" x14ac:dyDescent="0.25">
      <c r="B120" s="46"/>
      <c r="D120" s="46"/>
      <c r="F120" s="46"/>
      <c r="L120" s="46"/>
      <c r="N120" s="46"/>
      <c r="P120" s="46"/>
      <c r="R120" s="46"/>
    </row>
    <row r="121" spans="2:18" x14ac:dyDescent="0.25">
      <c r="B121" s="46"/>
      <c r="D121" s="46"/>
      <c r="F121" s="46"/>
      <c r="L121" s="46"/>
      <c r="N121" s="46"/>
      <c r="P121" s="46"/>
      <c r="R121" s="46"/>
    </row>
    <row r="122" spans="2:18" x14ac:dyDescent="0.25">
      <c r="B122" s="46"/>
      <c r="D122" s="46"/>
      <c r="F122" s="46"/>
      <c r="L122" s="46"/>
      <c r="N122" s="46"/>
      <c r="P122" s="46"/>
      <c r="R122" s="46"/>
    </row>
    <row r="123" spans="2:18" x14ac:dyDescent="0.25">
      <c r="B123" s="46"/>
      <c r="D123" s="46"/>
      <c r="F123" s="46"/>
      <c r="L123" s="46"/>
      <c r="N123" s="46"/>
      <c r="P123" s="46"/>
      <c r="R123" s="46"/>
    </row>
    <row r="124" spans="2:18" x14ac:dyDescent="0.25">
      <c r="B124" s="46"/>
      <c r="D124" s="46"/>
      <c r="F124" s="46"/>
      <c r="L124" s="46"/>
      <c r="N124" s="46"/>
      <c r="P124" s="46"/>
      <c r="R124" s="46"/>
    </row>
    <row r="125" spans="2:18" x14ac:dyDescent="0.25">
      <c r="B125" s="46"/>
      <c r="D125" s="46"/>
      <c r="F125" s="46"/>
      <c r="L125" s="46"/>
      <c r="N125" s="46"/>
      <c r="P125" s="46"/>
      <c r="R125" s="46"/>
    </row>
    <row r="126" spans="2:18" x14ac:dyDescent="0.25">
      <c r="B126" s="46"/>
      <c r="D126" s="46"/>
      <c r="F126" s="46"/>
      <c r="L126" s="46"/>
      <c r="N126" s="46"/>
      <c r="P126" s="46"/>
      <c r="R126" s="46"/>
    </row>
    <row r="127" spans="2:18" x14ac:dyDescent="0.25">
      <c r="B127" s="46"/>
      <c r="D127" s="46"/>
      <c r="F127" s="46"/>
      <c r="L127" s="46"/>
      <c r="N127" s="46"/>
      <c r="P127" s="46"/>
      <c r="R127" s="46"/>
    </row>
    <row r="128" spans="2:18" x14ac:dyDescent="0.25">
      <c r="B128" s="46"/>
      <c r="D128" s="46"/>
      <c r="F128" s="46"/>
      <c r="L128" s="46"/>
      <c r="N128" s="46"/>
      <c r="P128" s="46"/>
      <c r="R128" s="46"/>
    </row>
    <row r="129" spans="2:18" x14ac:dyDescent="0.25">
      <c r="B129" s="46"/>
      <c r="D129" s="46"/>
      <c r="F129" s="46"/>
      <c r="L129" s="46"/>
      <c r="N129" s="46"/>
      <c r="P129" s="46"/>
      <c r="R129" s="46"/>
    </row>
    <row r="130" spans="2:18" x14ac:dyDescent="0.25">
      <c r="B130" s="46"/>
      <c r="D130" s="46"/>
      <c r="F130" s="46"/>
      <c r="L130" s="46"/>
      <c r="N130" s="46"/>
      <c r="P130" s="46"/>
      <c r="R130" s="46"/>
    </row>
    <row r="131" spans="2:18" x14ac:dyDescent="0.25">
      <c r="B131" s="46"/>
      <c r="D131" s="46"/>
      <c r="F131" s="46"/>
      <c r="L131" s="46"/>
      <c r="N131" s="46"/>
      <c r="P131" s="46"/>
      <c r="R131" s="46"/>
    </row>
    <row r="132" spans="2:18" x14ac:dyDescent="0.25">
      <c r="B132" s="46"/>
      <c r="D132" s="46"/>
      <c r="F132" s="46"/>
      <c r="L132" s="46"/>
      <c r="N132" s="46"/>
      <c r="P132" s="46"/>
      <c r="R132" s="46"/>
    </row>
    <row r="133" spans="2:18" x14ac:dyDescent="0.25">
      <c r="B133" s="46"/>
      <c r="D133" s="46"/>
      <c r="F133" s="46"/>
      <c r="L133" s="46"/>
      <c r="N133" s="46"/>
      <c r="P133" s="46"/>
      <c r="R133" s="46"/>
    </row>
    <row r="134" spans="2:18" x14ac:dyDescent="0.25">
      <c r="B134" s="46"/>
      <c r="D134" s="46"/>
      <c r="F134" s="46"/>
      <c r="L134" s="46"/>
      <c r="N134" s="46"/>
      <c r="P134" s="46"/>
      <c r="R134" s="46"/>
    </row>
    <row r="135" spans="2:18" x14ac:dyDescent="0.25">
      <c r="B135" s="46"/>
      <c r="D135" s="46"/>
      <c r="F135" s="46"/>
      <c r="L135" s="46"/>
      <c r="N135" s="46"/>
      <c r="P135" s="46"/>
      <c r="R135" s="46"/>
    </row>
    <row r="136" spans="2:18" x14ac:dyDescent="0.25">
      <c r="B136" s="46"/>
      <c r="D136" s="46"/>
      <c r="F136" s="46"/>
      <c r="L136" s="46"/>
      <c r="N136" s="46"/>
      <c r="P136" s="46"/>
      <c r="R136" s="46"/>
    </row>
    <row r="137" spans="2:18" x14ac:dyDescent="0.25">
      <c r="B137" s="46"/>
      <c r="D137" s="46"/>
      <c r="F137" s="46"/>
      <c r="L137" s="46"/>
      <c r="N137" s="46"/>
      <c r="P137" s="46"/>
      <c r="R137" s="46"/>
    </row>
    <row r="138" spans="2:18" x14ac:dyDescent="0.25">
      <c r="B138" s="46"/>
      <c r="D138" s="46"/>
      <c r="F138" s="46"/>
      <c r="L138" s="46"/>
      <c r="N138" s="46"/>
      <c r="P138" s="46"/>
      <c r="R138" s="46"/>
    </row>
    <row r="139" spans="2:18" x14ac:dyDescent="0.25">
      <c r="B139" s="46"/>
      <c r="D139" s="46"/>
      <c r="F139" s="46"/>
      <c r="L139" s="46"/>
      <c r="N139" s="46"/>
      <c r="P139" s="46"/>
      <c r="R139" s="46"/>
    </row>
    <row r="140" spans="2:18" x14ac:dyDescent="0.25">
      <c r="B140" s="46"/>
      <c r="D140" s="46"/>
      <c r="F140" s="46"/>
      <c r="L140" s="46"/>
      <c r="N140" s="46"/>
      <c r="P140" s="46"/>
      <c r="R140" s="46"/>
    </row>
    <row r="141" spans="2:18" x14ac:dyDescent="0.25">
      <c r="B141" s="46"/>
      <c r="D141" s="46"/>
      <c r="F141" s="46"/>
      <c r="L141" s="46"/>
      <c r="N141" s="46"/>
      <c r="P141" s="46"/>
      <c r="R141" s="46"/>
    </row>
    <row r="142" spans="2:18" x14ac:dyDescent="0.25">
      <c r="B142" s="46"/>
      <c r="D142" s="46"/>
      <c r="F142" s="46"/>
      <c r="L142" s="46"/>
      <c r="N142" s="46"/>
      <c r="P142" s="46"/>
      <c r="R142" s="46"/>
    </row>
    <row r="143" spans="2:18" x14ac:dyDescent="0.25">
      <c r="B143" s="46"/>
      <c r="D143" s="46"/>
      <c r="F143" s="46"/>
      <c r="L143" s="46"/>
      <c r="N143" s="46"/>
      <c r="P143" s="46"/>
      <c r="R143" s="46"/>
    </row>
    <row r="144" spans="2:18" x14ac:dyDescent="0.25">
      <c r="B144" s="46"/>
      <c r="D144" s="46"/>
      <c r="F144" s="46"/>
      <c r="L144" s="46"/>
      <c r="N144" s="46"/>
      <c r="P144" s="46"/>
      <c r="R144" s="46"/>
    </row>
    <row r="145" spans="2:18" x14ac:dyDescent="0.25">
      <c r="B145" s="46"/>
      <c r="D145" s="46"/>
      <c r="F145" s="46"/>
      <c r="L145" s="46"/>
      <c r="N145" s="46"/>
      <c r="P145" s="46"/>
      <c r="R145" s="46"/>
    </row>
    <row r="146" spans="2:18" x14ac:dyDescent="0.25">
      <c r="B146" s="46"/>
      <c r="D146" s="46"/>
      <c r="F146" s="46"/>
      <c r="L146" s="46"/>
      <c r="N146" s="46"/>
      <c r="P146" s="46"/>
      <c r="R146" s="46"/>
    </row>
    <row r="147" spans="2:18" x14ac:dyDescent="0.25">
      <c r="B147" s="46"/>
      <c r="D147" s="46"/>
      <c r="F147" s="46"/>
      <c r="L147" s="46"/>
      <c r="N147" s="46"/>
      <c r="P147" s="46"/>
      <c r="R147" s="46"/>
    </row>
    <row r="148" spans="2:18" x14ac:dyDescent="0.25">
      <c r="B148" s="46"/>
      <c r="D148" s="46"/>
      <c r="F148" s="46"/>
      <c r="L148" s="46"/>
      <c r="N148" s="46"/>
      <c r="P148" s="46"/>
      <c r="R148" s="46"/>
    </row>
    <row r="149" spans="2:18" x14ac:dyDescent="0.25">
      <c r="B149" s="46"/>
      <c r="D149" s="46"/>
      <c r="F149" s="46"/>
      <c r="L149" s="46"/>
      <c r="N149" s="46"/>
      <c r="P149" s="46"/>
      <c r="R149" s="46"/>
    </row>
    <row r="150" spans="2:18" x14ac:dyDescent="0.25">
      <c r="B150" s="46"/>
      <c r="D150" s="46"/>
      <c r="F150" s="46"/>
      <c r="L150" s="46"/>
      <c r="N150" s="46"/>
      <c r="P150" s="46"/>
      <c r="R150" s="46"/>
    </row>
    <row r="151" spans="2:18" x14ac:dyDescent="0.25">
      <c r="B151" s="46"/>
      <c r="D151" s="46"/>
      <c r="F151" s="46"/>
      <c r="L151" s="46"/>
      <c r="N151" s="46"/>
      <c r="P151" s="46"/>
      <c r="R151" s="46"/>
    </row>
    <row r="152" spans="2:18" x14ac:dyDescent="0.25">
      <c r="B152" s="46"/>
      <c r="D152" s="46"/>
      <c r="F152" s="46"/>
      <c r="L152" s="46"/>
      <c r="N152" s="46"/>
      <c r="P152" s="46"/>
      <c r="R152" s="46"/>
    </row>
    <row r="153" spans="2:18" x14ac:dyDescent="0.25">
      <c r="B153" s="46"/>
      <c r="D153" s="46"/>
      <c r="F153" s="46"/>
      <c r="L153" s="46"/>
      <c r="N153" s="46"/>
      <c r="P153" s="46"/>
      <c r="R153" s="46"/>
    </row>
    <row r="154" spans="2:18" x14ac:dyDescent="0.25">
      <c r="B154" s="46"/>
      <c r="D154" s="46"/>
      <c r="F154" s="46"/>
      <c r="L154" s="46"/>
      <c r="N154" s="46"/>
      <c r="P154" s="46"/>
      <c r="R154" s="46"/>
    </row>
    <row r="155" spans="2:18" x14ac:dyDescent="0.25">
      <c r="B155" s="46"/>
      <c r="D155" s="46"/>
      <c r="F155" s="46"/>
      <c r="L155" s="46"/>
      <c r="N155" s="46"/>
      <c r="P155" s="46"/>
      <c r="R155" s="46"/>
    </row>
    <row r="156" spans="2:18" x14ac:dyDescent="0.25">
      <c r="B156" s="46"/>
      <c r="D156" s="46"/>
      <c r="F156" s="46"/>
      <c r="L156" s="46"/>
      <c r="N156" s="46"/>
      <c r="P156" s="46"/>
      <c r="R156" s="46"/>
    </row>
    <row r="157" spans="2:18" x14ac:dyDescent="0.25">
      <c r="B157" s="46"/>
      <c r="D157" s="46"/>
      <c r="F157" s="46"/>
      <c r="L157" s="46"/>
      <c r="N157" s="46"/>
      <c r="P157" s="46"/>
      <c r="R157" s="46"/>
    </row>
    <row r="158" spans="2:18" x14ac:dyDescent="0.25">
      <c r="B158" s="46"/>
      <c r="D158" s="46"/>
      <c r="F158" s="46"/>
      <c r="L158" s="46"/>
      <c r="N158" s="46"/>
      <c r="P158" s="46"/>
      <c r="R158" s="46"/>
    </row>
    <row r="159" spans="2:18" x14ac:dyDescent="0.25">
      <c r="B159" s="46"/>
      <c r="D159" s="46"/>
      <c r="F159" s="46"/>
      <c r="L159" s="46"/>
      <c r="N159" s="46"/>
      <c r="P159" s="46"/>
      <c r="R159" s="46"/>
    </row>
    <row r="160" spans="2:18" x14ac:dyDescent="0.25">
      <c r="B160" s="46"/>
      <c r="D160" s="46"/>
      <c r="F160" s="46"/>
      <c r="L160" s="46"/>
      <c r="N160" s="46"/>
      <c r="P160" s="46"/>
      <c r="R160" s="46"/>
    </row>
    <row r="161" spans="2:18" x14ac:dyDescent="0.25">
      <c r="B161" s="46"/>
      <c r="D161" s="46"/>
      <c r="F161" s="46"/>
      <c r="L161" s="46"/>
      <c r="N161" s="46"/>
      <c r="P161" s="46"/>
      <c r="R161" s="46"/>
    </row>
    <row r="162" spans="2:18" x14ac:dyDescent="0.25">
      <c r="B162" s="46"/>
      <c r="D162" s="46"/>
      <c r="F162" s="46"/>
      <c r="L162" s="46"/>
      <c r="N162" s="46"/>
      <c r="P162" s="46"/>
      <c r="R162" s="46"/>
    </row>
    <row r="163" spans="2:18" x14ac:dyDescent="0.25">
      <c r="B163" s="46"/>
      <c r="D163" s="46"/>
      <c r="F163" s="46"/>
      <c r="L163" s="46"/>
      <c r="N163" s="46"/>
      <c r="P163" s="46"/>
      <c r="R163" s="46"/>
    </row>
    <row r="164" spans="2:18" x14ac:dyDescent="0.25">
      <c r="B164" s="46"/>
      <c r="D164" s="46"/>
      <c r="F164" s="46"/>
      <c r="L164" s="46"/>
      <c r="N164" s="46"/>
      <c r="P164" s="46"/>
      <c r="R164" s="46"/>
    </row>
    <row r="165" spans="2:18" x14ac:dyDescent="0.25">
      <c r="B165" s="46"/>
      <c r="D165" s="46"/>
      <c r="F165" s="46"/>
      <c r="L165" s="46"/>
      <c r="N165" s="46"/>
      <c r="P165" s="46"/>
      <c r="R165" s="46"/>
    </row>
    <row r="166" spans="2:18" x14ac:dyDescent="0.25">
      <c r="B166" s="46"/>
      <c r="D166" s="46"/>
      <c r="F166" s="46"/>
      <c r="L166" s="46"/>
      <c r="N166" s="46"/>
      <c r="P166" s="46"/>
      <c r="R166" s="46"/>
    </row>
    <row r="167" spans="2:18" x14ac:dyDescent="0.25">
      <c r="B167" s="46"/>
      <c r="D167" s="46"/>
      <c r="F167" s="46"/>
      <c r="L167" s="46"/>
      <c r="N167" s="46"/>
      <c r="P167" s="46"/>
      <c r="R167" s="46"/>
    </row>
    <row r="168" spans="2:18" x14ac:dyDescent="0.25">
      <c r="B168" s="46"/>
      <c r="D168" s="46"/>
      <c r="F168" s="46"/>
      <c r="L168" s="46"/>
      <c r="N168" s="46"/>
      <c r="P168" s="46"/>
      <c r="R168" s="46"/>
    </row>
    <row r="169" spans="2:18" x14ac:dyDescent="0.25">
      <c r="B169" s="46"/>
      <c r="D169" s="46"/>
      <c r="F169" s="46"/>
      <c r="L169" s="46"/>
      <c r="N169" s="46"/>
      <c r="P169" s="46"/>
      <c r="R169" s="46"/>
    </row>
    <row r="170" spans="2:18" x14ac:dyDescent="0.25">
      <c r="B170" s="46"/>
      <c r="D170" s="46"/>
      <c r="F170" s="46"/>
      <c r="L170" s="46"/>
      <c r="N170" s="46"/>
      <c r="P170" s="46"/>
      <c r="R170" s="46"/>
    </row>
    <row r="171" spans="2:18" x14ac:dyDescent="0.25">
      <c r="B171" s="46"/>
      <c r="D171" s="46"/>
      <c r="F171" s="46"/>
      <c r="L171" s="46"/>
      <c r="N171" s="46"/>
      <c r="P171" s="46"/>
      <c r="R171" s="46"/>
    </row>
    <row r="172" spans="2:18" x14ac:dyDescent="0.25">
      <c r="B172" s="46"/>
      <c r="D172" s="46"/>
      <c r="F172" s="46"/>
      <c r="L172" s="46"/>
      <c r="N172" s="46"/>
      <c r="P172" s="46"/>
      <c r="R172" s="46"/>
    </row>
    <row r="173" spans="2:18" x14ac:dyDescent="0.25">
      <c r="B173" s="46"/>
      <c r="D173" s="46"/>
      <c r="F173" s="46"/>
      <c r="L173" s="46"/>
      <c r="N173" s="46"/>
      <c r="P173" s="46"/>
      <c r="R173" s="46"/>
    </row>
    <row r="174" spans="2:18" x14ac:dyDescent="0.25">
      <c r="B174" s="46"/>
      <c r="D174" s="46"/>
      <c r="F174" s="46"/>
      <c r="L174" s="46"/>
      <c r="N174" s="46"/>
      <c r="P174" s="46"/>
      <c r="R174" s="46"/>
    </row>
    <row r="175" spans="2:18" x14ac:dyDescent="0.25">
      <c r="B175" s="46"/>
      <c r="D175" s="46"/>
      <c r="F175" s="46"/>
      <c r="L175" s="46"/>
      <c r="N175" s="46"/>
      <c r="P175" s="46"/>
      <c r="R175" s="46"/>
    </row>
    <row r="176" spans="2:18" x14ac:dyDescent="0.25">
      <c r="B176" s="46"/>
      <c r="D176" s="46"/>
      <c r="F176" s="46"/>
      <c r="L176" s="46"/>
      <c r="N176" s="46"/>
      <c r="P176" s="46"/>
      <c r="R176" s="46"/>
    </row>
    <row r="177" spans="2:18" x14ac:dyDescent="0.25">
      <c r="B177" s="46"/>
      <c r="D177" s="46"/>
      <c r="F177" s="46"/>
      <c r="L177" s="46"/>
      <c r="N177" s="46"/>
      <c r="P177" s="46"/>
      <c r="R177" s="46"/>
    </row>
    <row r="178" spans="2:18" x14ac:dyDescent="0.25">
      <c r="B178" s="46"/>
      <c r="D178" s="46"/>
      <c r="F178" s="46"/>
      <c r="L178" s="46"/>
      <c r="N178" s="46"/>
      <c r="P178" s="46"/>
      <c r="R178" s="46"/>
    </row>
    <row r="179" spans="2:18" x14ac:dyDescent="0.25">
      <c r="B179" s="46"/>
      <c r="D179" s="46"/>
      <c r="F179" s="46"/>
      <c r="L179" s="46"/>
      <c r="N179" s="46"/>
      <c r="P179" s="46"/>
      <c r="R179" s="46"/>
    </row>
    <row r="180" spans="2:18" x14ac:dyDescent="0.25">
      <c r="B180" s="46"/>
      <c r="D180" s="46"/>
      <c r="F180" s="46"/>
      <c r="L180" s="46"/>
      <c r="N180" s="46"/>
      <c r="P180" s="46"/>
      <c r="R180" s="46"/>
    </row>
    <row r="181" spans="2:18" x14ac:dyDescent="0.25">
      <c r="B181" s="46"/>
      <c r="D181" s="46"/>
      <c r="F181" s="46"/>
      <c r="L181" s="46"/>
      <c r="N181" s="46"/>
      <c r="P181" s="46"/>
      <c r="R181" s="46"/>
    </row>
    <row r="182" spans="2:18" x14ac:dyDescent="0.25">
      <c r="B182" s="46"/>
      <c r="D182" s="46"/>
      <c r="F182" s="46"/>
      <c r="L182" s="46"/>
      <c r="N182" s="46"/>
      <c r="P182" s="46"/>
      <c r="R182" s="46"/>
    </row>
    <row r="183" spans="2:18" x14ac:dyDescent="0.25">
      <c r="B183" s="46"/>
      <c r="D183" s="46"/>
      <c r="F183" s="46"/>
      <c r="L183" s="46"/>
      <c r="N183" s="46"/>
      <c r="P183" s="46"/>
      <c r="R183" s="46"/>
    </row>
    <row r="184" spans="2:18" x14ac:dyDescent="0.25">
      <c r="B184" s="46"/>
      <c r="D184" s="46"/>
      <c r="F184" s="46"/>
      <c r="L184" s="46"/>
      <c r="N184" s="46"/>
      <c r="P184" s="46"/>
      <c r="R184" s="46"/>
    </row>
    <row r="185" spans="2:18" x14ac:dyDescent="0.25">
      <c r="B185" s="46"/>
      <c r="D185" s="46"/>
      <c r="F185" s="46"/>
      <c r="L185" s="46"/>
      <c r="N185" s="46"/>
      <c r="P185" s="46"/>
      <c r="R185" s="46"/>
    </row>
    <row r="186" spans="2:18" x14ac:dyDescent="0.25">
      <c r="B186" s="46"/>
      <c r="D186" s="46"/>
      <c r="F186" s="46"/>
      <c r="L186" s="46"/>
      <c r="N186" s="46"/>
      <c r="P186" s="46"/>
      <c r="R186" s="46"/>
    </row>
    <row r="187" spans="2:18" x14ac:dyDescent="0.25">
      <c r="B187" s="46"/>
      <c r="D187" s="46"/>
      <c r="F187" s="46"/>
      <c r="L187" s="46"/>
      <c r="N187" s="46"/>
      <c r="P187" s="46"/>
      <c r="R187" s="46"/>
    </row>
    <row r="188" spans="2:18" x14ac:dyDescent="0.25">
      <c r="B188" s="46"/>
      <c r="D188" s="46"/>
      <c r="F188" s="46"/>
      <c r="L188" s="46"/>
      <c r="N188" s="46"/>
      <c r="P188" s="46"/>
      <c r="R188" s="46"/>
    </row>
    <row r="189" spans="2:18" x14ac:dyDescent="0.25">
      <c r="B189" s="46"/>
      <c r="D189" s="46"/>
      <c r="F189" s="46"/>
      <c r="L189" s="46"/>
      <c r="N189" s="46"/>
      <c r="P189" s="46"/>
      <c r="R189" s="46"/>
    </row>
    <row r="190" spans="2:18" x14ac:dyDescent="0.25">
      <c r="B190" s="46"/>
      <c r="D190" s="46"/>
      <c r="F190" s="46"/>
      <c r="L190" s="46"/>
      <c r="N190" s="46"/>
      <c r="P190" s="46"/>
      <c r="R190" s="46"/>
    </row>
    <row r="191" spans="2:18" x14ac:dyDescent="0.25">
      <c r="B191" s="46"/>
      <c r="D191" s="46"/>
      <c r="F191" s="46"/>
      <c r="L191" s="46"/>
      <c r="N191" s="46"/>
      <c r="P191" s="46"/>
      <c r="R191" s="46"/>
    </row>
    <row r="192" spans="2:18" x14ac:dyDescent="0.25">
      <c r="B192" s="46"/>
      <c r="D192" s="46"/>
      <c r="F192" s="46"/>
      <c r="L192" s="46"/>
      <c r="N192" s="46"/>
      <c r="P192" s="46"/>
      <c r="R192" s="46"/>
    </row>
    <row r="193" spans="2:18" x14ac:dyDescent="0.25">
      <c r="B193" s="46"/>
      <c r="D193" s="46"/>
      <c r="F193" s="46"/>
      <c r="L193" s="46"/>
      <c r="N193" s="46"/>
      <c r="P193" s="46"/>
      <c r="R193" s="46"/>
    </row>
    <row r="194" spans="2:18" x14ac:dyDescent="0.25">
      <c r="B194" s="46"/>
      <c r="D194" s="46"/>
      <c r="F194" s="46"/>
      <c r="L194" s="46"/>
      <c r="N194" s="46"/>
      <c r="P194" s="46"/>
      <c r="R194" s="46"/>
    </row>
    <row r="195" spans="2:18" x14ac:dyDescent="0.25">
      <c r="B195" s="46"/>
      <c r="D195" s="46"/>
      <c r="F195" s="46"/>
      <c r="L195" s="46"/>
      <c r="N195" s="46"/>
      <c r="P195" s="46"/>
      <c r="R195" s="46"/>
    </row>
    <row r="196" spans="2:18" x14ac:dyDescent="0.25">
      <c r="B196" s="46"/>
      <c r="D196" s="46"/>
      <c r="F196" s="46"/>
      <c r="L196" s="46"/>
      <c r="N196" s="46"/>
      <c r="P196" s="46"/>
      <c r="R196" s="46"/>
    </row>
    <row r="197" spans="2:18" x14ac:dyDescent="0.25">
      <c r="B197" s="46"/>
      <c r="D197" s="46"/>
      <c r="F197" s="46"/>
      <c r="L197" s="46"/>
      <c r="N197" s="46"/>
      <c r="P197" s="46"/>
      <c r="R197" s="46"/>
    </row>
    <row r="198" spans="2:18" x14ac:dyDescent="0.25">
      <c r="B198" s="46"/>
      <c r="D198" s="46"/>
      <c r="F198" s="46"/>
      <c r="L198" s="46"/>
      <c r="N198" s="46"/>
      <c r="P198" s="46"/>
      <c r="R198" s="46"/>
    </row>
    <row r="199" spans="2:18" x14ac:dyDescent="0.25">
      <c r="B199" s="46"/>
      <c r="D199" s="46"/>
      <c r="F199" s="46"/>
      <c r="L199" s="46"/>
      <c r="N199" s="46"/>
      <c r="P199" s="46"/>
      <c r="R199" s="46"/>
    </row>
    <row r="200" spans="2:18" x14ac:dyDescent="0.25">
      <c r="B200" s="46"/>
      <c r="D200" s="46"/>
      <c r="F200" s="46"/>
      <c r="L200" s="46"/>
      <c r="N200" s="46"/>
      <c r="P200" s="46"/>
      <c r="R200" s="46"/>
    </row>
    <row r="201" spans="2:18" x14ac:dyDescent="0.25">
      <c r="B201" s="46"/>
      <c r="D201" s="46"/>
      <c r="F201" s="46"/>
      <c r="L201" s="46"/>
      <c r="N201" s="46"/>
      <c r="P201" s="46"/>
      <c r="R201" s="46"/>
    </row>
    <row r="202" spans="2:18" x14ac:dyDescent="0.25">
      <c r="B202" s="46"/>
      <c r="D202" s="46"/>
      <c r="F202" s="46"/>
      <c r="L202" s="46"/>
      <c r="N202" s="46"/>
      <c r="P202" s="46"/>
      <c r="R202" s="46"/>
    </row>
    <row r="203" spans="2:18" x14ac:dyDescent="0.25">
      <c r="B203" s="46"/>
      <c r="D203" s="46"/>
      <c r="F203" s="46"/>
      <c r="L203" s="46"/>
      <c r="N203" s="46"/>
      <c r="P203" s="46"/>
      <c r="R203" s="46"/>
    </row>
    <row r="204" spans="2:18" x14ac:dyDescent="0.25">
      <c r="B204" s="46"/>
      <c r="D204" s="46"/>
      <c r="F204" s="46"/>
      <c r="L204" s="46"/>
      <c r="N204" s="46"/>
      <c r="P204" s="46"/>
      <c r="R204" s="46"/>
    </row>
    <row r="205" spans="2:18" x14ac:dyDescent="0.25">
      <c r="B205" s="46"/>
      <c r="D205" s="46"/>
      <c r="F205" s="46"/>
      <c r="L205" s="46"/>
      <c r="N205" s="46"/>
      <c r="P205" s="46"/>
      <c r="R205" s="46"/>
    </row>
    <row r="206" spans="2:18" x14ac:dyDescent="0.25">
      <c r="B206" s="46"/>
      <c r="D206" s="46"/>
      <c r="F206" s="46"/>
      <c r="L206" s="46"/>
      <c r="N206" s="46"/>
      <c r="P206" s="46"/>
      <c r="R206" s="46"/>
    </row>
    <row r="207" spans="2:18" x14ac:dyDescent="0.25">
      <c r="B207" s="46"/>
      <c r="D207" s="46"/>
      <c r="F207" s="46"/>
      <c r="L207" s="46"/>
      <c r="N207" s="46"/>
      <c r="P207" s="46"/>
      <c r="R207" s="46"/>
    </row>
    <row r="208" spans="2:18" x14ac:dyDescent="0.25">
      <c r="B208" s="46"/>
      <c r="D208" s="46"/>
      <c r="F208" s="46"/>
      <c r="L208" s="46"/>
      <c r="N208" s="46"/>
      <c r="P208" s="46"/>
      <c r="R208" s="46"/>
    </row>
    <row r="209" spans="2:18" x14ac:dyDescent="0.25">
      <c r="B209" s="46"/>
      <c r="D209" s="46"/>
      <c r="F209" s="46"/>
      <c r="L209" s="46"/>
      <c r="N209" s="46"/>
      <c r="P209" s="46"/>
      <c r="R209" s="46"/>
    </row>
    <row r="210" spans="2:18" x14ac:dyDescent="0.25">
      <c r="B210" s="46"/>
      <c r="D210" s="46"/>
      <c r="F210" s="46"/>
      <c r="L210" s="46"/>
      <c r="N210" s="46"/>
      <c r="P210" s="46"/>
      <c r="R210" s="46"/>
    </row>
    <row r="211" spans="2:18" x14ac:dyDescent="0.25">
      <c r="B211" s="46"/>
      <c r="D211" s="46"/>
      <c r="F211" s="46"/>
      <c r="L211" s="46"/>
      <c r="N211" s="46"/>
      <c r="P211" s="46"/>
      <c r="R211" s="46"/>
    </row>
    <row r="212" spans="2:18" x14ac:dyDescent="0.25">
      <c r="B212" s="46"/>
      <c r="D212" s="46"/>
      <c r="F212" s="46"/>
      <c r="L212" s="46"/>
      <c r="N212" s="46"/>
      <c r="P212" s="46"/>
      <c r="R212" s="46"/>
    </row>
    <row r="213" spans="2:18" x14ac:dyDescent="0.25">
      <c r="B213" s="46"/>
      <c r="D213" s="46"/>
      <c r="F213" s="46"/>
      <c r="L213" s="46"/>
      <c r="N213" s="46"/>
      <c r="P213" s="46"/>
      <c r="R213" s="46"/>
    </row>
    <row r="214" spans="2:18" x14ac:dyDescent="0.25">
      <c r="B214" s="46"/>
      <c r="D214" s="46"/>
      <c r="F214" s="46"/>
      <c r="L214" s="46"/>
      <c r="N214" s="46"/>
      <c r="P214" s="46"/>
      <c r="R214" s="46"/>
    </row>
    <row r="215" spans="2:18" x14ac:dyDescent="0.25">
      <c r="B215" s="46"/>
      <c r="D215" s="46"/>
      <c r="F215" s="46"/>
      <c r="L215" s="46"/>
      <c r="N215" s="46"/>
      <c r="P215" s="46"/>
      <c r="R215" s="46"/>
    </row>
    <row r="216" spans="2:18" x14ac:dyDescent="0.25">
      <c r="B216" s="46"/>
      <c r="D216" s="46"/>
      <c r="F216" s="46"/>
      <c r="L216" s="46"/>
      <c r="N216" s="46"/>
      <c r="P216" s="46"/>
      <c r="R216" s="46"/>
    </row>
    <row r="217" spans="2:18" x14ac:dyDescent="0.25">
      <c r="B217" s="46"/>
      <c r="D217" s="46"/>
      <c r="F217" s="46"/>
      <c r="L217" s="46"/>
      <c r="N217" s="46"/>
      <c r="P217" s="46"/>
      <c r="R217" s="46"/>
    </row>
    <row r="218" spans="2:18" x14ac:dyDescent="0.25">
      <c r="B218" s="46"/>
      <c r="D218" s="46"/>
      <c r="F218" s="46"/>
      <c r="L218" s="46"/>
      <c r="N218" s="46"/>
      <c r="P218" s="46"/>
      <c r="R218" s="46"/>
    </row>
    <row r="219" spans="2:18" x14ac:dyDescent="0.25">
      <c r="B219" s="46"/>
      <c r="D219" s="46"/>
      <c r="F219" s="46"/>
      <c r="L219" s="46"/>
      <c r="N219" s="46"/>
      <c r="P219" s="46"/>
      <c r="R219" s="46"/>
    </row>
    <row r="220" spans="2:18" x14ac:dyDescent="0.25">
      <c r="B220" s="46"/>
      <c r="D220" s="46"/>
      <c r="F220" s="46"/>
      <c r="L220" s="46"/>
      <c r="N220" s="46"/>
      <c r="P220" s="46"/>
      <c r="R220" s="46"/>
    </row>
    <row r="221" spans="2:18" x14ac:dyDescent="0.25">
      <c r="B221" s="46"/>
      <c r="D221" s="46"/>
      <c r="F221" s="46"/>
      <c r="L221" s="46"/>
      <c r="N221" s="46"/>
      <c r="P221" s="46"/>
      <c r="R221" s="46"/>
    </row>
    <row r="222" spans="2:18" x14ac:dyDescent="0.25">
      <c r="B222" s="46"/>
      <c r="D222" s="46"/>
      <c r="F222" s="46"/>
      <c r="L222" s="46"/>
      <c r="N222" s="46"/>
      <c r="P222" s="46"/>
      <c r="R222" s="46"/>
    </row>
    <row r="223" spans="2:18" x14ac:dyDescent="0.25">
      <c r="B223" s="46"/>
      <c r="D223" s="46"/>
      <c r="F223" s="46"/>
      <c r="L223" s="46"/>
      <c r="N223" s="46"/>
      <c r="P223" s="46"/>
      <c r="R223" s="46"/>
    </row>
    <row r="224" spans="2:18" x14ac:dyDescent="0.25">
      <c r="B224" s="46"/>
      <c r="D224" s="46"/>
      <c r="F224" s="46"/>
      <c r="L224" s="46"/>
      <c r="N224" s="46"/>
      <c r="P224" s="46"/>
      <c r="R224" s="46"/>
    </row>
    <row r="225" spans="2:18" x14ac:dyDescent="0.25">
      <c r="B225" s="46"/>
      <c r="D225" s="46"/>
      <c r="F225" s="46"/>
      <c r="L225" s="46"/>
      <c r="N225" s="46"/>
      <c r="P225" s="46"/>
      <c r="R225" s="46"/>
    </row>
    <row r="226" spans="2:18" x14ac:dyDescent="0.25">
      <c r="B226" s="46"/>
      <c r="D226" s="46"/>
      <c r="F226" s="46"/>
      <c r="L226" s="46"/>
      <c r="N226" s="46"/>
      <c r="P226" s="46"/>
      <c r="R226" s="46"/>
    </row>
    <row r="227" spans="2:18" x14ac:dyDescent="0.25">
      <c r="B227" s="46"/>
      <c r="D227" s="46"/>
      <c r="F227" s="46"/>
      <c r="L227" s="46"/>
      <c r="N227" s="46"/>
      <c r="P227" s="46"/>
      <c r="R227" s="46"/>
    </row>
    <row r="228" spans="2:18" x14ac:dyDescent="0.25">
      <c r="B228" s="46"/>
      <c r="D228" s="46"/>
      <c r="F228" s="46"/>
      <c r="L228" s="46"/>
      <c r="N228" s="46"/>
      <c r="P228" s="46"/>
      <c r="R228" s="46"/>
    </row>
    <row r="229" spans="2:18" x14ac:dyDescent="0.25">
      <c r="B229" s="46"/>
      <c r="D229" s="46"/>
      <c r="F229" s="46"/>
      <c r="L229" s="46"/>
      <c r="N229" s="46"/>
      <c r="P229" s="46"/>
      <c r="R229" s="46"/>
    </row>
    <row r="230" spans="2:18" x14ac:dyDescent="0.25">
      <c r="B230" s="46"/>
      <c r="D230" s="46"/>
      <c r="F230" s="46"/>
      <c r="L230" s="46"/>
      <c r="N230" s="46"/>
      <c r="P230" s="46"/>
      <c r="R230" s="46"/>
    </row>
    <row r="231" spans="2:18" x14ac:dyDescent="0.25">
      <c r="B231" s="46"/>
      <c r="D231" s="46"/>
      <c r="F231" s="46"/>
      <c r="L231" s="46"/>
      <c r="N231" s="46"/>
      <c r="P231" s="46"/>
      <c r="R231" s="46"/>
    </row>
    <row r="232" spans="2:18" x14ac:dyDescent="0.25">
      <c r="B232" s="46"/>
      <c r="D232" s="46"/>
      <c r="F232" s="46"/>
      <c r="L232" s="46"/>
      <c r="N232" s="46"/>
      <c r="P232" s="46"/>
      <c r="R232" s="46"/>
    </row>
    <row r="233" spans="2:18" x14ac:dyDescent="0.25">
      <c r="B233" s="46"/>
      <c r="D233" s="46"/>
      <c r="F233" s="46"/>
      <c r="L233" s="46"/>
      <c r="N233" s="46"/>
      <c r="P233" s="46"/>
      <c r="R233" s="46"/>
    </row>
    <row r="234" spans="2:18" x14ac:dyDescent="0.25">
      <c r="B234" s="46"/>
      <c r="D234" s="46"/>
      <c r="F234" s="46"/>
      <c r="L234" s="46"/>
      <c r="N234" s="46"/>
      <c r="P234" s="46"/>
      <c r="R234" s="46"/>
    </row>
    <row r="235" spans="2:18" x14ac:dyDescent="0.25">
      <c r="B235" s="46"/>
      <c r="D235" s="46"/>
      <c r="F235" s="46"/>
      <c r="L235" s="46"/>
      <c r="N235" s="46"/>
      <c r="P235" s="46"/>
      <c r="R235" s="46"/>
    </row>
    <row r="236" spans="2:18" x14ac:dyDescent="0.25">
      <c r="B236" s="46"/>
      <c r="D236" s="46"/>
      <c r="F236" s="46"/>
      <c r="L236" s="46"/>
      <c r="N236" s="46"/>
      <c r="P236" s="46"/>
      <c r="R236" s="46"/>
    </row>
    <row r="237" spans="2:18" x14ac:dyDescent="0.25">
      <c r="B237" s="46"/>
      <c r="D237" s="46"/>
      <c r="F237" s="46"/>
      <c r="L237" s="46"/>
      <c r="N237" s="46"/>
      <c r="P237" s="46"/>
      <c r="R237" s="46"/>
    </row>
    <row r="238" spans="2:18" x14ac:dyDescent="0.25">
      <c r="B238" s="46"/>
      <c r="D238" s="46"/>
      <c r="F238" s="46"/>
      <c r="L238" s="46"/>
      <c r="N238" s="46"/>
      <c r="P238" s="46"/>
      <c r="R238" s="46"/>
    </row>
    <row r="239" spans="2:18" x14ac:dyDescent="0.25">
      <c r="B239" s="46"/>
      <c r="D239" s="46"/>
      <c r="F239" s="46"/>
      <c r="L239" s="46"/>
      <c r="N239" s="46"/>
      <c r="P239" s="46"/>
      <c r="R239" s="46"/>
    </row>
    <row r="240" spans="2:18" x14ac:dyDescent="0.25">
      <c r="B240" s="46"/>
      <c r="D240" s="46"/>
      <c r="F240" s="46"/>
      <c r="L240" s="46"/>
      <c r="N240" s="46"/>
      <c r="P240" s="46"/>
      <c r="R240" s="46"/>
    </row>
    <row r="241" spans="2:18" x14ac:dyDescent="0.25">
      <c r="B241" s="46"/>
      <c r="D241" s="46"/>
      <c r="F241" s="46"/>
      <c r="L241" s="46"/>
      <c r="N241" s="46"/>
      <c r="P241" s="46"/>
      <c r="R241" s="46"/>
    </row>
    <row r="242" spans="2:18" x14ac:dyDescent="0.25">
      <c r="B242" s="46"/>
      <c r="D242" s="46"/>
      <c r="F242" s="46"/>
      <c r="L242" s="46"/>
      <c r="N242" s="46"/>
      <c r="P242" s="46"/>
      <c r="R242" s="46"/>
    </row>
    <row r="243" spans="2:18" x14ac:dyDescent="0.25">
      <c r="B243" s="46"/>
      <c r="D243" s="46"/>
      <c r="F243" s="46"/>
      <c r="L243" s="46"/>
      <c r="N243" s="46"/>
      <c r="P243" s="46"/>
      <c r="R243" s="46"/>
    </row>
    <row r="244" spans="2:18" x14ac:dyDescent="0.25">
      <c r="B244" s="46"/>
      <c r="D244" s="46"/>
      <c r="F244" s="46"/>
      <c r="L244" s="46"/>
      <c r="N244" s="46"/>
      <c r="P244" s="46"/>
      <c r="R244" s="46"/>
    </row>
    <row r="245" spans="2:18" x14ac:dyDescent="0.25">
      <c r="B245" s="46"/>
      <c r="D245" s="46"/>
      <c r="F245" s="46"/>
      <c r="L245" s="46"/>
      <c r="N245" s="46"/>
      <c r="P245" s="46"/>
      <c r="R245" s="46"/>
    </row>
    <row r="246" spans="2:18" x14ac:dyDescent="0.25">
      <c r="B246" s="46"/>
      <c r="D246" s="46"/>
      <c r="F246" s="46"/>
      <c r="L246" s="46"/>
      <c r="N246" s="46"/>
      <c r="P246" s="46"/>
      <c r="R246" s="46"/>
    </row>
    <row r="247" spans="2:18" x14ac:dyDescent="0.25">
      <c r="B247" s="46"/>
      <c r="D247" s="46"/>
      <c r="F247" s="46"/>
      <c r="L247" s="46"/>
      <c r="N247" s="46"/>
      <c r="P247" s="46"/>
      <c r="R247" s="46"/>
    </row>
    <row r="248" spans="2:18" x14ac:dyDescent="0.25">
      <c r="B248" s="46"/>
      <c r="D248" s="46"/>
      <c r="F248" s="46"/>
      <c r="L248" s="46"/>
      <c r="N248" s="46"/>
      <c r="P248" s="46"/>
      <c r="R248" s="46"/>
    </row>
    <row r="249" spans="2:18" x14ac:dyDescent="0.25">
      <c r="B249" s="46"/>
      <c r="D249" s="46"/>
      <c r="F249" s="46"/>
      <c r="L249" s="46"/>
      <c r="N249" s="46"/>
      <c r="P249" s="46"/>
      <c r="R249" s="46"/>
    </row>
    <row r="250" spans="2:18" x14ac:dyDescent="0.25">
      <c r="B250" s="46"/>
      <c r="D250" s="46"/>
      <c r="F250" s="46"/>
      <c r="L250" s="46"/>
      <c r="N250" s="46"/>
      <c r="P250" s="46"/>
      <c r="R250" s="46"/>
    </row>
    <row r="251" spans="2:18" x14ac:dyDescent="0.25">
      <c r="B251" s="46"/>
      <c r="D251" s="46"/>
      <c r="F251" s="46"/>
      <c r="L251" s="46"/>
      <c r="N251" s="46"/>
      <c r="P251" s="46"/>
      <c r="R251" s="46"/>
    </row>
    <row r="252" spans="2:18" x14ac:dyDescent="0.25">
      <c r="B252" s="46"/>
      <c r="D252" s="46"/>
      <c r="F252" s="46"/>
      <c r="L252" s="46"/>
      <c r="N252" s="46"/>
      <c r="P252" s="46"/>
      <c r="R252" s="46"/>
    </row>
    <row r="253" spans="2:18" x14ac:dyDescent="0.25">
      <c r="B253" s="46"/>
      <c r="D253" s="46"/>
      <c r="F253" s="46"/>
      <c r="L253" s="46"/>
      <c r="N253" s="46"/>
      <c r="P253" s="46"/>
      <c r="R253" s="46"/>
    </row>
    <row r="254" spans="2:18" x14ac:dyDescent="0.25">
      <c r="B254" s="46"/>
      <c r="D254" s="46"/>
      <c r="F254" s="46"/>
      <c r="L254" s="46"/>
      <c r="N254" s="46"/>
      <c r="P254" s="46"/>
      <c r="R254" s="46"/>
    </row>
    <row r="255" spans="2:18" x14ac:dyDescent="0.25">
      <c r="B255" s="46"/>
      <c r="D255" s="46"/>
      <c r="F255" s="46"/>
      <c r="L255" s="46"/>
      <c r="N255" s="46"/>
      <c r="P255" s="46"/>
      <c r="R255" s="46"/>
    </row>
    <row r="256" spans="2:18" x14ac:dyDescent="0.25">
      <c r="B256" s="46"/>
      <c r="D256" s="46"/>
      <c r="F256" s="46"/>
      <c r="L256" s="46"/>
      <c r="N256" s="46"/>
      <c r="P256" s="46"/>
      <c r="R256" s="46"/>
    </row>
    <row r="257" spans="2:18" x14ac:dyDescent="0.25">
      <c r="B257" s="46"/>
      <c r="D257" s="46"/>
      <c r="F257" s="46"/>
      <c r="L257" s="46"/>
      <c r="N257" s="46"/>
      <c r="P257" s="46"/>
      <c r="R257" s="46"/>
    </row>
    <row r="258" spans="2:18" x14ac:dyDescent="0.25">
      <c r="B258" s="46"/>
      <c r="D258" s="46"/>
      <c r="F258" s="46"/>
      <c r="L258" s="46"/>
      <c r="N258" s="46"/>
      <c r="P258" s="46"/>
      <c r="R258" s="46"/>
    </row>
    <row r="259" spans="2:18" x14ac:dyDescent="0.25">
      <c r="B259" s="46"/>
      <c r="D259" s="46"/>
      <c r="F259" s="46"/>
      <c r="L259" s="46"/>
      <c r="N259" s="46"/>
      <c r="P259" s="46"/>
      <c r="R259" s="46"/>
    </row>
    <row r="260" spans="2:18" x14ac:dyDescent="0.25">
      <c r="B260" s="46"/>
      <c r="D260" s="46"/>
      <c r="F260" s="46"/>
      <c r="L260" s="46"/>
      <c r="N260" s="46"/>
      <c r="P260" s="46"/>
      <c r="R260" s="46"/>
    </row>
    <row r="261" spans="2:18" x14ac:dyDescent="0.25">
      <c r="B261" s="46"/>
      <c r="D261" s="46"/>
      <c r="F261" s="46"/>
      <c r="L261" s="46"/>
      <c r="N261" s="46"/>
      <c r="P261" s="46"/>
      <c r="R261" s="46"/>
    </row>
    <row r="262" spans="2:18" x14ac:dyDescent="0.25">
      <c r="B262" s="46"/>
      <c r="D262" s="46"/>
      <c r="F262" s="46"/>
      <c r="L262" s="46"/>
      <c r="N262" s="46"/>
      <c r="P262" s="46"/>
      <c r="R262" s="46"/>
    </row>
    <row r="263" spans="2:18" ht="15.75" thickBot="1" x14ac:dyDescent="0.3">
      <c r="B263" s="47"/>
      <c r="D263" s="47"/>
      <c r="F263" s="47"/>
      <c r="L263" s="47"/>
      <c r="N263" s="47"/>
      <c r="P263" s="47"/>
      <c r="R263" s="47"/>
    </row>
    <row r="264" spans="2:18" ht="15.75" thickBot="1" x14ac:dyDescent="0.3"/>
    <row r="265" spans="2:18" x14ac:dyDescent="0.25">
      <c r="L265" s="45" t="s">
        <v>978</v>
      </c>
    </row>
    <row r="266" spans="2:18" x14ac:dyDescent="0.25">
      <c r="L266" s="46"/>
    </row>
    <row r="267" spans="2:18" x14ac:dyDescent="0.25">
      <c r="L267" s="46"/>
    </row>
    <row r="268" spans="2:18" x14ac:dyDescent="0.25">
      <c r="L268" s="46"/>
    </row>
    <row r="269" spans="2:18" x14ac:dyDescent="0.25">
      <c r="L269" s="46"/>
    </row>
    <row r="270" spans="2:18" x14ac:dyDescent="0.25">
      <c r="L270" s="46"/>
    </row>
    <row r="271" spans="2:18" x14ac:dyDescent="0.25">
      <c r="L271" s="46"/>
    </row>
    <row r="272" spans="2:18" x14ac:dyDescent="0.25">
      <c r="L272" s="46"/>
    </row>
    <row r="273" spans="12:12" x14ac:dyDescent="0.25">
      <c r="L273" s="46"/>
    </row>
    <row r="274" spans="12:12" x14ac:dyDescent="0.25">
      <c r="L274" s="46"/>
    </row>
    <row r="275" spans="12:12" x14ac:dyDescent="0.25">
      <c r="L275" s="46"/>
    </row>
    <row r="276" spans="12:12" x14ac:dyDescent="0.25">
      <c r="L276" s="46"/>
    </row>
    <row r="277" spans="12:12" x14ac:dyDescent="0.25">
      <c r="L277" s="46"/>
    </row>
    <row r="278" spans="12:12" x14ac:dyDescent="0.25">
      <c r="L278" s="46"/>
    </row>
    <row r="279" spans="12:12" x14ac:dyDescent="0.25">
      <c r="L279" s="46"/>
    </row>
    <row r="280" spans="12:12" x14ac:dyDescent="0.25">
      <c r="L280" s="46"/>
    </row>
    <row r="281" spans="12:12" x14ac:dyDescent="0.25">
      <c r="L281" s="46"/>
    </row>
    <row r="282" spans="12:12" x14ac:dyDescent="0.25">
      <c r="L282" s="46"/>
    </row>
    <row r="283" spans="12:12" x14ac:dyDescent="0.25">
      <c r="L283" s="46"/>
    </row>
    <row r="284" spans="12:12" x14ac:dyDescent="0.25">
      <c r="L284" s="46"/>
    </row>
    <row r="285" spans="12:12" x14ac:dyDescent="0.25">
      <c r="L285" s="46"/>
    </row>
    <row r="286" spans="12:12" x14ac:dyDescent="0.25">
      <c r="L286" s="46"/>
    </row>
    <row r="287" spans="12:12" x14ac:dyDescent="0.25">
      <c r="L287" s="46"/>
    </row>
    <row r="288" spans="12:12" x14ac:dyDescent="0.25">
      <c r="L288" s="46"/>
    </row>
    <row r="289" spans="12:12" x14ac:dyDescent="0.25">
      <c r="L289" s="46"/>
    </row>
    <row r="290" spans="12:12" x14ac:dyDescent="0.25">
      <c r="L290" s="46"/>
    </row>
    <row r="291" spans="12:12" x14ac:dyDescent="0.25">
      <c r="L291" s="46"/>
    </row>
    <row r="292" spans="12:12" x14ac:dyDescent="0.25">
      <c r="L292" s="46"/>
    </row>
    <row r="293" spans="12:12" x14ac:dyDescent="0.25">
      <c r="L293" s="46"/>
    </row>
    <row r="294" spans="12:12" x14ac:dyDescent="0.25">
      <c r="L294" s="46"/>
    </row>
    <row r="295" spans="12:12" x14ac:dyDescent="0.25">
      <c r="L295" s="46"/>
    </row>
    <row r="296" spans="12:12" x14ac:dyDescent="0.25">
      <c r="L296" s="46"/>
    </row>
    <row r="297" spans="12:12" x14ac:dyDescent="0.25">
      <c r="L297" s="46"/>
    </row>
    <row r="298" spans="12:12" x14ac:dyDescent="0.25">
      <c r="L298" s="46"/>
    </row>
    <row r="299" spans="12:12" x14ac:dyDescent="0.25">
      <c r="L299" s="46"/>
    </row>
    <row r="300" spans="12:12" x14ac:dyDescent="0.25">
      <c r="L300" s="46"/>
    </row>
    <row r="301" spans="12:12" x14ac:dyDescent="0.25">
      <c r="L301" s="46"/>
    </row>
    <row r="302" spans="12:12" x14ac:dyDescent="0.25">
      <c r="L302" s="46"/>
    </row>
    <row r="303" spans="12:12" x14ac:dyDescent="0.25">
      <c r="L303" s="46"/>
    </row>
    <row r="304" spans="12:12" x14ac:dyDescent="0.25">
      <c r="L304" s="46"/>
    </row>
    <row r="305" spans="12:12" x14ac:dyDescent="0.25">
      <c r="L305" s="46"/>
    </row>
    <row r="306" spans="12:12" x14ac:dyDescent="0.25">
      <c r="L306" s="46"/>
    </row>
    <row r="307" spans="12:12" x14ac:dyDescent="0.25">
      <c r="L307" s="46"/>
    </row>
    <row r="308" spans="12:12" x14ac:dyDescent="0.25">
      <c r="L308" s="46"/>
    </row>
    <row r="309" spans="12:12" x14ac:dyDescent="0.25">
      <c r="L309" s="46"/>
    </row>
    <row r="310" spans="12:12" x14ac:dyDescent="0.25">
      <c r="L310" s="46"/>
    </row>
    <row r="311" spans="12:12" x14ac:dyDescent="0.25">
      <c r="L311" s="46"/>
    </row>
    <row r="312" spans="12:12" x14ac:dyDescent="0.25">
      <c r="L312" s="46"/>
    </row>
    <row r="313" spans="12:12" x14ac:dyDescent="0.25">
      <c r="L313" s="46"/>
    </row>
    <row r="314" spans="12:12" x14ac:dyDescent="0.25">
      <c r="L314" s="46"/>
    </row>
    <row r="315" spans="12:12" x14ac:dyDescent="0.25">
      <c r="L315" s="46"/>
    </row>
    <row r="316" spans="12:12" x14ac:dyDescent="0.25">
      <c r="L316" s="46"/>
    </row>
    <row r="317" spans="12:12" x14ac:dyDescent="0.25">
      <c r="L317" s="46"/>
    </row>
    <row r="318" spans="12:12" x14ac:dyDescent="0.25">
      <c r="L318" s="46"/>
    </row>
    <row r="319" spans="12:12" x14ac:dyDescent="0.25">
      <c r="L319" s="46"/>
    </row>
    <row r="320" spans="12:12" x14ac:dyDescent="0.25">
      <c r="L320" s="46"/>
    </row>
    <row r="321" spans="12:12" x14ac:dyDescent="0.25">
      <c r="L321" s="46"/>
    </row>
    <row r="322" spans="12:12" x14ac:dyDescent="0.25">
      <c r="L322" s="46"/>
    </row>
    <row r="323" spans="12:12" x14ac:dyDescent="0.25">
      <c r="L323" s="46"/>
    </row>
    <row r="324" spans="12:12" x14ac:dyDescent="0.25">
      <c r="L324" s="46"/>
    </row>
    <row r="325" spans="12:12" x14ac:dyDescent="0.25">
      <c r="L325" s="46"/>
    </row>
    <row r="326" spans="12:12" x14ac:dyDescent="0.25">
      <c r="L326" s="46"/>
    </row>
    <row r="327" spans="12:12" x14ac:dyDescent="0.25">
      <c r="L327" s="46"/>
    </row>
    <row r="328" spans="12:12" x14ac:dyDescent="0.25">
      <c r="L328" s="46"/>
    </row>
    <row r="329" spans="12:12" x14ac:dyDescent="0.25">
      <c r="L329" s="46"/>
    </row>
    <row r="330" spans="12:12" x14ac:dyDescent="0.25">
      <c r="L330" s="46"/>
    </row>
    <row r="331" spans="12:12" x14ac:dyDescent="0.25">
      <c r="L331" s="46"/>
    </row>
    <row r="332" spans="12:12" x14ac:dyDescent="0.25">
      <c r="L332" s="46"/>
    </row>
    <row r="333" spans="12:12" x14ac:dyDescent="0.25">
      <c r="L333" s="46"/>
    </row>
    <row r="334" spans="12:12" x14ac:dyDescent="0.25">
      <c r="L334" s="46"/>
    </row>
    <row r="335" spans="12:12" x14ac:dyDescent="0.25">
      <c r="L335" s="46"/>
    </row>
    <row r="336" spans="12:12" x14ac:dyDescent="0.25">
      <c r="L336" s="46"/>
    </row>
    <row r="337" spans="12:12" x14ac:dyDescent="0.25">
      <c r="L337" s="46"/>
    </row>
    <row r="338" spans="12:12" x14ac:dyDescent="0.25">
      <c r="L338" s="46"/>
    </row>
    <row r="339" spans="12:12" x14ac:dyDescent="0.25">
      <c r="L339" s="46"/>
    </row>
    <row r="340" spans="12:12" x14ac:dyDescent="0.25">
      <c r="L340" s="46"/>
    </row>
    <row r="341" spans="12:12" x14ac:dyDescent="0.25">
      <c r="L341" s="46"/>
    </row>
    <row r="342" spans="12:12" x14ac:dyDescent="0.25">
      <c r="L342" s="46"/>
    </row>
    <row r="343" spans="12:12" x14ac:dyDescent="0.25">
      <c r="L343" s="46"/>
    </row>
    <row r="344" spans="12:12" x14ac:dyDescent="0.25">
      <c r="L344" s="46"/>
    </row>
    <row r="345" spans="12:12" x14ac:dyDescent="0.25">
      <c r="L345" s="46"/>
    </row>
    <row r="346" spans="12:12" x14ac:dyDescent="0.25">
      <c r="L346" s="46"/>
    </row>
    <row r="347" spans="12:12" x14ac:dyDescent="0.25">
      <c r="L347" s="46"/>
    </row>
    <row r="348" spans="12:12" x14ac:dyDescent="0.25">
      <c r="L348" s="46"/>
    </row>
    <row r="349" spans="12:12" x14ac:dyDescent="0.25">
      <c r="L349" s="46"/>
    </row>
    <row r="350" spans="12:12" x14ac:dyDescent="0.25">
      <c r="L350" s="46"/>
    </row>
    <row r="351" spans="12:12" x14ac:dyDescent="0.25">
      <c r="L351" s="46"/>
    </row>
    <row r="352" spans="12:12" x14ac:dyDescent="0.25">
      <c r="L352" s="46"/>
    </row>
    <row r="353" spans="12:12" x14ac:dyDescent="0.25">
      <c r="L353" s="46"/>
    </row>
    <row r="354" spans="12:12" x14ac:dyDescent="0.25">
      <c r="L354" s="46"/>
    </row>
    <row r="355" spans="12:12" x14ac:dyDescent="0.25">
      <c r="L355" s="46"/>
    </row>
    <row r="356" spans="12:12" x14ac:dyDescent="0.25">
      <c r="L356" s="46"/>
    </row>
    <row r="357" spans="12:12" x14ac:dyDescent="0.25">
      <c r="L357" s="46"/>
    </row>
    <row r="358" spans="12:12" x14ac:dyDescent="0.25">
      <c r="L358" s="46"/>
    </row>
    <row r="359" spans="12:12" x14ac:dyDescent="0.25">
      <c r="L359" s="46"/>
    </row>
    <row r="360" spans="12:12" x14ac:dyDescent="0.25">
      <c r="L360" s="46"/>
    </row>
    <row r="361" spans="12:12" x14ac:dyDescent="0.25">
      <c r="L361" s="46"/>
    </row>
    <row r="362" spans="12:12" x14ac:dyDescent="0.25">
      <c r="L362" s="46"/>
    </row>
    <row r="363" spans="12:12" x14ac:dyDescent="0.25">
      <c r="L363" s="46"/>
    </row>
    <row r="364" spans="12:12" x14ac:dyDescent="0.25">
      <c r="L364" s="46"/>
    </row>
    <row r="365" spans="12:12" x14ac:dyDescent="0.25">
      <c r="L365" s="46"/>
    </row>
    <row r="366" spans="12:12" x14ac:dyDescent="0.25">
      <c r="L366" s="46"/>
    </row>
    <row r="367" spans="12:12" x14ac:dyDescent="0.25">
      <c r="L367" s="46"/>
    </row>
    <row r="368" spans="12:12" x14ac:dyDescent="0.25">
      <c r="L368" s="46"/>
    </row>
    <row r="369" spans="12:12" x14ac:dyDescent="0.25">
      <c r="L369" s="46"/>
    </row>
    <row r="370" spans="12:12" x14ac:dyDescent="0.25">
      <c r="L370" s="46"/>
    </row>
    <row r="371" spans="12:12" x14ac:dyDescent="0.25">
      <c r="L371" s="46"/>
    </row>
    <row r="372" spans="12:12" x14ac:dyDescent="0.25">
      <c r="L372" s="46"/>
    </row>
    <row r="373" spans="12:12" x14ac:dyDescent="0.25">
      <c r="L373" s="46"/>
    </row>
    <row r="374" spans="12:12" x14ac:dyDescent="0.25">
      <c r="L374" s="46"/>
    </row>
    <row r="375" spans="12:12" x14ac:dyDescent="0.25">
      <c r="L375" s="46"/>
    </row>
    <row r="376" spans="12:12" x14ac:dyDescent="0.25">
      <c r="L376" s="46"/>
    </row>
    <row r="377" spans="12:12" x14ac:dyDescent="0.25">
      <c r="L377" s="46"/>
    </row>
    <row r="378" spans="12:12" x14ac:dyDescent="0.25">
      <c r="L378" s="46"/>
    </row>
    <row r="379" spans="12:12" x14ac:dyDescent="0.25">
      <c r="L379" s="46"/>
    </row>
    <row r="380" spans="12:12" x14ac:dyDescent="0.25">
      <c r="L380" s="46"/>
    </row>
    <row r="381" spans="12:12" x14ac:dyDescent="0.25">
      <c r="L381" s="46"/>
    </row>
    <row r="382" spans="12:12" x14ac:dyDescent="0.25">
      <c r="L382" s="46"/>
    </row>
    <row r="383" spans="12:12" x14ac:dyDescent="0.25">
      <c r="L383" s="46"/>
    </row>
    <row r="384" spans="12:12" x14ac:dyDescent="0.25">
      <c r="L384" s="46"/>
    </row>
    <row r="385" spans="12:12" x14ac:dyDescent="0.25">
      <c r="L385" s="46"/>
    </row>
    <row r="386" spans="12:12" x14ac:dyDescent="0.25">
      <c r="L386" s="46"/>
    </row>
    <row r="387" spans="12:12" x14ac:dyDescent="0.25">
      <c r="L387" s="46"/>
    </row>
    <row r="388" spans="12:12" x14ac:dyDescent="0.25">
      <c r="L388" s="46"/>
    </row>
    <row r="389" spans="12:12" x14ac:dyDescent="0.25">
      <c r="L389" s="46"/>
    </row>
    <row r="390" spans="12:12" x14ac:dyDescent="0.25">
      <c r="L390" s="46"/>
    </row>
    <row r="391" spans="12:12" x14ac:dyDescent="0.25">
      <c r="L391" s="46"/>
    </row>
    <row r="392" spans="12:12" x14ac:dyDescent="0.25">
      <c r="L392" s="46"/>
    </row>
    <row r="393" spans="12:12" x14ac:dyDescent="0.25">
      <c r="L393" s="46"/>
    </row>
    <row r="394" spans="12:12" x14ac:dyDescent="0.25">
      <c r="L394" s="46"/>
    </row>
    <row r="395" spans="12:12" x14ac:dyDescent="0.25">
      <c r="L395" s="46"/>
    </row>
    <row r="396" spans="12:12" x14ac:dyDescent="0.25">
      <c r="L396" s="46"/>
    </row>
    <row r="397" spans="12:12" x14ac:dyDescent="0.25">
      <c r="L397" s="46"/>
    </row>
    <row r="398" spans="12:12" x14ac:dyDescent="0.25">
      <c r="L398" s="46"/>
    </row>
    <row r="399" spans="12:12" x14ac:dyDescent="0.25">
      <c r="L399" s="46"/>
    </row>
    <row r="400" spans="12:12" x14ac:dyDescent="0.25">
      <c r="L400" s="46"/>
    </row>
    <row r="401" spans="12:12" x14ac:dyDescent="0.25">
      <c r="L401" s="46"/>
    </row>
    <row r="402" spans="12:12" x14ac:dyDescent="0.25">
      <c r="L402" s="46"/>
    </row>
    <row r="403" spans="12:12" x14ac:dyDescent="0.25">
      <c r="L403" s="46"/>
    </row>
    <row r="404" spans="12:12" x14ac:dyDescent="0.25">
      <c r="L404" s="46"/>
    </row>
    <row r="405" spans="12:12" x14ac:dyDescent="0.25">
      <c r="L405" s="46"/>
    </row>
    <row r="406" spans="12:12" x14ac:dyDescent="0.25">
      <c r="L406" s="46"/>
    </row>
    <row r="407" spans="12:12" x14ac:dyDescent="0.25">
      <c r="L407" s="46"/>
    </row>
    <row r="408" spans="12:12" x14ac:dyDescent="0.25">
      <c r="L408" s="46"/>
    </row>
    <row r="409" spans="12:12" x14ac:dyDescent="0.25">
      <c r="L409" s="46"/>
    </row>
    <row r="410" spans="12:12" x14ac:dyDescent="0.25">
      <c r="L410" s="46"/>
    </row>
    <row r="411" spans="12:12" x14ac:dyDescent="0.25">
      <c r="L411" s="46"/>
    </row>
    <row r="412" spans="12:12" x14ac:dyDescent="0.25">
      <c r="L412" s="46"/>
    </row>
    <row r="413" spans="12:12" x14ac:dyDescent="0.25">
      <c r="L413" s="46"/>
    </row>
    <row r="414" spans="12:12" x14ac:dyDescent="0.25">
      <c r="L414" s="46"/>
    </row>
    <row r="415" spans="12:12" x14ac:dyDescent="0.25">
      <c r="L415" s="46"/>
    </row>
    <row r="416" spans="12:12" x14ac:dyDescent="0.25">
      <c r="L416" s="46"/>
    </row>
    <row r="417" spans="12:12" x14ac:dyDescent="0.25">
      <c r="L417" s="46"/>
    </row>
    <row r="418" spans="12:12" x14ac:dyDescent="0.25">
      <c r="L418" s="46"/>
    </row>
    <row r="419" spans="12:12" x14ac:dyDescent="0.25">
      <c r="L419" s="46"/>
    </row>
    <row r="420" spans="12:12" x14ac:dyDescent="0.25">
      <c r="L420" s="46"/>
    </row>
    <row r="421" spans="12:12" x14ac:dyDescent="0.25">
      <c r="L421" s="46"/>
    </row>
    <row r="422" spans="12:12" x14ac:dyDescent="0.25">
      <c r="L422" s="46"/>
    </row>
    <row r="423" spans="12:12" x14ac:dyDescent="0.25">
      <c r="L423" s="46"/>
    </row>
    <row r="424" spans="12:12" x14ac:dyDescent="0.25">
      <c r="L424" s="46"/>
    </row>
    <row r="425" spans="12:12" x14ac:dyDescent="0.25">
      <c r="L425" s="46"/>
    </row>
    <row r="426" spans="12:12" x14ac:dyDescent="0.25">
      <c r="L426" s="46"/>
    </row>
    <row r="427" spans="12:12" x14ac:dyDescent="0.25">
      <c r="L427" s="46"/>
    </row>
    <row r="428" spans="12:12" x14ac:dyDescent="0.25">
      <c r="L428" s="46"/>
    </row>
    <row r="429" spans="12:12" x14ac:dyDescent="0.25">
      <c r="L429" s="46"/>
    </row>
    <row r="430" spans="12:12" x14ac:dyDescent="0.25">
      <c r="L430" s="46"/>
    </row>
    <row r="431" spans="12:12" x14ac:dyDescent="0.25">
      <c r="L431" s="46"/>
    </row>
    <row r="432" spans="12:12" x14ac:dyDescent="0.25">
      <c r="L432" s="46"/>
    </row>
    <row r="433" spans="12:12" x14ac:dyDescent="0.25">
      <c r="L433" s="46"/>
    </row>
    <row r="434" spans="12:12" x14ac:dyDescent="0.25">
      <c r="L434" s="46"/>
    </row>
    <row r="435" spans="12:12" x14ac:dyDescent="0.25">
      <c r="L435" s="46"/>
    </row>
    <row r="436" spans="12:12" x14ac:dyDescent="0.25">
      <c r="L436" s="46"/>
    </row>
    <row r="437" spans="12:12" x14ac:dyDescent="0.25">
      <c r="L437" s="46"/>
    </row>
    <row r="438" spans="12:12" x14ac:dyDescent="0.25">
      <c r="L438" s="46"/>
    </row>
    <row r="439" spans="12:12" x14ac:dyDescent="0.25">
      <c r="L439" s="46"/>
    </row>
    <row r="440" spans="12:12" x14ac:dyDescent="0.25">
      <c r="L440" s="46"/>
    </row>
    <row r="441" spans="12:12" x14ac:dyDescent="0.25">
      <c r="L441" s="46"/>
    </row>
    <row r="442" spans="12:12" x14ac:dyDescent="0.25">
      <c r="L442" s="46"/>
    </row>
    <row r="443" spans="12:12" x14ac:dyDescent="0.25">
      <c r="L443" s="46"/>
    </row>
    <row r="444" spans="12:12" x14ac:dyDescent="0.25">
      <c r="L444" s="46"/>
    </row>
    <row r="445" spans="12:12" x14ac:dyDescent="0.25">
      <c r="L445" s="46"/>
    </row>
    <row r="446" spans="12:12" x14ac:dyDescent="0.25">
      <c r="L446" s="46"/>
    </row>
    <row r="447" spans="12:12" x14ac:dyDescent="0.25">
      <c r="L447" s="46"/>
    </row>
    <row r="448" spans="12:12" x14ac:dyDescent="0.25">
      <c r="L448" s="46"/>
    </row>
    <row r="449" spans="12:12" x14ac:dyDescent="0.25">
      <c r="L449" s="46"/>
    </row>
    <row r="450" spans="12:12" x14ac:dyDescent="0.25">
      <c r="L450" s="46"/>
    </row>
    <row r="451" spans="12:12" x14ac:dyDescent="0.25">
      <c r="L451" s="46"/>
    </row>
    <row r="452" spans="12:12" x14ac:dyDescent="0.25">
      <c r="L452" s="46"/>
    </row>
    <row r="453" spans="12:12" x14ac:dyDescent="0.25">
      <c r="L453" s="46"/>
    </row>
    <row r="454" spans="12:12" x14ac:dyDescent="0.25">
      <c r="L454" s="46"/>
    </row>
    <row r="455" spans="12:12" x14ac:dyDescent="0.25">
      <c r="L455" s="46"/>
    </row>
    <row r="456" spans="12:12" x14ac:dyDescent="0.25">
      <c r="L456" s="46"/>
    </row>
    <row r="457" spans="12:12" x14ac:dyDescent="0.25">
      <c r="L457" s="46"/>
    </row>
    <row r="458" spans="12:12" x14ac:dyDescent="0.25">
      <c r="L458" s="46"/>
    </row>
    <row r="459" spans="12:12" x14ac:dyDescent="0.25">
      <c r="L459" s="46"/>
    </row>
    <row r="460" spans="12:12" x14ac:dyDescent="0.25">
      <c r="L460" s="46"/>
    </row>
    <row r="461" spans="12:12" x14ac:dyDescent="0.25">
      <c r="L461" s="46"/>
    </row>
    <row r="462" spans="12:12" x14ac:dyDescent="0.25">
      <c r="L462" s="46"/>
    </row>
    <row r="463" spans="12:12" x14ac:dyDescent="0.25">
      <c r="L463" s="46"/>
    </row>
    <row r="464" spans="12:12" x14ac:dyDescent="0.25">
      <c r="L464" s="46"/>
    </row>
    <row r="465" spans="12:12" x14ac:dyDescent="0.25">
      <c r="L465" s="46"/>
    </row>
    <row r="466" spans="12:12" x14ac:dyDescent="0.25">
      <c r="L466" s="46"/>
    </row>
    <row r="467" spans="12:12" x14ac:dyDescent="0.25">
      <c r="L467" s="46"/>
    </row>
    <row r="468" spans="12:12" x14ac:dyDescent="0.25">
      <c r="L468" s="46"/>
    </row>
    <row r="469" spans="12:12" x14ac:dyDescent="0.25">
      <c r="L469" s="46"/>
    </row>
    <row r="470" spans="12:12" x14ac:dyDescent="0.25">
      <c r="L470" s="46"/>
    </row>
    <row r="471" spans="12:12" x14ac:dyDescent="0.25">
      <c r="L471" s="46"/>
    </row>
    <row r="472" spans="12:12" x14ac:dyDescent="0.25">
      <c r="L472" s="46"/>
    </row>
    <row r="473" spans="12:12" x14ac:dyDescent="0.25">
      <c r="L473" s="46"/>
    </row>
    <row r="474" spans="12:12" x14ac:dyDescent="0.25">
      <c r="L474" s="46"/>
    </row>
    <row r="475" spans="12:12" x14ac:dyDescent="0.25">
      <c r="L475" s="46"/>
    </row>
    <row r="476" spans="12:12" x14ac:dyDescent="0.25">
      <c r="L476" s="46"/>
    </row>
    <row r="477" spans="12:12" x14ac:dyDescent="0.25">
      <c r="L477" s="46"/>
    </row>
    <row r="478" spans="12:12" x14ac:dyDescent="0.25">
      <c r="L478" s="46"/>
    </row>
    <row r="479" spans="12:12" x14ac:dyDescent="0.25">
      <c r="L479" s="46"/>
    </row>
    <row r="480" spans="12:12" x14ac:dyDescent="0.25">
      <c r="L480" s="46"/>
    </row>
    <row r="481" spans="12:12" x14ac:dyDescent="0.25">
      <c r="L481" s="46"/>
    </row>
    <row r="482" spans="12:12" x14ac:dyDescent="0.25">
      <c r="L482" s="46"/>
    </row>
    <row r="483" spans="12:12" x14ac:dyDescent="0.25">
      <c r="L483" s="46"/>
    </row>
    <row r="484" spans="12:12" x14ac:dyDescent="0.25">
      <c r="L484" s="46"/>
    </row>
    <row r="485" spans="12:12" x14ac:dyDescent="0.25">
      <c r="L485" s="46"/>
    </row>
    <row r="486" spans="12:12" x14ac:dyDescent="0.25">
      <c r="L486" s="46"/>
    </row>
    <row r="487" spans="12:12" x14ac:dyDescent="0.25">
      <c r="L487" s="46"/>
    </row>
    <row r="488" spans="12:12" x14ac:dyDescent="0.25">
      <c r="L488" s="46"/>
    </row>
    <row r="489" spans="12:12" x14ac:dyDescent="0.25">
      <c r="L489" s="46"/>
    </row>
    <row r="490" spans="12:12" x14ac:dyDescent="0.25">
      <c r="L490" s="46"/>
    </row>
    <row r="491" spans="12:12" x14ac:dyDescent="0.25">
      <c r="L491" s="46"/>
    </row>
    <row r="492" spans="12:12" x14ac:dyDescent="0.25">
      <c r="L492" s="46"/>
    </row>
    <row r="493" spans="12:12" x14ac:dyDescent="0.25">
      <c r="L493" s="46"/>
    </row>
    <row r="494" spans="12:12" x14ac:dyDescent="0.25">
      <c r="L494" s="46"/>
    </row>
    <row r="495" spans="12:12" x14ac:dyDescent="0.25">
      <c r="L495" s="46"/>
    </row>
    <row r="496" spans="12:12" x14ac:dyDescent="0.25">
      <c r="L496" s="46"/>
    </row>
    <row r="497" spans="12:12" x14ac:dyDescent="0.25">
      <c r="L497" s="46"/>
    </row>
    <row r="498" spans="12:12" x14ac:dyDescent="0.25">
      <c r="L498" s="46"/>
    </row>
    <row r="499" spans="12:12" x14ac:dyDescent="0.25">
      <c r="L499" s="46"/>
    </row>
    <row r="500" spans="12:12" x14ac:dyDescent="0.25">
      <c r="L500" s="46"/>
    </row>
    <row r="501" spans="12:12" x14ac:dyDescent="0.25">
      <c r="L501" s="46"/>
    </row>
    <row r="502" spans="12:12" x14ac:dyDescent="0.25">
      <c r="L502" s="46"/>
    </row>
    <row r="503" spans="12:12" x14ac:dyDescent="0.25">
      <c r="L503" s="46"/>
    </row>
    <row r="504" spans="12:12" x14ac:dyDescent="0.25">
      <c r="L504" s="46"/>
    </row>
    <row r="505" spans="12:12" x14ac:dyDescent="0.25">
      <c r="L505" s="46"/>
    </row>
    <row r="506" spans="12:12" x14ac:dyDescent="0.25">
      <c r="L506" s="46"/>
    </row>
    <row r="507" spans="12:12" x14ac:dyDescent="0.25">
      <c r="L507" s="46"/>
    </row>
    <row r="508" spans="12:12" x14ac:dyDescent="0.25">
      <c r="L508" s="46"/>
    </row>
    <row r="509" spans="12:12" x14ac:dyDescent="0.25">
      <c r="L509" s="46"/>
    </row>
    <row r="510" spans="12:12" x14ac:dyDescent="0.25">
      <c r="L510" s="46"/>
    </row>
    <row r="511" spans="12:12" x14ac:dyDescent="0.25">
      <c r="L511" s="46"/>
    </row>
    <row r="512" spans="12:12" x14ac:dyDescent="0.25">
      <c r="L512" s="46"/>
    </row>
    <row r="513" spans="12:12" x14ac:dyDescent="0.25">
      <c r="L513" s="46"/>
    </row>
    <row r="514" spans="12:12" x14ac:dyDescent="0.25">
      <c r="L514" s="46"/>
    </row>
    <row r="515" spans="12:12" x14ac:dyDescent="0.25">
      <c r="L515" s="46"/>
    </row>
    <row r="516" spans="12:12" x14ac:dyDescent="0.25">
      <c r="L516" s="46"/>
    </row>
    <row r="517" spans="12:12" x14ac:dyDescent="0.25">
      <c r="L517" s="46"/>
    </row>
    <row r="518" spans="12:12" x14ac:dyDescent="0.25">
      <c r="L518" s="46"/>
    </row>
    <row r="519" spans="12:12" x14ac:dyDescent="0.25">
      <c r="L519" s="46"/>
    </row>
    <row r="520" spans="12:12" x14ac:dyDescent="0.25">
      <c r="L520" s="46"/>
    </row>
    <row r="521" spans="12:12" x14ac:dyDescent="0.25">
      <c r="L521" s="46"/>
    </row>
    <row r="522" spans="12:12" x14ac:dyDescent="0.25">
      <c r="L522" s="46"/>
    </row>
    <row r="523" spans="12:12" x14ac:dyDescent="0.25">
      <c r="L523" s="46"/>
    </row>
    <row r="524" spans="12:12" ht="15.75" thickBot="1" x14ac:dyDescent="0.3">
      <c r="L524" s="47"/>
    </row>
  </sheetData>
  <mergeCells count="14">
    <mergeCell ref="R4:R263"/>
    <mergeCell ref="N4:N263"/>
    <mergeCell ref="I5:J5"/>
    <mergeCell ref="I6:J6"/>
    <mergeCell ref="P4:P263"/>
    <mergeCell ref="I7:J7"/>
    <mergeCell ref="I8:J8"/>
    <mergeCell ref="I4:J4"/>
    <mergeCell ref="I3:J3"/>
    <mergeCell ref="L265:L524"/>
    <mergeCell ref="B4:B263"/>
    <mergeCell ref="D4:D263"/>
    <mergeCell ref="L4:L263"/>
    <mergeCell ref="F4:F263"/>
  </mergeCells>
  <dataValidations xWindow="1667" yWindow="567" count="1">
    <dataValidation allowBlank="1" showInputMessage="1" showErrorMessage="1" promptTitle="Área" prompt="Área do sistema onde o equipamento está localizado." sqref="B4 N2 B2 L4 L2 N4 D4:G4 D2:G2 P2 P4 R2 R4 L265" xr:uid="{00000000-0002-0000-0100-000000000000}"/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oints"/>
  <dimension ref="A1:AC917"/>
  <sheetViews>
    <sheetView zoomScaleNormal="100" workbookViewId="0">
      <pane ySplit="3" topLeftCell="A4" activePane="bottomLeft" state="frozen"/>
      <selection activeCell="QP4" sqref="QP4"/>
      <selection pane="bottomLeft" activeCell="QP4" sqref="QP4"/>
    </sheetView>
  </sheetViews>
  <sheetFormatPr defaultColWidth="220.5703125" defaultRowHeight="15" x14ac:dyDescent="0.25"/>
  <cols>
    <col min="1" max="1" width="20.140625" style="1" bestFit="1" customWidth="1"/>
    <col min="2" max="2" width="10.28515625" style="1" bestFit="1" customWidth="1"/>
    <col min="3" max="3" width="9.140625" style="1" bestFit="1" customWidth="1"/>
    <col min="4" max="4" width="9.42578125" style="1" bestFit="1" customWidth="1"/>
    <col min="5" max="5" width="12.140625" style="1" bestFit="1" customWidth="1"/>
    <col min="6" max="6" width="9.140625" style="1" bestFit="1" customWidth="1"/>
    <col min="7" max="8" width="12.85546875" style="1" bestFit="1" customWidth="1"/>
    <col min="9" max="9" width="12.140625" style="1" customWidth="1"/>
    <col min="10" max="10" width="9.140625" style="1" bestFit="1" customWidth="1"/>
    <col min="11" max="11" width="9.42578125" style="1" bestFit="1" customWidth="1"/>
    <col min="12" max="12" width="12.5703125" style="1" bestFit="1" customWidth="1"/>
    <col min="13" max="13" width="9.140625" style="1" bestFit="1" customWidth="1"/>
    <col min="14" max="14" width="9.42578125" style="1" bestFit="1" customWidth="1"/>
    <col min="15" max="15" width="12.140625" style="1" customWidth="1"/>
    <col min="16" max="16" width="9.140625" style="1" bestFit="1" customWidth="1"/>
    <col min="17" max="17" width="11.7109375" style="1" bestFit="1" customWidth="1"/>
    <col min="18" max="18" width="13.140625" style="1" bestFit="1" customWidth="1"/>
    <col min="19" max="27" width="16.5703125" style="1" customWidth="1"/>
    <col min="28" max="28" width="26.5703125" style="1" customWidth="1"/>
    <col min="29" max="29" width="19.7109375" style="1" customWidth="1"/>
    <col min="30" max="16384" width="220.5703125" style="1"/>
  </cols>
  <sheetData>
    <row r="1" spans="1:27" ht="15" customHeight="1" x14ac:dyDescent="0.25">
      <c r="A1" s="48" t="s">
        <v>15</v>
      </c>
      <c r="B1" s="49"/>
      <c r="C1" s="53" t="s">
        <v>14</v>
      </c>
      <c r="D1" s="54"/>
      <c r="E1" s="54"/>
      <c r="F1" s="54"/>
      <c r="G1" s="54"/>
      <c r="H1" s="54"/>
      <c r="I1" s="55"/>
      <c r="J1" s="53" t="s">
        <v>13</v>
      </c>
      <c r="K1" s="54"/>
      <c r="L1" s="54"/>
      <c r="M1" s="54"/>
      <c r="N1" s="54"/>
      <c r="O1" s="55"/>
      <c r="P1" s="59" t="s">
        <v>12</v>
      </c>
      <c r="Q1" s="59"/>
      <c r="R1" s="59"/>
      <c r="S1" s="23" t="s">
        <v>14</v>
      </c>
      <c r="T1" s="23" t="s">
        <v>13</v>
      </c>
      <c r="U1" s="59" t="s">
        <v>11</v>
      </c>
      <c r="V1" s="59"/>
      <c r="W1" s="59" t="s">
        <v>20</v>
      </c>
      <c r="X1" s="59"/>
      <c r="Y1" s="22" t="s">
        <v>10</v>
      </c>
      <c r="Z1" s="59" t="s">
        <v>9</v>
      </c>
      <c r="AA1" s="59"/>
    </row>
    <row r="2" spans="1:27" ht="15" customHeight="1" x14ac:dyDescent="0.25">
      <c r="A2" s="50"/>
      <c r="B2" s="51"/>
      <c r="C2" s="52" t="s">
        <v>7</v>
      </c>
      <c r="D2" s="52"/>
      <c r="E2" s="52"/>
      <c r="F2" s="56" t="s">
        <v>6</v>
      </c>
      <c r="G2" s="57"/>
      <c r="H2" s="57"/>
      <c r="I2" s="58"/>
      <c r="J2" s="52" t="s">
        <v>7</v>
      </c>
      <c r="K2" s="52"/>
      <c r="L2" s="52"/>
      <c r="M2" s="52" t="s">
        <v>6</v>
      </c>
      <c r="N2" s="52"/>
      <c r="O2" s="52"/>
      <c r="P2" s="52" t="s">
        <v>5</v>
      </c>
      <c r="Q2" s="52"/>
      <c r="R2" s="52"/>
      <c r="S2" s="24" t="s">
        <v>50</v>
      </c>
      <c r="T2" s="24" t="s">
        <v>50</v>
      </c>
      <c r="U2" s="24" t="s">
        <v>50</v>
      </c>
      <c r="V2" s="24" t="s">
        <v>50</v>
      </c>
      <c r="W2" s="24" t="s">
        <v>50</v>
      </c>
      <c r="X2" s="24" t="s">
        <v>50</v>
      </c>
      <c r="Y2" s="24" t="s">
        <v>50</v>
      </c>
      <c r="Z2" s="24" t="s">
        <v>50</v>
      </c>
      <c r="AA2" s="24" t="s">
        <v>50</v>
      </c>
    </row>
    <row r="3" spans="1:27" s="10" customFormat="1" ht="45" customHeight="1" x14ac:dyDescent="0.25">
      <c r="A3" s="14" t="s">
        <v>0</v>
      </c>
      <c r="B3" s="14" t="s">
        <v>8</v>
      </c>
      <c r="C3" s="15" t="s">
        <v>4</v>
      </c>
      <c r="D3" s="15" t="s">
        <v>1</v>
      </c>
      <c r="E3" s="15" t="s">
        <v>19</v>
      </c>
      <c r="F3" s="15" t="s">
        <v>2</v>
      </c>
      <c r="G3" s="15" t="s">
        <v>16</v>
      </c>
      <c r="H3" s="15" t="s">
        <v>17</v>
      </c>
      <c r="I3" s="15" t="s">
        <v>51</v>
      </c>
      <c r="J3" s="15" t="s">
        <v>33</v>
      </c>
      <c r="K3" s="15" t="s">
        <v>34</v>
      </c>
      <c r="L3" s="16" t="s">
        <v>35</v>
      </c>
      <c r="M3" s="15" t="s">
        <v>36</v>
      </c>
      <c r="N3" s="15" t="s">
        <v>38</v>
      </c>
      <c r="O3" s="15" t="s">
        <v>52</v>
      </c>
      <c r="P3" s="17" t="s">
        <v>37</v>
      </c>
      <c r="Q3" s="17" t="s">
        <v>53</v>
      </c>
      <c r="R3" s="14" t="s">
        <v>3</v>
      </c>
      <c r="S3" s="14" t="s">
        <v>40</v>
      </c>
      <c r="T3" s="14" t="s">
        <v>41</v>
      </c>
      <c r="U3" s="14" t="s">
        <v>12</v>
      </c>
      <c r="V3" s="14" t="s">
        <v>47</v>
      </c>
      <c r="W3" s="14" t="s">
        <v>42</v>
      </c>
      <c r="X3" s="14" t="s">
        <v>43</v>
      </c>
      <c r="Y3" s="14" t="s">
        <v>44</v>
      </c>
      <c r="Z3" s="14" t="s">
        <v>45</v>
      </c>
      <c r="AA3" s="14" t="s">
        <v>46</v>
      </c>
    </row>
    <row r="4" spans="1:27" x14ac:dyDescent="0.25">
      <c r="A4" s="2" t="s">
        <v>21</v>
      </c>
      <c r="B4" s="2">
        <v>52</v>
      </c>
      <c r="C4" s="3">
        <f t="shared" ref="C4" si="0">MiniVWVB(A4,B4,E4)</f>
        <v>81.25</v>
      </c>
      <c r="D4" s="3">
        <f t="shared" ref="D4" si="1">MaxVWV(A4,B4)</f>
        <v>87.5</v>
      </c>
      <c r="E4" s="3">
        <f t="shared" ref="E4" si="2">RatedVWV(B4)</f>
        <v>83.75</v>
      </c>
      <c r="F4" s="3">
        <f t="shared" ref="F4" si="3">MinQB(A4,B4)</f>
        <v>60.84</v>
      </c>
      <c r="G4" s="3">
        <f t="shared" ref="G4" si="4">MaxQB3F(A4,B4)</f>
        <v>138.76</v>
      </c>
      <c r="H4" s="3">
        <f t="shared" ref="H4" si="5">MaxQB4F(A4,B4)</f>
        <v>138.76</v>
      </c>
      <c r="I4" s="3"/>
      <c r="J4" s="3">
        <f t="shared" ref="J4" si="6">MiniVWVU(A4,B4,L4)</f>
        <v>73.56</v>
      </c>
      <c r="K4" s="3">
        <f t="shared" ref="K4" si="7">MaxVWV(A4,B4)</f>
        <v>87.5</v>
      </c>
      <c r="L4" s="34">
        <f t="shared" ref="L4" si="8">RatedVWV(B4)</f>
        <v>83.75</v>
      </c>
      <c r="M4" s="3">
        <f t="shared" ref="M4" si="9">MinQU(A4,B4)</f>
        <v>-2.08</v>
      </c>
      <c r="N4" s="3">
        <f t="shared" ref="N4" si="10">MaxQU(A4,B4)</f>
        <v>150</v>
      </c>
      <c r="O4" s="3"/>
      <c r="P4" s="3">
        <f t="shared" ref="P4" si="11">MiniUpper(A4,B4)</f>
        <v>44.122066141732283</v>
      </c>
      <c r="Q4" s="3">
        <f t="shared" ref="Q4" si="12">MaxUpper(A4,B4)</f>
        <v>109.8176</v>
      </c>
      <c r="R4" s="3">
        <f>vd(DataTable[[#This Row],[Sentido]],DataTable[[#This Row],[Valor]])</f>
        <v>49.182677165354335</v>
      </c>
      <c r="S4" s="3">
        <f>IF(DataTable[[#This Row],[Valor]]&gt;1,1,1)</f>
        <v>1</v>
      </c>
      <c r="T4" s="3">
        <f>IF(DataTable[[#This Row],[Valor]]&gt;1,1,1)</f>
        <v>1</v>
      </c>
      <c r="U4" s="3">
        <f>angr(DataTable[[#This Row],[Sentido]],DataTable[[#This Row],[Valor]])</f>
        <v>69.198425196850394</v>
      </c>
      <c r="V4" s="3">
        <f>ANGI(DataTable[[#This Row],[Sentido]],DataTable[[#This Row],[Valor]])</f>
        <v>69.807874015748041</v>
      </c>
      <c r="W4" s="3">
        <f t="shared" ref="W4" si="13">IF(A5="URUGUAI para BRASIL",IF(B4&gt;119,IF(B4&gt;240,3,2),1),IF(B4&gt;120,IF(B4&gt;240,3,2),1))</f>
        <v>1</v>
      </c>
      <c r="X4" s="3">
        <f>IF(DataTable[[#This Row],[Valor]]&gt;1,1,1)</f>
        <v>1</v>
      </c>
      <c r="Y4" s="3">
        <f t="shared" ref="Y4" si="14">IF(A5="URUGUAI para BRASIL",IF(B4&gt;119,IF(B4&gt;240,3,2),1),IF(B4&gt;120,IF(B4&gt;240,3,2),1))</f>
        <v>1</v>
      </c>
      <c r="Z4" s="3">
        <f>IF(AND(DataTable[[#This Row],[Sentido]]="URUGUAI para BRASIL",DataTable[[#This Row],[Valor]]&gt;350),1,0)</f>
        <v>0</v>
      </c>
      <c r="AA4" s="3">
        <f>IF(DataTable[[#This Row],[Valor]]&gt;1,0,0)</f>
        <v>0</v>
      </c>
    </row>
    <row r="5" spans="1:27" x14ac:dyDescent="0.25">
      <c r="A5" s="2" t="s">
        <v>21</v>
      </c>
      <c r="B5" s="2">
        <v>53</v>
      </c>
      <c r="C5" s="3">
        <f t="shared" ref="C5:C68" si="15">MiniVWVB(A5,B5,E5)</f>
        <v>81.25</v>
      </c>
      <c r="D5" s="3">
        <f t="shared" ref="D5:D68" si="16">MaxVWV(A5,B5)</f>
        <v>87.5</v>
      </c>
      <c r="E5" s="3">
        <f t="shared" ref="E5:E68" si="17">RatedVWV(B5)</f>
        <v>83.75</v>
      </c>
      <c r="F5" s="3">
        <f t="shared" ref="F5:F68" si="18">MinQB(A5,B5)</f>
        <v>60.76</v>
      </c>
      <c r="G5" s="3">
        <f t="shared" ref="G5:G68" si="19">MaxQB3F(A5,B5)</f>
        <v>138.63999999999999</v>
      </c>
      <c r="H5" s="3">
        <f t="shared" ref="H5:H68" si="20">MaxQB4F(A5,B5)</f>
        <v>138.63999999999999</v>
      </c>
      <c r="I5" s="3"/>
      <c r="J5" s="3">
        <f t="shared" ref="J5:J68" si="21">MiniVWVU(A5,B5,L5)</f>
        <v>73.56</v>
      </c>
      <c r="K5" s="3">
        <f t="shared" ref="K5:K68" si="22">MaxVWV(A5,B5)</f>
        <v>87.5</v>
      </c>
      <c r="L5" s="34">
        <f t="shared" ref="L5:L68" si="23">RatedVWV(B5)</f>
        <v>83.75</v>
      </c>
      <c r="M5" s="3">
        <f t="shared" ref="M5:M68" si="24">MinQU(A5,B5)</f>
        <v>-2.12</v>
      </c>
      <c r="N5" s="3">
        <f t="shared" ref="N5:N68" si="25">MaxQU(A5,B5)</f>
        <v>150</v>
      </c>
      <c r="O5" s="3"/>
      <c r="P5" s="3">
        <f t="shared" ref="P5:P68" si="26">MiniUpper(A5,B5)</f>
        <v>44.24512125984252</v>
      </c>
      <c r="Q5" s="3">
        <f t="shared" ref="Q5:Q68" si="27">MaxUpper(A5,B5)</f>
        <v>109.8176</v>
      </c>
      <c r="R5" s="3">
        <f>vd(DataTable[[#This Row],[Sentido]],DataTable[[#This Row],[Valor]])</f>
        <v>50.001574803149609</v>
      </c>
      <c r="S5" s="3">
        <f>IF(DataTable[[#This Row],[Valor]]&gt;1,1,1)</f>
        <v>1</v>
      </c>
      <c r="T5" s="3">
        <f>IF(DataTable[[#This Row],[Valor]]&gt;1,1,1)</f>
        <v>1</v>
      </c>
      <c r="U5" s="3">
        <f>angr(DataTable[[#This Row],[Sentido]],DataTable[[#This Row],[Valor]])</f>
        <v>68.863779527559046</v>
      </c>
      <c r="V5" s="3">
        <f>ANGI(DataTable[[#This Row],[Sentido]],DataTable[[#This Row],[Valor]])</f>
        <v>69.481102362204723</v>
      </c>
      <c r="W5" s="3">
        <f t="shared" ref="W5:W68" si="28">IF(A6="URUGUAI para BRASIL",IF(B5&gt;119,IF(B5&gt;240,3,2),1),IF(B5&gt;120,IF(B5&gt;240,3,2),1))</f>
        <v>1</v>
      </c>
      <c r="X5" s="3">
        <f>IF(DataTable[[#This Row],[Valor]]&gt;1,1,1)</f>
        <v>1</v>
      </c>
      <c r="Y5" s="3">
        <f t="shared" ref="Y5:Y68" si="29">IF(A6="URUGUAI para BRASIL",IF(B5&gt;119,IF(B5&gt;240,3,2),1),IF(B5&gt;120,IF(B5&gt;240,3,2),1))</f>
        <v>1</v>
      </c>
      <c r="Z5" s="3">
        <f>IF(AND(DataTable[[#This Row],[Sentido]]="URUGUAI para BRASIL",DataTable[[#This Row],[Valor]]&gt;350),1,0)</f>
        <v>0</v>
      </c>
      <c r="AA5" s="3">
        <f>IF(DataTable[[#This Row],[Valor]]&gt;1,0,0)</f>
        <v>0</v>
      </c>
    </row>
    <row r="6" spans="1:27" x14ac:dyDescent="0.25">
      <c r="A6" s="2" t="s">
        <v>21</v>
      </c>
      <c r="B6" s="2">
        <v>54</v>
      </c>
      <c r="C6" s="3">
        <f t="shared" si="15"/>
        <v>81.25</v>
      </c>
      <c r="D6" s="3">
        <f t="shared" si="16"/>
        <v>87.5</v>
      </c>
      <c r="E6" s="3">
        <f t="shared" si="17"/>
        <v>83.75</v>
      </c>
      <c r="F6" s="3">
        <f t="shared" si="18"/>
        <v>60.68</v>
      </c>
      <c r="G6" s="3">
        <f t="shared" si="19"/>
        <v>138.51999999999998</v>
      </c>
      <c r="H6" s="3">
        <f t="shared" si="20"/>
        <v>138.51999999999998</v>
      </c>
      <c r="I6" s="3"/>
      <c r="J6" s="3">
        <f t="shared" si="21"/>
        <v>73.56</v>
      </c>
      <c r="K6" s="3">
        <f t="shared" si="22"/>
        <v>87.5</v>
      </c>
      <c r="L6" s="34">
        <f t="shared" si="23"/>
        <v>83.75</v>
      </c>
      <c r="M6" s="3">
        <f t="shared" si="24"/>
        <v>-2.16</v>
      </c>
      <c r="N6" s="3">
        <f t="shared" si="25"/>
        <v>150</v>
      </c>
      <c r="O6" s="3"/>
      <c r="P6" s="3">
        <f t="shared" si="26"/>
        <v>44.368176377952764</v>
      </c>
      <c r="Q6" s="3">
        <f t="shared" si="27"/>
        <v>109.8176</v>
      </c>
      <c r="R6" s="3">
        <f>vd(DataTable[[#This Row],[Sentido]],DataTable[[#This Row],[Valor]])</f>
        <v>50.82047244094489</v>
      </c>
      <c r="S6" s="3">
        <f>IF(DataTable[[#This Row],[Valor]]&gt;1,1,1)</f>
        <v>1</v>
      </c>
      <c r="T6" s="3">
        <f>IF(DataTable[[#This Row],[Valor]]&gt;1,1,1)</f>
        <v>1</v>
      </c>
      <c r="U6" s="3">
        <f>angr(DataTable[[#This Row],[Sentido]],DataTable[[#This Row],[Valor]])</f>
        <v>68.529133858267713</v>
      </c>
      <c r="V6" s="3">
        <f>ANGI(DataTable[[#This Row],[Sentido]],DataTable[[#This Row],[Valor]])</f>
        <v>69.154330708661419</v>
      </c>
      <c r="W6" s="3">
        <f t="shared" si="28"/>
        <v>1</v>
      </c>
      <c r="X6" s="3">
        <f>IF(DataTable[[#This Row],[Valor]]&gt;1,1,1)</f>
        <v>1</v>
      </c>
      <c r="Y6" s="3">
        <f t="shared" si="29"/>
        <v>1</v>
      </c>
      <c r="Z6" s="3">
        <f>IF(AND(DataTable[[#This Row],[Sentido]]="URUGUAI para BRASIL",DataTable[[#This Row],[Valor]]&gt;350),1,0)</f>
        <v>0</v>
      </c>
      <c r="AA6" s="3">
        <f>IF(DataTable[[#This Row],[Valor]]&gt;1,0,0)</f>
        <v>0</v>
      </c>
    </row>
    <row r="7" spans="1:27" x14ac:dyDescent="0.25">
      <c r="A7" s="2" t="s">
        <v>21</v>
      </c>
      <c r="B7" s="2">
        <v>55</v>
      </c>
      <c r="C7" s="3">
        <f t="shared" si="15"/>
        <v>81.25</v>
      </c>
      <c r="D7" s="3">
        <f t="shared" si="16"/>
        <v>87.5</v>
      </c>
      <c r="E7" s="3">
        <f t="shared" si="17"/>
        <v>83.75</v>
      </c>
      <c r="F7" s="3">
        <f t="shared" si="18"/>
        <v>60.6</v>
      </c>
      <c r="G7" s="3">
        <f t="shared" si="19"/>
        <v>138.4</v>
      </c>
      <c r="H7" s="3">
        <f t="shared" si="20"/>
        <v>138.4</v>
      </c>
      <c r="I7" s="3"/>
      <c r="J7" s="3">
        <f t="shared" si="21"/>
        <v>73.56</v>
      </c>
      <c r="K7" s="3">
        <f t="shared" si="22"/>
        <v>87.5</v>
      </c>
      <c r="L7" s="34">
        <f t="shared" si="23"/>
        <v>83.75</v>
      </c>
      <c r="M7" s="3">
        <f t="shared" si="24"/>
        <v>-2.2000000000000002</v>
      </c>
      <c r="N7" s="3">
        <f t="shared" si="25"/>
        <v>150</v>
      </c>
      <c r="O7" s="3"/>
      <c r="P7" s="3">
        <f t="shared" si="26"/>
        <v>44.491231496062994</v>
      </c>
      <c r="Q7" s="3">
        <f t="shared" si="27"/>
        <v>109.8176</v>
      </c>
      <c r="R7" s="3">
        <f>vd(DataTable[[#This Row],[Sentido]],DataTable[[#This Row],[Valor]])</f>
        <v>51.639370078740164</v>
      </c>
      <c r="S7" s="3">
        <f>IF(DataTable[[#This Row],[Valor]]&gt;1,1,1)</f>
        <v>1</v>
      </c>
      <c r="T7" s="3">
        <f>IF(DataTable[[#This Row],[Valor]]&gt;1,1,1)</f>
        <v>1</v>
      </c>
      <c r="U7" s="3">
        <f>angr(DataTable[[#This Row],[Sentido]],DataTable[[#This Row],[Valor]])</f>
        <v>68.194488188976379</v>
      </c>
      <c r="V7" s="3">
        <f>ANGI(DataTable[[#This Row],[Sentido]],DataTable[[#This Row],[Valor]])</f>
        <v>68.827559055118115</v>
      </c>
      <c r="W7" s="3">
        <f t="shared" si="28"/>
        <v>1</v>
      </c>
      <c r="X7" s="3">
        <f>IF(DataTable[[#This Row],[Valor]]&gt;1,1,1)</f>
        <v>1</v>
      </c>
      <c r="Y7" s="3">
        <f t="shared" si="29"/>
        <v>1</v>
      </c>
      <c r="Z7" s="3">
        <f>IF(AND(DataTable[[#This Row],[Sentido]]="URUGUAI para BRASIL",DataTable[[#This Row],[Valor]]&gt;350),1,0)</f>
        <v>0</v>
      </c>
      <c r="AA7" s="3">
        <f>IF(DataTable[[#This Row],[Valor]]&gt;1,0,0)</f>
        <v>0</v>
      </c>
    </row>
    <row r="8" spans="1:27" x14ac:dyDescent="0.25">
      <c r="A8" s="2" t="s">
        <v>21</v>
      </c>
      <c r="B8" s="2">
        <v>56</v>
      </c>
      <c r="C8" s="3">
        <f t="shared" si="15"/>
        <v>81.25</v>
      </c>
      <c r="D8" s="3">
        <f t="shared" si="16"/>
        <v>87.5</v>
      </c>
      <c r="E8" s="3">
        <f t="shared" si="17"/>
        <v>83.75</v>
      </c>
      <c r="F8" s="3">
        <f t="shared" si="18"/>
        <v>60.519999999999996</v>
      </c>
      <c r="G8" s="3">
        <f t="shared" si="19"/>
        <v>138.28</v>
      </c>
      <c r="H8" s="3">
        <f t="shared" si="20"/>
        <v>138.28</v>
      </c>
      <c r="I8" s="3"/>
      <c r="J8" s="3">
        <f t="shared" si="21"/>
        <v>73.56</v>
      </c>
      <c r="K8" s="3">
        <f t="shared" si="22"/>
        <v>87.5</v>
      </c>
      <c r="L8" s="34">
        <f t="shared" si="23"/>
        <v>83.75</v>
      </c>
      <c r="M8" s="3">
        <f t="shared" si="24"/>
        <v>-2.2400000000000002</v>
      </c>
      <c r="N8" s="3">
        <f t="shared" si="25"/>
        <v>150</v>
      </c>
      <c r="O8" s="3"/>
      <c r="P8" s="3">
        <f t="shared" si="26"/>
        <v>44.614286614173231</v>
      </c>
      <c r="Q8" s="3">
        <f t="shared" si="27"/>
        <v>109.8176</v>
      </c>
      <c r="R8" s="3">
        <f>vd(DataTable[[#This Row],[Sentido]],DataTable[[#This Row],[Valor]])</f>
        <v>52.458267716535438</v>
      </c>
      <c r="S8" s="3">
        <f>IF(DataTable[[#This Row],[Valor]]&gt;1,1,1)</f>
        <v>1</v>
      </c>
      <c r="T8" s="3">
        <f>IF(DataTable[[#This Row],[Valor]]&gt;1,1,1)</f>
        <v>1</v>
      </c>
      <c r="U8" s="3">
        <f>angr(DataTable[[#This Row],[Sentido]],DataTable[[#This Row],[Valor]])</f>
        <v>67.859842519685031</v>
      </c>
      <c r="V8" s="3">
        <f>ANGI(DataTable[[#This Row],[Sentido]],DataTable[[#This Row],[Valor]])</f>
        <v>68.500787401574811</v>
      </c>
      <c r="W8" s="3">
        <f t="shared" si="28"/>
        <v>1</v>
      </c>
      <c r="X8" s="3">
        <f>IF(DataTable[[#This Row],[Valor]]&gt;1,1,1)</f>
        <v>1</v>
      </c>
      <c r="Y8" s="3">
        <f t="shared" si="29"/>
        <v>1</v>
      </c>
      <c r="Z8" s="3">
        <f>IF(AND(DataTable[[#This Row],[Sentido]]="URUGUAI para BRASIL",DataTable[[#This Row],[Valor]]&gt;350),1,0)</f>
        <v>0</v>
      </c>
      <c r="AA8" s="3">
        <f>IF(DataTable[[#This Row],[Valor]]&gt;1,0,0)</f>
        <v>0</v>
      </c>
    </row>
    <row r="9" spans="1:27" x14ac:dyDescent="0.25">
      <c r="A9" s="2" t="s">
        <v>21</v>
      </c>
      <c r="B9" s="2">
        <v>57</v>
      </c>
      <c r="C9" s="3">
        <f t="shared" si="15"/>
        <v>81.25</v>
      </c>
      <c r="D9" s="3">
        <f t="shared" si="16"/>
        <v>87.5</v>
      </c>
      <c r="E9" s="3">
        <f t="shared" si="17"/>
        <v>83.75</v>
      </c>
      <c r="F9" s="3">
        <f t="shared" si="18"/>
        <v>60.44</v>
      </c>
      <c r="G9" s="3">
        <f t="shared" si="19"/>
        <v>138.16</v>
      </c>
      <c r="H9" s="3">
        <f t="shared" si="20"/>
        <v>138.16</v>
      </c>
      <c r="I9" s="3"/>
      <c r="J9" s="3">
        <f t="shared" si="21"/>
        <v>73.56</v>
      </c>
      <c r="K9" s="3">
        <f t="shared" si="22"/>
        <v>87.5</v>
      </c>
      <c r="L9" s="34">
        <f t="shared" si="23"/>
        <v>83.75</v>
      </c>
      <c r="M9" s="3">
        <f t="shared" si="24"/>
        <v>-2.2800000000000002</v>
      </c>
      <c r="N9" s="3">
        <f t="shared" si="25"/>
        <v>150</v>
      </c>
      <c r="O9" s="3"/>
      <c r="P9" s="3">
        <f t="shared" si="26"/>
        <v>44.737341732283468</v>
      </c>
      <c r="Q9" s="3">
        <f t="shared" si="27"/>
        <v>109.8176</v>
      </c>
      <c r="R9" s="3">
        <f>vd(DataTable[[#This Row],[Sentido]],DataTable[[#This Row],[Valor]])</f>
        <v>53.277165354330705</v>
      </c>
      <c r="S9" s="3">
        <f>IF(DataTable[[#This Row],[Valor]]&gt;1,1,1)</f>
        <v>1</v>
      </c>
      <c r="T9" s="3">
        <f>IF(DataTable[[#This Row],[Valor]]&gt;1,1,1)</f>
        <v>1</v>
      </c>
      <c r="U9" s="3">
        <f>angr(DataTable[[#This Row],[Sentido]],DataTable[[#This Row],[Valor]])</f>
        <v>67.525196850393698</v>
      </c>
      <c r="V9" s="3">
        <f>ANGI(DataTable[[#This Row],[Sentido]],DataTable[[#This Row],[Valor]])</f>
        <v>68.174015748031493</v>
      </c>
      <c r="W9" s="3">
        <f t="shared" si="28"/>
        <v>1</v>
      </c>
      <c r="X9" s="3">
        <f>IF(DataTable[[#This Row],[Valor]]&gt;1,1,1)</f>
        <v>1</v>
      </c>
      <c r="Y9" s="3">
        <f t="shared" si="29"/>
        <v>1</v>
      </c>
      <c r="Z9" s="3">
        <f>IF(AND(DataTable[[#This Row],[Sentido]]="URUGUAI para BRASIL",DataTable[[#This Row],[Valor]]&gt;350),1,0)</f>
        <v>0</v>
      </c>
      <c r="AA9" s="3">
        <f>IF(DataTable[[#This Row],[Valor]]&gt;1,0,0)</f>
        <v>0</v>
      </c>
    </row>
    <row r="10" spans="1:27" x14ac:dyDescent="0.25">
      <c r="A10" s="2" t="s">
        <v>21</v>
      </c>
      <c r="B10" s="2">
        <v>58</v>
      </c>
      <c r="C10" s="3">
        <f t="shared" si="15"/>
        <v>81.25</v>
      </c>
      <c r="D10" s="3">
        <f t="shared" si="16"/>
        <v>87.5</v>
      </c>
      <c r="E10" s="3">
        <f t="shared" si="17"/>
        <v>83.75</v>
      </c>
      <c r="F10" s="3">
        <f t="shared" si="18"/>
        <v>60.36</v>
      </c>
      <c r="G10" s="3">
        <f t="shared" si="19"/>
        <v>138.04000000000002</v>
      </c>
      <c r="H10" s="3">
        <f t="shared" si="20"/>
        <v>138.04000000000002</v>
      </c>
      <c r="I10" s="3"/>
      <c r="J10" s="3">
        <f t="shared" si="21"/>
        <v>73.56</v>
      </c>
      <c r="K10" s="3">
        <f t="shared" si="22"/>
        <v>87.5</v>
      </c>
      <c r="L10" s="34">
        <f t="shared" si="23"/>
        <v>83.75</v>
      </c>
      <c r="M10" s="3">
        <f t="shared" si="24"/>
        <v>-2.3199999999999998</v>
      </c>
      <c r="N10" s="3">
        <f t="shared" si="25"/>
        <v>150</v>
      </c>
      <c r="O10" s="3"/>
      <c r="P10" s="3">
        <f t="shared" si="26"/>
        <v>44.860396850393705</v>
      </c>
      <c r="Q10" s="3">
        <f t="shared" si="27"/>
        <v>109.8176</v>
      </c>
      <c r="R10" s="3">
        <f>vd(DataTable[[#This Row],[Sentido]],DataTable[[#This Row],[Valor]])</f>
        <v>54.096062992125979</v>
      </c>
      <c r="S10" s="3">
        <f>IF(DataTable[[#This Row],[Valor]]&gt;1,1,1)</f>
        <v>1</v>
      </c>
      <c r="T10" s="3">
        <f>IF(DataTable[[#This Row],[Valor]]&gt;1,1,1)</f>
        <v>1</v>
      </c>
      <c r="U10" s="3">
        <f>angr(DataTable[[#This Row],[Sentido]],DataTable[[#This Row],[Valor]])</f>
        <v>67.190551181102364</v>
      </c>
      <c r="V10" s="3">
        <f>ANGI(DataTable[[#This Row],[Sentido]],DataTable[[#This Row],[Valor]])</f>
        <v>67.84724409448819</v>
      </c>
      <c r="W10" s="3">
        <f t="shared" si="28"/>
        <v>1</v>
      </c>
      <c r="X10" s="3">
        <f>IF(DataTable[[#This Row],[Valor]]&gt;1,1,1)</f>
        <v>1</v>
      </c>
      <c r="Y10" s="3">
        <f t="shared" si="29"/>
        <v>1</v>
      </c>
      <c r="Z10" s="3">
        <f>IF(AND(DataTable[[#This Row],[Sentido]]="URUGUAI para BRASIL",DataTable[[#This Row],[Valor]]&gt;350),1,0)</f>
        <v>0</v>
      </c>
      <c r="AA10" s="3">
        <f>IF(DataTable[[#This Row],[Valor]]&gt;1,0,0)</f>
        <v>0</v>
      </c>
    </row>
    <row r="11" spans="1:27" x14ac:dyDescent="0.25">
      <c r="A11" s="2" t="s">
        <v>21</v>
      </c>
      <c r="B11" s="2">
        <v>59</v>
      </c>
      <c r="C11" s="3">
        <f t="shared" si="15"/>
        <v>81.25</v>
      </c>
      <c r="D11" s="3">
        <f t="shared" si="16"/>
        <v>87.5</v>
      </c>
      <c r="E11" s="3">
        <f t="shared" si="17"/>
        <v>83.75</v>
      </c>
      <c r="F11" s="3">
        <f t="shared" si="18"/>
        <v>60.28</v>
      </c>
      <c r="G11" s="3">
        <f t="shared" si="19"/>
        <v>137.92000000000002</v>
      </c>
      <c r="H11" s="3">
        <f t="shared" si="20"/>
        <v>137.92000000000002</v>
      </c>
      <c r="I11" s="3"/>
      <c r="J11" s="3">
        <f t="shared" si="21"/>
        <v>73.56</v>
      </c>
      <c r="K11" s="3">
        <f t="shared" si="22"/>
        <v>87.5</v>
      </c>
      <c r="L11" s="34">
        <f t="shared" si="23"/>
        <v>83.75</v>
      </c>
      <c r="M11" s="3">
        <f t="shared" si="24"/>
        <v>-2.36</v>
      </c>
      <c r="N11" s="3">
        <f t="shared" si="25"/>
        <v>150</v>
      </c>
      <c r="O11" s="3"/>
      <c r="P11" s="3">
        <f t="shared" si="26"/>
        <v>44.983451968503942</v>
      </c>
      <c r="Q11" s="3">
        <f t="shared" si="27"/>
        <v>109.8176</v>
      </c>
      <c r="R11" s="3">
        <f>vd(DataTable[[#This Row],[Sentido]],DataTable[[#This Row],[Valor]])</f>
        <v>54.914960629921268</v>
      </c>
      <c r="S11" s="3">
        <f>IF(DataTable[[#This Row],[Valor]]&gt;1,1,1)</f>
        <v>1</v>
      </c>
      <c r="T11" s="3">
        <f>IF(DataTable[[#This Row],[Valor]]&gt;1,1,1)</f>
        <v>1</v>
      </c>
      <c r="U11" s="3">
        <f>angr(DataTable[[#This Row],[Sentido]],DataTable[[#This Row],[Valor]])</f>
        <v>66.855905511811017</v>
      </c>
      <c r="V11" s="3">
        <f>ANGI(DataTable[[#This Row],[Sentido]],DataTable[[#This Row],[Valor]])</f>
        <v>67.520472440944886</v>
      </c>
      <c r="W11" s="3">
        <f t="shared" si="28"/>
        <v>1</v>
      </c>
      <c r="X11" s="3">
        <f>IF(DataTable[[#This Row],[Valor]]&gt;1,1,1)</f>
        <v>1</v>
      </c>
      <c r="Y11" s="3">
        <f t="shared" si="29"/>
        <v>1</v>
      </c>
      <c r="Z11" s="3">
        <f>IF(AND(DataTable[[#This Row],[Sentido]]="URUGUAI para BRASIL",DataTable[[#This Row],[Valor]]&gt;350),1,0)</f>
        <v>0</v>
      </c>
      <c r="AA11" s="3">
        <f>IF(DataTable[[#This Row],[Valor]]&gt;1,0,0)</f>
        <v>0</v>
      </c>
    </row>
    <row r="12" spans="1:27" x14ac:dyDescent="0.25">
      <c r="A12" s="2" t="s">
        <v>21</v>
      </c>
      <c r="B12" s="2">
        <v>60</v>
      </c>
      <c r="C12" s="3">
        <f t="shared" si="15"/>
        <v>81.25</v>
      </c>
      <c r="D12" s="3">
        <f t="shared" si="16"/>
        <v>87.5</v>
      </c>
      <c r="E12" s="3">
        <f t="shared" si="17"/>
        <v>83.75</v>
      </c>
      <c r="F12" s="3">
        <f t="shared" si="18"/>
        <v>60.2</v>
      </c>
      <c r="G12" s="3">
        <f t="shared" si="19"/>
        <v>137.80000000000001</v>
      </c>
      <c r="H12" s="3">
        <f t="shared" si="20"/>
        <v>137.80000000000001</v>
      </c>
      <c r="I12" s="3"/>
      <c r="J12" s="3">
        <f t="shared" si="21"/>
        <v>73.56</v>
      </c>
      <c r="K12" s="3">
        <f t="shared" si="22"/>
        <v>87.5</v>
      </c>
      <c r="L12" s="34">
        <f t="shared" si="23"/>
        <v>83.75</v>
      </c>
      <c r="M12" s="3">
        <f t="shared" si="24"/>
        <v>-2.4</v>
      </c>
      <c r="N12" s="3">
        <f t="shared" si="25"/>
        <v>150</v>
      </c>
      <c r="O12" s="3"/>
      <c r="P12" s="3">
        <f t="shared" si="26"/>
        <v>45.106507086614172</v>
      </c>
      <c r="Q12" s="3">
        <f t="shared" si="27"/>
        <v>109.8176</v>
      </c>
      <c r="R12" s="3">
        <f>vd(DataTable[[#This Row],[Sentido]],DataTable[[#This Row],[Valor]])</f>
        <v>55.733858267716542</v>
      </c>
      <c r="S12" s="3">
        <f>IF(DataTable[[#This Row],[Valor]]&gt;1,1,1)</f>
        <v>1</v>
      </c>
      <c r="T12" s="3">
        <f>IF(DataTable[[#This Row],[Valor]]&gt;1,1,1)</f>
        <v>1</v>
      </c>
      <c r="U12" s="3">
        <f>angr(DataTable[[#This Row],[Sentido]],DataTable[[#This Row],[Valor]])</f>
        <v>66.521259842519683</v>
      </c>
      <c r="V12" s="3">
        <f>ANGI(DataTable[[#This Row],[Sentido]],DataTable[[#This Row],[Valor]])</f>
        <v>67.193700787401582</v>
      </c>
      <c r="W12" s="3">
        <f t="shared" si="28"/>
        <v>1</v>
      </c>
      <c r="X12" s="3">
        <f>IF(DataTable[[#This Row],[Valor]]&gt;1,1,1)</f>
        <v>1</v>
      </c>
      <c r="Y12" s="3">
        <f t="shared" si="29"/>
        <v>1</v>
      </c>
      <c r="Z12" s="3">
        <f>IF(AND(DataTable[[#This Row],[Sentido]]="URUGUAI para BRASIL",DataTable[[#This Row],[Valor]]&gt;350),1,0)</f>
        <v>0</v>
      </c>
      <c r="AA12" s="3">
        <f>IF(DataTable[[#This Row],[Valor]]&gt;1,0,0)</f>
        <v>0</v>
      </c>
    </row>
    <row r="13" spans="1:27" x14ac:dyDescent="0.25">
      <c r="A13" s="2" t="s">
        <v>21</v>
      </c>
      <c r="B13" s="2">
        <v>61</v>
      </c>
      <c r="C13" s="3">
        <f t="shared" si="15"/>
        <v>81.25</v>
      </c>
      <c r="D13" s="3">
        <f t="shared" si="16"/>
        <v>87.5</v>
      </c>
      <c r="E13" s="3">
        <f t="shared" si="17"/>
        <v>83.75</v>
      </c>
      <c r="F13" s="3">
        <f t="shared" si="18"/>
        <v>60.12</v>
      </c>
      <c r="G13" s="3">
        <f t="shared" si="19"/>
        <v>137.68</v>
      </c>
      <c r="H13" s="3">
        <f t="shared" si="20"/>
        <v>137.68</v>
      </c>
      <c r="I13" s="3"/>
      <c r="J13" s="3">
        <f t="shared" si="21"/>
        <v>73.56</v>
      </c>
      <c r="K13" s="3">
        <f t="shared" si="22"/>
        <v>87.5</v>
      </c>
      <c r="L13" s="34">
        <f t="shared" si="23"/>
        <v>83.75</v>
      </c>
      <c r="M13" s="3">
        <f t="shared" si="24"/>
        <v>-2.44</v>
      </c>
      <c r="N13" s="3">
        <f t="shared" si="25"/>
        <v>150</v>
      </c>
      <c r="O13" s="3"/>
      <c r="P13" s="3">
        <f t="shared" si="26"/>
        <v>45.229562204724417</v>
      </c>
      <c r="Q13" s="3">
        <f t="shared" si="27"/>
        <v>109.8176</v>
      </c>
      <c r="R13" s="3">
        <f>vd(DataTable[[#This Row],[Sentido]],DataTable[[#This Row],[Valor]])</f>
        <v>56.552755905511816</v>
      </c>
      <c r="S13" s="3">
        <f>IF(DataTable[[#This Row],[Valor]]&gt;1,1,1)</f>
        <v>1</v>
      </c>
      <c r="T13" s="3">
        <f>IF(DataTable[[#This Row],[Valor]]&gt;1,1,1)</f>
        <v>1</v>
      </c>
      <c r="U13" s="3">
        <f>angr(DataTable[[#This Row],[Sentido]],DataTable[[#This Row],[Valor]])</f>
        <v>66.18661417322835</v>
      </c>
      <c r="V13" s="3">
        <f>ANGI(DataTable[[#This Row],[Sentido]],DataTable[[#This Row],[Valor]])</f>
        <v>66.866929133858264</v>
      </c>
      <c r="W13" s="3">
        <f t="shared" si="28"/>
        <v>1</v>
      </c>
      <c r="X13" s="3">
        <f>IF(DataTable[[#This Row],[Valor]]&gt;1,1,1)</f>
        <v>1</v>
      </c>
      <c r="Y13" s="3">
        <f t="shared" si="29"/>
        <v>1</v>
      </c>
      <c r="Z13" s="3">
        <f>IF(AND(DataTable[[#This Row],[Sentido]]="URUGUAI para BRASIL",DataTable[[#This Row],[Valor]]&gt;350),1,0)</f>
        <v>0</v>
      </c>
      <c r="AA13" s="3">
        <f>IF(DataTable[[#This Row],[Valor]]&gt;1,0,0)</f>
        <v>0</v>
      </c>
    </row>
    <row r="14" spans="1:27" x14ac:dyDescent="0.25">
      <c r="A14" s="2" t="s">
        <v>21</v>
      </c>
      <c r="B14" s="2">
        <v>62</v>
      </c>
      <c r="C14" s="3">
        <f t="shared" si="15"/>
        <v>81.25</v>
      </c>
      <c r="D14" s="3">
        <f t="shared" si="16"/>
        <v>87.5</v>
      </c>
      <c r="E14" s="3">
        <f t="shared" si="17"/>
        <v>83.75</v>
      </c>
      <c r="F14" s="3">
        <f t="shared" si="18"/>
        <v>60.04</v>
      </c>
      <c r="G14" s="3">
        <f t="shared" si="19"/>
        <v>137.56</v>
      </c>
      <c r="H14" s="3">
        <f t="shared" si="20"/>
        <v>137.56</v>
      </c>
      <c r="I14" s="3"/>
      <c r="J14" s="3">
        <f t="shared" si="21"/>
        <v>73.56</v>
      </c>
      <c r="K14" s="3">
        <f t="shared" si="22"/>
        <v>87.5</v>
      </c>
      <c r="L14" s="34">
        <f t="shared" si="23"/>
        <v>83.75</v>
      </c>
      <c r="M14" s="3">
        <f t="shared" si="24"/>
        <v>-2.48</v>
      </c>
      <c r="N14" s="3">
        <f t="shared" si="25"/>
        <v>150</v>
      </c>
      <c r="O14" s="3"/>
      <c r="P14" s="3">
        <f t="shared" si="26"/>
        <v>45.352617322834647</v>
      </c>
      <c r="Q14" s="3">
        <f t="shared" si="27"/>
        <v>109.8176</v>
      </c>
      <c r="R14" s="3">
        <f>vd(DataTable[[#This Row],[Sentido]],DataTable[[#This Row],[Valor]])</f>
        <v>57.37165354330709</v>
      </c>
      <c r="S14" s="3">
        <f>IF(DataTable[[#This Row],[Valor]]&gt;1,1,1)</f>
        <v>1</v>
      </c>
      <c r="T14" s="3">
        <f>IF(DataTable[[#This Row],[Valor]]&gt;1,1,1)</f>
        <v>1</v>
      </c>
      <c r="U14" s="3">
        <f>angr(DataTable[[#This Row],[Sentido]],DataTable[[#This Row],[Valor]])</f>
        <v>65.851968503937002</v>
      </c>
      <c r="V14" s="3">
        <f>ANGI(DataTable[[#This Row],[Sentido]],DataTable[[#This Row],[Valor]])</f>
        <v>66.54015748031496</v>
      </c>
      <c r="W14" s="3">
        <f t="shared" si="28"/>
        <v>1</v>
      </c>
      <c r="X14" s="3">
        <f>IF(DataTable[[#This Row],[Valor]]&gt;1,1,1)</f>
        <v>1</v>
      </c>
      <c r="Y14" s="3">
        <f t="shared" si="29"/>
        <v>1</v>
      </c>
      <c r="Z14" s="3">
        <f>IF(AND(DataTable[[#This Row],[Sentido]]="URUGUAI para BRASIL",DataTable[[#This Row],[Valor]]&gt;350),1,0)</f>
        <v>0</v>
      </c>
      <c r="AA14" s="3">
        <f>IF(DataTable[[#This Row],[Valor]]&gt;1,0,0)</f>
        <v>0</v>
      </c>
    </row>
    <row r="15" spans="1:27" x14ac:dyDescent="0.25">
      <c r="A15" s="2" t="s">
        <v>21</v>
      </c>
      <c r="B15" s="2">
        <v>63</v>
      </c>
      <c r="C15" s="3">
        <f t="shared" si="15"/>
        <v>81.25</v>
      </c>
      <c r="D15" s="3">
        <f t="shared" si="16"/>
        <v>87.5</v>
      </c>
      <c r="E15" s="3">
        <f t="shared" si="17"/>
        <v>83.75</v>
      </c>
      <c r="F15" s="3">
        <f t="shared" si="18"/>
        <v>59.96</v>
      </c>
      <c r="G15" s="3">
        <f t="shared" si="19"/>
        <v>137.44</v>
      </c>
      <c r="H15" s="3">
        <f t="shared" si="20"/>
        <v>137.44</v>
      </c>
      <c r="I15" s="3"/>
      <c r="J15" s="3">
        <f t="shared" si="21"/>
        <v>73.56</v>
      </c>
      <c r="K15" s="3">
        <f t="shared" si="22"/>
        <v>87.5</v>
      </c>
      <c r="L15" s="34">
        <f t="shared" si="23"/>
        <v>83.75</v>
      </c>
      <c r="M15" s="3">
        <f t="shared" si="24"/>
        <v>-2.52</v>
      </c>
      <c r="N15" s="3">
        <f t="shared" si="25"/>
        <v>150</v>
      </c>
      <c r="O15" s="3"/>
      <c r="P15" s="3">
        <f t="shared" si="26"/>
        <v>45.475672440944884</v>
      </c>
      <c r="Q15" s="3">
        <f t="shared" si="27"/>
        <v>109.8176</v>
      </c>
      <c r="R15" s="3">
        <f>vd(DataTable[[#This Row],[Sentido]],DataTable[[#This Row],[Valor]])</f>
        <v>58.190551181102364</v>
      </c>
      <c r="S15" s="3">
        <f>IF(DataTable[[#This Row],[Valor]]&gt;1,1,1)</f>
        <v>1</v>
      </c>
      <c r="T15" s="3">
        <f>IF(DataTable[[#This Row],[Valor]]&gt;1,1,1)</f>
        <v>1</v>
      </c>
      <c r="U15" s="3">
        <f>angr(DataTable[[#This Row],[Sentido]],DataTable[[#This Row],[Valor]])</f>
        <v>65.517322834645668</v>
      </c>
      <c r="V15" s="3">
        <f>ANGI(DataTable[[#This Row],[Sentido]],DataTable[[#This Row],[Valor]])</f>
        <v>66.213385826771656</v>
      </c>
      <c r="W15" s="3">
        <f t="shared" si="28"/>
        <v>1</v>
      </c>
      <c r="X15" s="3">
        <f>IF(DataTable[[#This Row],[Valor]]&gt;1,1,1)</f>
        <v>1</v>
      </c>
      <c r="Y15" s="3">
        <f t="shared" si="29"/>
        <v>1</v>
      </c>
      <c r="Z15" s="3">
        <f>IF(AND(DataTable[[#This Row],[Sentido]]="URUGUAI para BRASIL",DataTable[[#This Row],[Valor]]&gt;350),1,0)</f>
        <v>0</v>
      </c>
      <c r="AA15" s="3">
        <f>IF(DataTable[[#This Row],[Valor]]&gt;1,0,0)</f>
        <v>0</v>
      </c>
    </row>
    <row r="16" spans="1:27" x14ac:dyDescent="0.25">
      <c r="A16" s="2" t="s">
        <v>21</v>
      </c>
      <c r="B16" s="2">
        <v>64</v>
      </c>
      <c r="C16" s="3">
        <f t="shared" si="15"/>
        <v>81.25</v>
      </c>
      <c r="D16" s="3">
        <f t="shared" si="16"/>
        <v>87.5</v>
      </c>
      <c r="E16" s="3">
        <f t="shared" si="17"/>
        <v>83.75</v>
      </c>
      <c r="F16" s="3">
        <f t="shared" si="18"/>
        <v>59.88</v>
      </c>
      <c r="G16" s="3">
        <f t="shared" si="19"/>
        <v>137.32</v>
      </c>
      <c r="H16" s="3">
        <f t="shared" si="20"/>
        <v>137.32</v>
      </c>
      <c r="I16" s="3"/>
      <c r="J16" s="3">
        <f t="shared" si="21"/>
        <v>73.56</v>
      </c>
      <c r="K16" s="3">
        <f t="shared" si="22"/>
        <v>87.5</v>
      </c>
      <c r="L16" s="34">
        <f t="shared" si="23"/>
        <v>83.75</v>
      </c>
      <c r="M16" s="3">
        <f t="shared" si="24"/>
        <v>-2.56</v>
      </c>
      <c r="N16" s="3">
        <f t="shared" si="25"/>
        <v>150</v>
      </c>
      <c r="O16" s="3"/>
      <c r="P16" s="3">
        <f t="shared" si="26"/>
        <v>45.598727559055121</v>
      </c>
      <c r="Q16" s="3">
        <f t="shared" si="27"/>
        <v>109.8176</v>
      </c>
      <c r="R16" s="3">
        <f>vd(DataTable[[#This Row],[Sentido]],DataTable[[#This Row],[Valor]])</f>
        <v>59.009448818897646</v>
      </c>
      <c r="S16" s="3">
        <f>IF(DataTable[[#This Row],[Valor]]&gt;1,1,1)</f>
        <v>1</v>
      </c>
      <c r="T16" s="3">
        <f>IF(DataTable[[#This Row],[Valor]]&gt;1,1,1)</f>
        <v>1</v>
      </c>
      <c r="U16" s="3">
        <f>angr(DataTable[[#This Row],[Sentido]],DataTable[[#This Row],[Valor]])</f>
        <v>65.182677165354335</v>
      </c>
      <c r="V16" s="3">
        <f>ANGI(DataTable[[#This Row],[Sentido]],DataTable[[#This Row],[Valor]])</f>
        <v>65.886614173228338</v>
      </c>
      <c r="W16" s="3">
        <f t="shared" si="28"/>
        <v>1</v>
      </c>
      <c r="X16" s="3">
        <f>IF(DataTable[[#This Row],[Valor]]&gt;1,1,1)</f>
        <v>1</v>
      </c>
      <c r="Y16" s="3">
        <f t="shared" si="29"/>
        <v>1</v>
      </c>
      <c r="Z16" s="3">
        <f>IF(AND(DataTable[[#This Row],[Sentido]]="URUGUAI para BRASIL",DataTable[[#This Row],[Valor]]&gt;350),1,0)</f>
        <v>0</v>
      </c>
      <c r="AA16" s="3">
        <f>IF(DataTable[[#This Row],[Valor]]&gt;1,0,0)</f>
        <v>0</v>
      </c>
    </row>
    <row r="17" spans="1:27" x14ac:dyDescent="0.25">
      <c r="A17" s="2" t="s">
        <v>21</v>
      </c>
      <c r="B17" s="2">
        <v>65</v>
      </c>
      <c r="C17" s="3">
        <f t="shared" si="15"/>
        <v>81.25</v>
      </c>
      <c r="D17" s="3">
        <f t="shared" si="16"/>
        <v>87.5</v>
      </c>
      <c r="E17" s="3">
        <f t="shared" si="17"/>
        <v>83.75</v>
      </c>
      <c r="F17" s="3">
        <f t="shared" si="18"/>
        <v>59.8</v>
      </c>
      <c r="G17" s="3">
        <f t="shared" si="19"/>
        <v>137.19999999999999</v>
      </c>
      <c r="H17" s="3">
        <f t="shared" si="20"/>
        <v>137.19999999999999</v>
      </c>
      <c r="I17" s="3"/>
      <c r="J17" s="3">
        <f t="shared" si="21"/>
        <v>73.56</v>
      </c>
      <c r="K17" s="3">
        <f t="shared" si="22"/>
        <v>87.5</v>
      </c>
      <c r="L17" s="34">
        <f t="shared" si="23"/>
        <v>83.75</v>
      </c>
      <c r="M17" s="3">
        <f t="shared" si="24"/>
        <v>-2.6</v>
      </c>
      <c r="N17" s="3">
        <f t="shared" si="25"/>
        <v>150</v>
      </c>
      <c r="O17" s="3"/>
      <c r="P17" s="3">
        <f t="shared" si="26"/>
        <v>45.721782677165358</v>
      </c>
      <c r="Q17" s="3">
        <f t="shared" si="27"/>
        <v>109.8176</v>
      </c>
      <c r="R17" s="3">
        <f>vd(DataTable[[#This Row],[Sentido]],DataTable[[#This Row],[Valor]])</f>
        <v>59.82834645669292</v>
      </c>
      <c r="S17" s="3">
        <f>IF(DataTable[[#This Row],[Valor]]&gt;1,1,1)</f>
        <v>1</v>
      </c>
      <c r="T17" s="3">
        <f>IF(DataTable[[#This Row],[Valor]]&gt;1,1,1)</f>
        <v>1</v>
      </c>
      <c r="U17" s="3">
        <f>angr(DataTable[[#This Row],[Sentido]],DataTable[[#This Row],[Valor]])</f>
        <v>64.848031496062987</v>
      </c>
      <c r="V17" s="3">
        <f>ANGI(DataTable[[#This Row],[Sentido]],DataTable[[#This Row],[Valor]])</f>
        <v>65.559842519685034</v>
      </c>
      <c r="W17" s="3">
        <f t="shared" si="28"/>
        <v>1</v>
      </c>
      <c r="X17" s="3">
        <f>IF(DataTable[[#This Row],[Valor]]&gt;1,1,1)</f>
        <v>1</v>
      </c>
      <c r="Y17" s="3">
        <f t="shared" si="29"/>
        <v>1</v>
      </c>
      <c r="Z17" s="3">
        <f>IF(AND(DataTable[[#This Row],[Sentido]]="URUGUAI para BRASIL",DataTable[[#This Row],[Valor]]&gt;350),1,0)</f>
        <v>0</v>
      </c>
      <c r="AA17" s="3">
        <f>IF(DataTable[[#This Row],[Valor]]&gt;1,0,0)</f>
        <v>0</v>
      </c>
    </row>
    <row r="18" spans="1:27" x14ac:dyDescent="0.25">
      <c r="A18" s="2" t="s">
        <v>21</v>
      </c>
      <c r="B18" s="2">
        <v>66</v>
      </c>
      <c r="C18" s="3">
        <f t="shared" si="15"/>
        <v>81.25</v>
      </c>
      <c r="D18" s="3">
        <f t="shared" si="16"/>
        <v>87.5</v>
      </c>
      <c r="E18" s="3">
        <f t="shared" si="17"/>
        <v>83.75</v>
      </c>
      <c r="F18" s="3">
        <f t="shared" si="18"/>
        <v>59.72</v>
      </c>
      <c r="G18" s="3">
        <f t="shared" si="19"/>
        <v>137.07999999999998</v>
      </c>
      <c r="H18" s="3">
        <f t="shared" si="20"/>
        <v>137.07999999999998</v>
      </c>
      <c r="I18" s="3"/>
      <c r="J18" s="3">
        <f t="shared" si="21"/>
        <v>73.56</v>
      </c>
      <c r="K18" s="3">
        <f t="shared" si="22"/>
        <v>87.5</v>
      </c>
      <c r="L18" s="34">
        <f t="shared" si="23"/>
        <v>83.75</v>
      </c>
      <c r="M18" s="3">
        <f t="shared" si="24"/>
        <v>-2.64</v>
      </c>
      <c r="N18" s="3">
        <f t="shared" si="25"/>
        <v>150</v>
      </c>
      <c r="O18" s="3"/>
      <c r="P18" s="3">
        <f t="shared" si="26"/>
        <v>45.844837795275595</v>
      </c>
      <c r="Q18" s="3">
        <f t="shared" si="27"/>
        <v>109.8176</v>
      </c>
      <c r="R18" s="3">
        <f>vd(DataTable[[#This Row],[Sentido]],DataTable[[#This Row],[Valor]])</f>
        <v>60.647244094488187</v>
      </c>
      <c r="S18" s="3">
        <f>IF(DataTable[[#This Row],[Valor]]&gt;1,1,1)</f>
        <v>1</v>
      </c>
      <c r="T18" s="3">
        <f>IF(DataTable[[#This Row],[Valor]]&gt;1,1,1)</f>
        <v>1</v>
      </c>
      <c r="U18" s="3">
        <f>angr(DataTable[[#This Row],[Sentido]],DataTable[[#This Row],[Valor]])</f>
        <v>64.513385826771653</v>
      </c>
      <c r="V18" s="3">
        <f>ANGI(DataTable[[#This Row],[Sentido]],DataTable[[#This Row],[Valor]])</f>
        <v>65.23307086614173</v>
      </c>
      <c r="W18" s="3">
        <f t="shared" si="28"/>
        <v>1</v>
      </c>
      <c r="X18" s="3">
        <f>IF(DataTable[[#This Row],[Valor]]&gt;1,1,1)</f>
        <v>1</v>
      </c>
      <c r="Y18" s="3">
        <f t="shared" si="29"/>
        <v>1</v>
      </c>
      <c r="Z18" s="3">
        <f>IF(AND(DataTable[[#This Row],[Sentido]]="URUGUAI para BRASIL",DataTable[[#This Row],[Valor]]&gt;350),1,0)</f>
        <v>0</v>
      </c>
      <c r="AA18" s="3">
        <f>IF(DataTable[[#This Row],[Valor]]&gt;1,0,0)</f>
        <v>0</v>
      </c>
    </row>
    <row r="19" spans="1:27" x14ac:dyDescent="0.25">
      <c r="A19" s="2" t="s">
        <v>21</v>
      </c>
      <c r="B19" s="2">
        <v>67</v>
      </c>
      <c r="C19" s="3">
        <f t="shared" si="15"/>
        <v>81.25</v>
      </c>
      <c r="D19" s="3">
        <f t="shared" si="16"/>
        <v>87.5</v>
      </c>
      <c r="E19" s="3">
        <f t="shared" si="17"/>
        <v>83.75</v>
      </c>
      <c r="F19" s="3">
        <f t="shared" si="18"/>
        <v>59.64</v>
      </c>
      <c r="G19" s="3">
        <f t="shared" si="19"/>
        <v>136.95999999999998</v>
      </c>
      <c r="H19" s="3">
        <f t="shared" si="20"/>
        <v>136.95999999999998</v>
      </c>
      <c r="I19" s="3"/>
      <c r="J19" s="3">
        <f t="shared" si="21"/>
        <v>73.56</v>
      </c>
      <c r="K19" s="3">
        <f t="shared" si="22"/>
        <v>87.5</v>
      </c>
      <c r="L19" s="34">
        <f t="shared" si="23"/>
        <v>83.75</v>
      </c>
      <c r="M19" s="3">
        <f t="shared" si="24"/>
        <v>-2.68</v>
      </c>
      <c r="N19" s="3">
        <f t="shared" si="25"/>
        <v>150</v>
      </c>
      <c r="O19" s="3"/>
      <c r="P19" s="3">
        <f t="shared" si="26"/>
        <v>45.967892913385825</v>
      </c>
      <c r="Q19" s="3">
        <f t="shared" si="27"/>
        <v>109.8176</v>
      </c>
      <c r="R19" s="3">
        <f>vd(DataTable[[#This Row],[Sentido]],DataTable[[#This Row],[Valor]])</f>
        <v>61.466141732283461</v>
      </c>
      <c r="S19" s="3">
        <f>IF(DataTable[[#This Row],[Valor]]&gt;1,1,1)</f>
        <v>1</v>
      </c>
      <c r="T19" s="3">
        <f>IF(DataTable[[#This Row],[Valor]]&gt;1,1,1)</f>
        <v>1</v>
      </c>
      <c r="U19" s="3">
        <f>angr(DataTable[[#This Row],[Sentido]],DataTable[[#This Row],[Valor]])</f>
        <v>64.17874015748032</v>
      </c>
      <c r="V19" s="3">
        <f>ANGI(DataTable[[#This Row],[Sentido]],DataTable[[#This Row],[Valor]])</f>
        <v>64.906299212598427</v>
      </c>
      <c r="W19" s="3">
        <f t="shared" si="28"/>
        <v>1</v>
      </c>
      <c r="X19" s="3">
        <f>IF(DataTable[[#This Row],[Valor]]&gt;1,1,1)</f>
        <v>1</v>
      </c>
      <c r="Y19" s="3">
        <f t="shared" si="29"/>
        <v>1</v>
      </c>
      <c r="Z19" s="3">
        <f>IF(AND(DataTable[[#This Row],[Sentido]]="URUGUAI para BRASIL",DataTable[[#This Row],[Valor]]&gt;350),1,0)</f>
        <v>0</v>
      </c>
      <c r="AA19" s="3">
        <f>IF(DataTable[[#This Row],[Valor]]&gt;1,0,0)</f>
        <v>0</v>
      </c>
    </row>
    <row r="20" spans="1:27" x14ac:dyDescent="0.25">
      <c r="A20" s="2" t="s">
        <v>21</v>
      </c>
      <c r="B20" s="2">
        <v>68</v>
      </c>
      <c r="C20" s="3">
        <f t="shared" si="15"/>
        <v>81.25</v>
      </c>
      <c r="D20" s="3">
        <f t="shared" si="16"/>
        <v>87.5</v>
      </c>
      <c r="E20" s="3">
        <f t="shared" si="17"/>
        <v>83.75</v>
      </c>
      <c r="F20" s="3">
        <f t="shared" si="18"/>
        <v>59.56</v>
      </c>
      <c r="G20" s="3">
        <f t="shared" si="19"/>
        <v>136.84</v>
      </c>
      <c r="H20" s="3">
        <f t="shared" si="20"/>
        <v>136.84</v>
      </c>
      <c r="I20" s="3"/>
      <c r="J20" s="3">
        <f t="shared" si="21"/>
        <v>73.56</v>
      </c>
      <c r="K20" s="3">
        <f t="shared" si="22"/>
        <v>87.5</v>
      </c>
      <c r="L20" s="34">
        <f t="shared" si="23"/>
        <v>83.75</v>
      </c>
      <c r="M20" s="3">
        <f t="shared" si="24"/>
        <v>-2.72</v>
      </c>
      <c r="N20" s="3">
        <f t="shared" si="25"/>
        <v>150</v>
      </c>
      <c r="O20" s="3"/>
      <c r="P20" s="3">
        <f t="shared" si="26"/>
        <v>46.090948031496069</v>
      </c>
      <c r="Q20" s="3">
        <f t="shared" si="27"/>
        <v>109.8176</v>
      </c>
      <c r="R20" s="3">
        <f>vd(DataTable[[#This Row],[Sentido]],DataTable[[#This Row],[Valor]])</f>
        <v>62.285039370078735</v>
      </c>
      <c r="S20" s="3">
        <f>IF(DataTable[[#This Row],[Valor]]&gt;1,1,1)</f>
        <v>1</v>
      </c>
      <c r="T20" s="3">
        <f>IF(DataTable[[#This Row],[Valor]]&gt;1,1,1)</f>
        <v>1</v>
      </c>
      <c r="U20" s="3">
        <f>angr(DataTable[[#This Row],[Sentido]],DataTable[[#This Row],[Valor]])</f>
        <v>63.844094488188979</v>
      </c>
      <c r="V20" s="3">
        <f>ANGI(DataTable[[#This Row],[Sentido]],DataTable[[#This Row],[Valor]])</f>
        <v>64.579527559055123</v>
      </c>
      <c r="W20" s="3">
        <f t="shared" si="28"/>
        <v>1</v>
      </c>
      <c r="X20" s="3">
        <f>IF(DataTable[[#This Row],[Valor]]&gt;1,1,1)</f>
        <v>1</v>
      </c>
      <c r="Y20" s="3">
        <f t="shared" si="29"/>
        <v>1</v>
      </c>
      <c r="Z20" s="3">
        <f>IF(AND(DataTable[[#This Row],[Sentido]]="URUGUAI para BRASIL",DataTable[[#This Row],[Valor]]&gt;350),1,0)</f>
        <v>0</v>
      </c>
      <c r="AA20" s="3">
        <f>IF(DataTable[[#This Row],[Valor]]&gt;1,0,0)</f>
        <v>0</v>
      </c>
    </row>
    <row r="21" spans="1:27" x14ac:dyDescent="0.25">
      <c r="A21" s="2" t="s">
        <v>21</v>
      </c>
      <c r="B21" s="2">
        <v>69</v>
      </c>
      <c r="C21" s="3">
        <f t="shared" si="15"/>
        <v>81.25</v>
      </c>
      <c r="D21" s="3">
        <f t="shared" si="16"/>
        <v>87.5</v>
      </c>
      <c r="E21" s="3">
        <f t="shared" si="17"/>
        <v>83.75</v>
      </c>
      <c r="F21" s="3">
        <f t="shared" si="18"/>
        <v>59.48</v>
      </c>
      <c r="G21" s="3">
        <f t="shared" si="19"/>
        <v>136.72</v>
      </c>
      <c r="H21" s="3">
        <f t="shared" si="20"/>
        <v>136.72</v>
      </c>
      <c r="I21" s="3"/>
      <c r="J21" s="3">
        <f t="shared" si="21"/>
        <v>73.56</v>
      </c>
      <c r="K21" s="3">
        <f t="shared" si="22"/>
        <v>87.5</v>
      </c>
      <c r="L21" s="34">
        <f t="shared" si="23"/>
        <v>83.75</v>
      </c>
      <c r="M21" s="3">
        <f t="shared" si="24"/>
        <v>-2.7600000000000002</v>
      </c>
      <c r="N21" s="3">
        <f t="shared" si="25"/>
        <v>150</v>
      </c>
      <c r="O21" s="3"/>
      <c r="P21" s="3">
        <f t="shared" si="26"/>
        <v>46.214003149606306</v>
      </c>
      <c r="Q21" s="3">
        <f t="shared" si="27"/>
        <v>109.8176</v>
      </c>
      <c r="R21" s="3">
        <f>vd(DataTable[[#This Row],[Sentido]],DataTable[[#This Row],[Valor]])</f>
        <v>63.103937007874023</v>
      </c>
      <c r="S21" s="3">
        <f>IF(DataTable[[#This Row],[Valor]]&gt;1,1,1)</f>
        <v>1</v>
      </c>
      <c r="T21" s="3">
        <f>IF(DataTable[[#This Row],[Valor]]&gt;1,1,1)</f>
        <v>1</v>
      </c>
      <c r="U21" s="3">
        <f>angr(DataTable[[#This Row],[Sentido]],DataTable[[#This Row],[Valor]])</f>
        <v>63.509448818897638</v>
      </c>
      <c r="V21" s="3">
        <f>ANGI(DataTable[[#This Row],[Sentido]],DataTable[[#This Row],[Valor]])</f>
        <v>64.252755905511805</v>
      </c>
      <c r="W21" s="3">
        <f t="shared" si="28"/>
        <v>1</v>
      </c>
      <c r="X21" s="3">
        <f>IF(DataTable[[#This Row],[Valor]]&gt;1,1,1)</f>
        <v>1</v>
      </c>
      <c r="Y21" s="3">
        <f t="shared" si="29"/>
        <v>1</v>
      </c>
      <c r="Z21" s="3">
        <f>IF(AND(DataTable[[#This Row],[Sentido]]="URUGUAI para BRASIL",DataTable[[#This Row],[Valor]]&gt;350),1,0)</f>
        <v>0</v>
      </c>
      <c r="AA21" s="3">
        <f>IF(DataTable[[#This Row],[Valor]]&gt;1,0,0)</f>
        <v>0</v>
      </c>
    </row>
    <row r="22" spans="1:27" x14ac:dyDescent="0.25">
      <c r="A22" s="2" t="s">
        <v>21</v>
      </c>
      <c r="B22" s="2">
        <v>70</v>
      </c>
      <c r="C22" s="3">
        <f t="shared" si="15"/>
        <v>81.25</v>
      </c>
      <c r="D22" s="3">
        <f t="shared" si="16"/>
        <v>87.5</v>
      </c>
      <c r="E22" s="3">
        <f t="shared" si="17"/>
        <v>83.75</v>
      </c>
      <c r="F22" s="3">
        <f t="shared" si="18"/>
        <v>59.4</v>
      </c>
      <c r="G22" s="3">
        <f t="shared" si="19"/>
        <v>136.6</v>
      </c>
      <c r="H22" s="3">
        <f t="shared" si="20"/>
        <v>136.6</v>
      </c>
      <c r="I22" s="3"/>
      <c r="J22" s="3">
        <f t="shared" si="21"/>
        <v>73.56</v>
      </c>
      <c r="K22" s="3">
        <f t="shared" si="22"/>
        <v>87.5</v>
      </c>
      <c r="L22" s="34">
        <f t="shared" si="23"/>
        <v>83.75</v>
      </c>
      <c r="M22" s="3">
        <f t="shared" si="24"/>
        <v>-2.8000000000000003</v>
      </c>
      <c r="N22" s="3">
        <f t="shared" si="25"/>
        <v>150</v>
      </c>
      <c r="O22" s="3"/>
      <c r="P22" s="3">
        <f t="shared" si="26"/>
        <v>46.337058267716536</v>
      </c>
      <c r="Q22" s="3">
        <f t="shared" si="27"/>
        <v>109.8176</v>
      </c>
      <c r="R22" s="3">
        <f>vd(DataTable[[#This Row],[Sentido]],DataTable[[#This Row],[Valor]])</f>
        <v>63.922834645669298</v>
      </c>
      <c r="S22" s="3">
        <f>IF(DataTable[[#This Row],[Valor]]&gt;1,1,1)</f>
        <v>1</v>
      </c>
      <c r="T22" s="3">
        <f>IF(DataTable[[#This Row],[Valor]]&gt;1,1,1)</f>
        <v>1</v>
      </c>
      <c r="U22" s="3">
        <f>angr(DataTable[[#This Row],[Sentido]],DataTable[[#This Row],[Valor]])</f>
        <v>63.174803149606298</v>
      </c>
      <c r="V22" s="3">
        <f>ANGI(DataTable[[#This Row],[Sentido]],DataTable[[#This Row],[Valor]])</f>
        <v>63.925984251968501</v>
      </c>
      <c r="W22" s="3">
        <f t="shared" si="28"/>
        <v>1</v>
      </c>
      <c r="X22" s="3">
        <f>IF(DataTable[[#This Row],[Valor]]&gt;1,1,1)</f>
        <v>1</v>
      </c>
      <c r="Y22" s="3">
        <f t="shared" si="29"/>
        <v>1</v>
      </c>
      <c r="Z22" s="3">
        <f>IF(AND(DataTable[[#This Row],[Sentido]]="URUGUAI para BRASIL",DataTable[[#This Row],[Valor]]&gt;350),1,0)</f>
        <v>0</v>
      </c>
      <c r="AA22" s="3">
        <f>IF(DataTable[[#This Row],[Valor]]&gt;1,0,0)</f>
        <v>0</v>
      </c>
    </row>
    <row r="23" spans="1:27" x14ac:dyDescent="0.25">
      <c r="A23" s="2" t="s">
        <v>21</v>
      </c>
      <c r="B23" s="2">
        <v>71</v>
      </c>
      <c r="C23" s="3">
        <f t="shared" si="15"/>
        <v>81.25</v>
      </c>
      <c r="D23" s="3">
        <f t="shared" si="16"/>
        <v>87.5</v>
      </c>
      <c r="E23" s="3">
        <f t="shared" si="17"/>
        <v>83.75</v>
      </c>
      <c r="F23" s="3">
        <f t="shared" si="18"/>
        <v>59.32</v>
      </c>
      <c r="G23" s="3">
        <f t="shared" si="19"/>
        <v>136.48000000000002</v>
      </c>
      <c r="H23" s="3">
        <f t="shared" si="20"/>
        <v>136.48000000000002</v>
      </c>
      <c r="I23" s="3"/>
      <c r="J23" s="3">
        <f t="shared" si="21"/>
        <v>73.56</v>
      </c>
      <c r="K23" s="3">
        <f t="shared" si="22"/>
        <v>87.5</v>
      </c>
      <c r="L23" s="34">
        <f t="shared" si="23"/>
        <v>83.75</v>
      </c>
      <c r="M23" s="3">
        <f t="shared" si="24"/>
        <v>-2.84</v>
      </c>
      <c r="N23" s="3">
        <f t="shared" si="25"/>
        <v>150</v>
      </c>
      <c r="O23" s="3"/>
      <c r="P23" s="3">
        <f t="shared" si="26"/>
        <v>46.460113385826773</v>
      </c>
      <c r="Q23" s="3">
        <f t="shared" si="27"/>
        <v>109.8176</v>
      </c>
      <c r="R23" s="3">
        <f>vd(DataTable[[#This Row],[Sentido]],DataTable[[#This Row],[Valor]])</f>
        <v>64.741732283464572</v>
      </c>
      <c r="S23" s="3">
        <f>IF(DataTable[[#This Row],[Valor]]&gt;1,1,1)</f>
        <v>1</v>
      </c>
      <c r="T23" s="3">
        <f>IF(DataTable[[#This Row],[Valor]]&gt;1,1,1)</f>
        <v>1</v>
      </c>
      <c r="U23" s="3">
        <f>angr(DataTable[[#This Row],[Sentido]],DataTable[[#This Row],[Valor]])</f>
        <v>62.840157480314957</v>
      </c>
      <c r="V23" s="3">
        <f>ANGI(DataTable[[#This Row],[Sentido]],DataTable[[#This Row],[Valor]])</f>
        <v>63.599212598425197</v>
      </c>
      <c r="W23" s="3">
        <f t="shared" si="28"/>
        <v>1</v>
      </c>
      <c r="X23" s="3">
        <f>IF(DataTable[[#This Row],[Valor]]&gt;1,1,1)</f>
        <v>1</v>
      </c>
      <c r="Y23" s="3">
        <f t="shared" si="29"/>
        <v>1</v>
      </c>
      <c r="Z23" s="3">
        <f>IF(AND(DataTable[[#This Row],[Sentido]]="URUGUAI para BRASIL",DataTable[[#This Row],[Valor]]&gt;350),1,0)</f>
        <v>0</v>
      </c>
      <c r="AA23" s="3">
        <f>IF(DataTable[[#This Row],[Valor]]&gt;1,0,0)</f>
        <v>0</v>
      </c>
    </row>
    <row r="24" spans="1:27" x14ac:dyDescent="0.25">
      <c r="A24" s="2" t="s">
        <v>21</v>
      </c>
      <c r="B24" s="2">
        <v>72</v>
      </c>
      <c r="C24" s="3">
        <f t="shared" si="15"/>
        <v>81.25</v>
      </c>
      <c r="D24" s="3">
        <f t="shared" si="16"/>
        <v>87.5</v>
      </c>
      <c r="E24" s="3">
        <f t="shared" si="17"/>
        <v>83.75</v>
      </c>
      <c r="F24" s="3">
        <f t="shared" si="18"/>
        <v>59.24</v>
      </c>
      <c r="G24" s="3">
        <f t="shared" si="19"/>
        <v>136.36000000000001</v>
      </c>
      <c r="H24" s="3">
        <f t="shared" si="20"/>
        <v>136.36000000000001</v>
      </c>
      <c r="I24" s="3"/>
      <c r="J24" s="3">
        <f t="shared" si="21"/>
        <v>73.56</v>
      </c>
      <c r="K24" s="3">
        <f t="shared" si="22"/>
        <v>87.5</v>
      </c>
      <c r="L24" s="34">
        <f t="shared" si="23"/>
        <v>83.75</v>
      </c>
      <c r="M24" s="3">
        <f t="shared" si="24"/>
        <v>-2.88</v>
      </c>
      <c r="N24" s="3">
        <f t="shared" si="25"/>
        <v>150</v>
      </c>
      <c r="O24" s="3"/>
      <c r="P24" s="3">
        <f t="shared" si="26"/>
        <v>46.58316850393701</v>
      </c>
      <c r="Q24" s="3">
        <f t="shared" si="27"/>
        <v>109.8176</v>
      </c>
      <c r="R24" s="3">
        <f>vd(DataTable[[#This Row],[Sentido]],DataTable[[#This Row],[Valor]])</f>
        <v>65.560629921259846</v>
      </c>
      <c r="S24" s="3">
        <f>IF(DataTable[[#This Row],[Valor]]&gt;1,1,1)</f>
        <v>1</v>
      </c>
      <c r="T24" s="3">
        <f>IF(DataTable[[#This Row],[Valor]]&gt;1,1,1)</f>
        <v>1</v>
      </c>
      <c r="U24" s="3">
        <f>angr(DataTable[[#This Row],[Sentido]],DataTable[[#This Row],[Valor]])</f>
        <v>62.505511811023624</v>
      </c>
      <c r="V24" s="3">
        <f>ANGI(DataTable[[#This Row],[Sentido]],DataTable[[#This Row],[Valor]])</f>
        <v>63.272440944881893</v>
      </c>
      <c r="W24" s="3">
        <f t="shared" si="28"/>
        <v>1</v>
      </c>
      <c r="X24" s="3">
        <f>IF(DataTable[[#This Row],[Valor]]&gt;1,1,1)</f>
        <v>1</v>
      </c>
      <c r="Y24" s="3">
        <f t="shared" si="29"/>
        <v>1</v>
      </c>
      <c r="Z24" s="3">
        <f>IF(AND(DataTable[[#This Row],[Sentido]]="URUGUAI para BRASIL",DataTable[[#This Row],[Valor]]&gt;350),1,0)</f>
        <v>0</v>
      </c>
      <c r="AA24" s="3">
        <f>IF(DataTable[[#This Row],[Valor]]&gt;1,0,0)</f>
        <v>0</v>
      </c>
    </row>
    <row r="25" spans="1:27" x14ac:dyDescent="0.25">
      <c r="A25" s="2" t="s">
        <v>21</v>
      </c>
      <c r="B25" s="2">
        <v>73</v>
      </c>
      <c r="C25" s="3">
        <f t="shared" si="15"/>
        <v>81.25</v>
      </c>
      <c r="D25" s="3">
        <f t="shared" si="16"/>
        <v>87.5</v>
      </c>
      <c r="E25" s="3">
        <f t="shared" si="17"/>
        <v>83.75</v>
      </c>
      <c r="F25" s="3">
        <f t="shared" si="18"/>
        <v>59.16</v>
      </c>
      <c r="G25" s="3">
        <f t="shared" si="19"/>
        <v>136.24</v>
      </c>
      <c r="H25" s="3">
        <f t="shared" si="20"/>
        <v>136.24</v>
      </c>
      <c r="I25" s="3"/>
      <c r="J25" s="3">
        <f t="shared" si="21"/>
        <v>73.56</v>
      </c>
      <c r="K25" s="3">
        <f t="shared" si="22"/>
        <v>87.5</v>
      </c>
      <c r="L25" s="34">
        <f t="shared" si="23"/>
        <v>83.75</v>
      </c>
      <c r="M25" s="3">
        <f t="shared" si="24"/>
        <v>-2.92</v>
      </c>
      <c r="N25" s="3">
        <f t="shared" si="25"/>
        <v>150</v>
      </c>
      <c r="O25" s="3"/>
      <c r="P25" s="3">
        <f t="shared" si="26"/>
        <v>46.706223622047247</v>
      </c>
      <c r="Q25" s="3">
        <f t="shared" si="27"/>
        <v>109.8176</v>
      </c>
      <c r="R25" s="3">
        <f>vd(DataTable[[#This Row],[Sentido]],DataTable[[#This Row],[Valor]])</f>
        <v>66.37952755905512</v>
      </c>
      <c r="S25" s="3">
        <f>IF(DataTable[[#This Row],[Valor]]&gt;1,1,1)</f>
        <v>1</v>
      </c>
      <c r="T25" s="3">
        <f>IF(DataTable[[#This Row],[Valor]]&gt;1,1,1)</f>
        <v>1</v>
      </c>
      <c r="U25" s="3">
        <f>angr(DataTable[[#This Row],[Sentido]],DataTable[[#This Row],[Valor]])</f>
        <v>62.170866141732283</v>
      </c>
      <c r="V25" s="3">
        <f>ANGI(DataTable[[#This Row],[Sentido]],DataTable[[#This Row],[Valor]])</f>
        <v>62.945669291338582</v>
      </c>
      <c r="W25" s="3">
        <f t="shared" si="28"/>
        <v>1</v>
      </c>
      <c r="X25" s="3">
        <f>IF(DataTable[[#This Row],[Valor]]&gt;1,1,1)</f>
        <v>1</v>
      </c>
      <c r="Y25" s="3">
        <f t="shared" si="29"/>
        <v>1</v>
      </c>
      <c r="Z25" s="3">
        <f>IF(AND(DataTable[[#This Row],[Sentido]]="URUGUAI para BRASIL",DataTable[[#This Row],[Valor]]&gt;350),1,0)</f>
        <v>0</v>
      </c>
      <c r="AA25" s="3">
        <f>IF(DataTable[[#This Row],[Valor]]&gt;1,0,0)</f>
        <v>0</v>
      </c>
    </row>
    <row r="26" spans="1:27" x14ac:dyDescent="0.25">
      <c r="A26" s="2" t="s">
        <v>21</v>
      </c>
      <c r="B26" s="2">
        <v>74</v>
      </c>
      <c r="C26" s="3">
        <f t="shared" si="15"/>
        <v>81.25</v>
      </c>
      <c r="D26" s="3">
        <f t="shared" si="16"/>
        <v>87.5</v>
      </c>
      <c r="E26" s="3">
        <f t="shared" si="17"/>
        <v>83.75</v>
      </c>
      <c r="F26" s="3">
        <f t="shared" si="18"/>
        <v>59.08</v>
      </c>
      <c r="G26" s="3">
        <f t="shared" si="19"/>
        <v>136.12</v>
      </c>
      <c r="H26" s="3">
        <f t="shared" si="20"/>
        <v>136.12</v>
      </c>
      <c r="I26" s="3"/>
      <c r="J26" s="3">
        <f t="shared" si="21"/>
        <v>73.56</v>
      </c>
      <c r="K26" s="3">
        <f t="shared" si="22"/>
        <v>87.5</v>
      </c>
      <c r="L26" s="34">
        <f t="shared" si="23"/>
        <v>83.75</v>
      </c>
      <c r="M26" s="3">
        <f t="shared" si="24"/>
        <v>-2.96</v>
      </c>
      <c r="N26" s="3">
        <f t="shared" si="25"/>
        <v>150</v>
      </c>
      <c r="O26" s="3"/>
      <c r="P26" s="3">
        <f t="shared" si="26"/>
        <v>46.829278740157484</v>
      </c>
      <c r="Q26" s="3">
        <f t="shared" si="27"/>
        <v>109.8176</v>
      </c>
      <c r="R26" s="3">
        <f>vd(DataTable[[#This Row],[Sentido]],DataTable[[#This Row],[Valor]])</f>
        <v>67.198425196850394</v>
      </c>
      <c r="S26" s="3">
        <f>IF(DataTable[[#This Row],[Valor]]&gt;1,1,1)</f>
        <v>1</v>
      </c>
      <c r="T26" s="3">
        <f>IF(DataTable[[#This Row],[Valor]]&gt;1,1,1)</f>
        <v>1</v>
      </c>
      <c r="U26" s="3">
        <f>angr(DataTable[[#This Row],[Sentido]],DataTable[[#This Row],[Valor]])</f>
        <v>61.836220472440942</v>
      </c>
      <c r="V26" s="3">
        <f>ANGI(DataTable[[#This Row],[Sentido]],DataTable[[#This Row],[Valor]])</f>
        <v>62.618897637795271</v>
      </c>
      <c r="W26" s="3">
        <f t="shared" si="28"/>
        <v>1</v>
      </c>
      <c r="X26" s="3">
        <f>IF(DataTable[[#This Row],[Valor]]&gt;1,1,1)</f>
        <v>1</v>
      </c>
      <c r="Y26" s="3">
        <f t="shared" si="29"/>
        <v>1</v>
      </c>
      <c r="Z26" s="3">
        <f>IF(AND(DataTable[[#This Row],[Sentido]]="URUGUAI para BRASIL",DataTable[[#This Row],[Valor]]&gt;350),1,0)</f>
        <v>0</v>
      </c>
      <c r="AA26" s="3">
        <f>IF(DataTable[[#This Row],[Valor]]&gt;1,0,0)</f>
        <v>0</v>
      </c>
    </row>
    <row r="27" spans="1:27" x14ac:dyDescent="0.25">
      <c r="A27" s="2" t="s">
        <v>21</v>
      </c>
      <c r="B27" s="2">
        <v>75</v>
      </c>
      <c r="C27" s="3">
        <f t="shared" si="15"/>
        <v>81.25</v>
      </c>
      <c r="D27" s="3">
        <f t="shared" si="16"/>
        <v>87.5</v>
      </c>
      <c r="E27" s="3">
        <f t="shared" si="17"/>
        <v>83.75</v>
      </c>
      <c r="F27" s="3">
        <f t="shared" si="18"/>
        <v>59</v>
      </c>
      <c r="G27" s="3">
        <f t="shared" si="19"/>
        <v>136</v>
      </c>
      <c r="H27" s="3">
        <f t="shared" si="20"/>
        <v>136</v>
      </c>
      <c r="I27" s="3"/>
      <c r="J27" s="3">
        <f t="shared" si="21"/>
        <v>73.56</v>
      </c>
      <c r="K27" s="3">
        <f t="shared" si="22"/>
        <v>87.5</v>
      </c>
      <c r="L27" s="34">
        <f t="shared" si="23"/>
        <v>83.75</v>
      </c>
      <c r="M27" s="3">
        <f t="shared" si="24"/>
        <v>-3</v>
      </c>
      <c r="N27" s="3">
        <f t="shared" si="25"/>
        <v>150</v>
      </c>
      <c r="O27" s="3"/>
      <c r="P27" s="3">
        <f t="shared" si="26"/>
        <v>46.952333858267721</v>
      </c>
      <c r="Q27" s="3">
        <f t="shared" si="27"/>
        <v>109.8176</v>
      </c>
      <c r="R27" s="3">
        <f>vd(DataTable[[#This Row],[Sentido]],DataTable[[#This Row],[Valor]])</f>
        <v>68.017322834645668</v>
      </c>
      <c r="S27" s="3">
        <f>IF(DataTable[[#This Row],[Valor]]&gt;1,1,1)</f>
        <v>1</v>
      </c>
      <c r="T27" s="3">
        <f>IF(DataTable[[#This Row],[Valor]]&gt;1,1,1)</f>
        <v>1</v>
      </c>
      <c r="U27" s="3">
        <f>angr(DataTable[[#This Row],[Sentido]],DataTable[[#This Row],[Valor]])</f>
        <v>61.501574803149609</v>
      </c>
      <c r="V27" s="3">
        <f>ANGI(DataTable[[#This Row],[Sentido]],DataTable[[#This Row],[Valor]])</f>
        <v>62.292125984251967</v>
      </c>
      <c r="W27" s="3">
        <f t="shared" si="28"/>
        <v>1</v>
      </c>
      <c r="X27" s="3">
        <f>IF(DataTable[[#This Row],[Valor]]&gt;1,1,1)</f>
        <v>1</v>
      </c>
      <c r="Y27" s="3">
        <f t="shared" si="29"/>
        <v>1</v>
      </c>
      <c r="Z27" s="3">
        <f>IF(AND(DataTable[[#This Row],[Sentido]]="URUGUAI para BRASIL",DataTable[[#This Row],[Valor]]&gt;350),1,0)</f>
        <v>0</v>
      </c>
      <c r="AA27" s="3">
        <f>IF(DataTable[[#This Row],[Valor]]&gt;1,0,0)</f>
        <v>0</v>
      </c>
    </row>
    <row r="28" spans="1:27" x14ac:dyDescent="0.25">
      <c r="A28" s="2" t="s">
        <v>21</v>
      </c>
      <c r="B28" s="2">
        <v>76</v>
      </c>
      <c r="C28" s="3">
        <f t="shared" si="15"/>
        <v>81.25</v>
      </c>
      <c r="D28" s="3">
        <f t="shared" si="16"/>
        <v>87.5</v>
      </c>
      <c r="E28" s="3">
        <f t="shared" si="17"/>
        <v>83.75</v>
      </c>
      <c r="F28" s="3">
        <f t="shared" si="18"/>
        <v>58.92</v>
      </c>
      <c r="G28" s="3">
        <f t="shared" si="19"/>
        <v>135.88</v>
      </c>
      <c r="H28" s="3">
        <f t="shared" si="20"/>
        <v>135.88</v>
      </c>
      <c r="I28" s="3"/>
      <c r="J28" s="3">
        <f t="shared" si="21"/>
        <v>73.56</v>
      </c>
      <c r="K28" s="3">
        <f t="shared" si="22"/>
        <v>87.5</v>
      </c>
      <c r="L28" s="34">
        <f t="shared" si="23"/>
        <v>83.75</v>
      </c>
      <c r="M28" s="3">
        <f t="shared" si="24"/>
        <v>-3.04</v>
      </c>
      <c r="N28" s="3">
        <f t="shared" si="25"/>
        <v>150</v>
      </c>
      <c r="O28" s="3"/>
      <c r="P28" s="3">
        <f t="shared" si="26"/>
        <v>47.075388976377958</v>
      </c>
      <c r="Q28" s="3">
        <f t="shared" si="27"/>
        <v>109.8176</v>
      </c>
      <c r="R28" s="3">
        <f>vd(DataTable[[#This Row],[Sentido]],DataTable[[#This Row],[Valor]])</f>
        <v>68.836220472440942</v>
      </c>
      <c r="S28" s="3">
        <f>IF(DataTable[[#This Row],[Valor]]&gt;1,1,1)</f>
        <v>1</v>
      </c>
      <c r="T28" s="3">
        <f>IF(DataTable[[#This Row],[Valor]]&gt;1,1,1)</f>
        <v>1</v>
      </c>
      <c r="U28" s="3">
        <f>angr(DataTable[[#This Row],[Sentido]],DataTable[[#This Row],[Valor]])</f>
        <v>61.166929133858268</v>
      </c>
      <c r="V28" s="3">
        <f>ANGI(DataTable[[#This Row],[Sentido]],DataTable[[#This Row],[Valor]])</f>
        <v>61.965354330708664</v>
      </c>
      <c r="W28" s="3">
        <f t="shared" si="28"/>
        <v>1</v>
      </c>
      <c r="X28" s="3">
        <f>IF(DataTable[[#This Row],[Valor]]&gt;1,1,1)</f>
        <v>1</v>
      </c>
      <c r="Y28" s="3">
        <f t="shared" si="29"/>
        <v>1</v>
      </c>
      <c r="Z28" s="3">
        <f>IF(AND(DataTable[[#This Row],[Sentido]]="URUGUAI para BRASIL",DataTable[[#This Row],[Valor]]&gt;350),1,0)</f>
        <v>0</v>
      </c>
      <c r="AA28" s="3">
        <f>IF(DataTable[[#This Row],[Valor]]&gt;1,0,0)</f>
        <v>0</v>
      </c>
    </row>
    <row r="29" spans="1:27" x14ac:dyDescent="0.25">
      <c r="A29" s="2" t="s">
        <v>21</v>
      </c>
      <c r="B29" s="2">
        <v>77</v>
      </c>
      <c r="C29" s="3">
        <f t="shared" si="15"/>
        <v>81.25</v>
      </c>
      <c r="D29" s="3">
        <f t="shared" si="16"/>
        <v>87.5</v>
      </c>
      <c r="E29" s="3">
        <f t="shared" si="17"/>
        <v>83.75</v>
      </c>
      <c r="F29" s="3">
        <f t="shared" si="18"/>
        <v>58.84</v>
      </c>
      <c r="G29" s="3">
        <f t="shared" si="19"/>
        <v>135.76</v>
      </c>
      <c r="H29" s="3">
        <f t="shared" si="20"/>
        <v>135.76</v>
      </c>
      <c r="I29" s="3"/>
      <c r="J29" s="3">
        <f t="shared" si="21"/>
        <v>73.56</v>
      </c>
      <c r="K29" s="3">
        <f t="shared" si="22"/>
        <v>87.5</v>
      </c>
      <c r="L29" s="34">
        <f t="shared" si="23"/>
        <v>83.75</v>
      </c>
      <c r="M29" s="3">
        <f t="shared" si="24"/>
        <v>-3.08</v>
      </c>
      <c r="N29" s="3">
        <f t="shared" si="25"/>
        <v>150</v>
      </c>
      <c r="O29" s="3"/>
      <c r="P29" s="3">
        <f t="shared" si="26"/>
        <v>47.198444094488188</v>
      </c>
      <c r="Q29" s="3">
        <f t="shared" si="27"/>
        <v>109.8176</v>
      </c>
      <c r="R29" s="3">
        <f>vd(DataTable[[#This Row],[Sentido]],DataTable[[#This Row],[Valor]])</f>
        <v>69.606590842811315</v>
      </c>
      <c r="S29" s="3">
        <f>IF(DataTable[[#This Row],[Valor]]&gt;1,1,1)</f>
        <v>1</v>
      </c>
      <c r="T29" s="3">
        <f>IF(DataTable[[#This Row],[Valor]]&gt;1,1,1)</f>
        <v>1</v>
      </c>
      <c r="U29" s="3">
        <f>angr(DataTable[[#This Row],[Sentido]],DataTable[[#This Row],[Valor]])</f>
        <v>60.837532808398954</v>
      </c>
      <c r="V29" s="3">
        <f>ANGI(DataTable[[#This Row],[Sentido]],DataTable[[#This Row],[Valor]])</f>
        <v>61.643365412656749</v>
      </c>
      <c r="W29" s="3">
        <f t="shared" si="28"/>
        <v>1</v>
      </c>
      <c r="X29" s="3">
        <f>IF(DataTable[[#This Row],[Valor]]&gt;1,1,1)</f>
        <v>1</v>
      </c>
      <c r="Y29" s="3">
        <f t="shared" si="29"/>
        <v>1</v>
      </c>
      <c r="Z29" s="3">
        <f>IF(AND(DataTable[[#This Row],[Sentido]]="URUGUAI para BRASIL",DataTable[[#This Row],[Valor]]&gt;350),1,0)</f>
        <v>0</v>
      </c>
      <c r="AA29" s="3">
        <f>IF(DataTable[[#This Row],[Valor]]&gt;1,0,0)</f>
        <v>0</v>
      </c>
    </row>
    <row r="30" spans="1:27" x14ac:dyDescent="0.25">
      <c r="A30" s="2" t="s">
        <v>21</v>
      </c>
      <c r="B30" s="2">
        <v>78</v>
      </c>
      <c r="C30" s="3">
        <f t="shared" si="15"/>
        <v>81.25</v>
      </c>
      <c r="D30" s="3">
        <f t="shared" si="16"/>
        <v>87.5</v>
      </c>
      <c r="E30" s="3">
        <f t="shared" si="17"/>
        <v>83.75</v>
      </c>
      <c r="F30" s="3">
        <f t="shared" si="18"/>
        <v>58.76</v>
      </c>
      <c r="G30" s="3">
        <f t="shared" si="19"/>
        <v>135.63999999999999</v>
      </c>
      <c r="H30" s="3">
        <f t="shared" si="20"/>
        <v>135.63999999999999</v>
      </c>
      <c r="I30" s="3"/>
      <c r="J30" s="3">
        <f t="shared" si="21"/>
        <v>73.56</v>
      </c>
      <c r="K30" s="3">
        <f t="shared" si="22"/>
        <v>87.5</v>
      </c>
      <c r="L30" s="34">
        <f t="shared" si="23"/>
        <v>83.75</v>
      </c>
      <c r="M30" s="3">
        <f t="shared" si="24"/>
        <v>-3.12</v>
      </c>
      <c r="N30" s="3">
        <f t="shared" si="25"/>
        <v>150</v>
      </c>
      <c r="O30" s="3"/>
      <c r="P30" s="3">
        <f t="shared" si="26"/>
        <v>47.321499212598425</v>
      </c>
      <c r="Q30" s="3">
        <f t="shared" si="27"/>
        <v>109.8176</v>
      </c>
      <c r="R30" s="3">
        <f>vd(DataTable[[#This Row],[Sentido]],DataTable[[#This Row],[Valor]])</f>
        <v>70.364829396325462</v>
      </c>
      <c r="S30" s="3">
        <f>IF(DataTable[[#This Row],[Valor]]&gt;1,1,1)</f>
        <v>1</v>
      </c>
      <c r="T30" s="3">
        <f>IF(DataTable[[#This Row],[Valor]]&gt;1,1,1)</f>
        <v>1</v>
      </c>
      <c r="U30" s="3">
        <f>angr(DataTable[[#This Row],[Sentido]],DataTable[[#This Row],[Valor]])</f>
        <v>60.509448818897638</v>
      </c>
      <c r="V30" s="3">
        <f>ANGI(DataTable[[#This Row],[Sentido]],DataTable[[#This Row],[Valor]])</f>
        <v>61.322572178477692</v>
      </c>
      <c r="W30" s="3">
        <f t="shared" si="28"/>
        <v>1</v>
      </c>
      <c r="X30" s="3">
        <f>IF(DataTable[[#This Row],[Valor]]&gt;1,1,1)</f>
        <v>1</v>
      </c>
      <c r="Y30" s="3">
        <f t="shared" si="29"/>
        <v>1</v>
      </c>
      <c r="Z30" s="3">
        <f>IF(AND(DataTable[[#This Row],[Sentido]]="URUGUAI para BRASIL",DataTable[[#This Row],[Valor]]&gt;350),1,0)</f>
        <v>0</v>
      </c>
      <c r="AA30" s="3">
        <f>IF(DataTable[[#This Row],[Valor]]&gt;1,0,0)</f>
        <v>0</v>
      </c>
    </row>
    <row r="31" spans="1:27" x14ac:dyDescent="0.25">
      <c r="A31" s="2" t="s">
        <v>21</v>
      </c>
      <c r="B31" s="2">
        <v>79</v>
      </c>
      <c r="C31" s="3">
        <f t="shared" si="15"/>
        <v>81.25</v>
      </c>
      <c r="D31" s="3">
        <f t="shared" si="16"/>
        <v>87.5</v>
      </c>
      <c r="E31" s="3">
        <f t="shared" si="17"/>
        <v>83.75</v>
      </c>
      <c r="F31" s="3">
        <f t="shared" si="18"/>
        <v>58.68</v>
      </c>
      <c r="G31" s="3">
        <f t="shared" si="19"/>
        <v>135.51999999999998</v>
      </c>
      <c r="H31" s="3">
        <f t="shared" si="20"/>
        <v>135.51999999999998</v>
      </c>
      <c r="I31" s="3"/>
      <c r="J31" s="3">
        <f t="shared" si="21"/>
        <v>73.56</v>
      </c>
      <c r="K31" s="3">
        <f t="shared" si="22"/>
        <v>87.5</v>
      </c>
      <c r="L31" s="34">
        <f t="shared" si="23"/>
        <v>83.75</v>
      </c>
      <c r="M31" s="3">
        <f t="shared" si="24"/>
        <v>-3.16</v>
      </c>
      <c r="N31" s="3">
        <f t="shared" si="25"/>
        <v>150</v>
      </c>
      <c r="O31" s="3"/>
      <c r="P31" s="3">
        <f t="shared" si="26"/>
        <v>47.444554330708669</v>
      </c>
      <c r="Q31" s="3">
        <f t="shared" si="27"/>
        <v>109.8176</v>
      </c>
      <c r="R31" s="3">
        <f>vd(DataTable[[#This Row],[Sentido]],DataTable[[#This Row],[Valor]])</f>
        <v>71.123067949839609</v>
      </c>
      <c r="S31" s="3">
        <f>IF(DataTable[[#This Row],[Valor]]&gt;1,1,1)</f>
        <v>1</v>
      </c>
      <c r="T31" s="3">
        <f>IF(DataTable[[#This Row],[Valor]]&gt;1,1,1)</f>
        <v>1</v>
      </c>
      <c r="U31" s="3">
        <f>angr(DataTable[[#This Row],[Sentido]],DataTable[[#This Row],[Valor]])</f>
        <v>60.181364829396323</v>
      </c>
      <c r="V31" s="3">
        <f>ANGI(DataTable[[#This Row],[Sentido]],DataTable[[#This Row],[Valor]])</f>
        <v>61.001778944298628</v>
      </c>
      <c r="W31" s="3">
        <f t="shared" si="28"/>
        <v>1</v>
      </c>
      <c r="X31" s="3">
        <f>IF(DataTable[[#This Row],[Valor]]&gt;1,1,1)</f>
        <v>1</v>
      </c>
      <c r="Y31" s="3">
        <f t="shared" si="29"/>
        <v>1</v>
      </c>
      <c r="Z31" s="3">
        <f>IF(AND(DataTable[[#This Row],[Sentido]]="URUGUAI para BRASIL",DataTable[[#This Row],[Valor]]&gt;350),1,0)</f>
        <v>0</v>
      </c>
      <c r="AA31" s="3">
        <f>IF(DataTable[[#This Row],[Valor]]&gt;1,0,0)</f>
        <v>0</v>
      </c>
    </row>
    <row r="32" spans="1:27" x14ac:dyDescent="0.25">
      <c r="A32" s="2" t="s">
        <v>21</v>
      </c>
      <c r="B32" s="2">
        <v>80</v>
      </c>
      <c r="C32" s="3">
        <f t="shared" si="15"/>
        <v>81.25</v>
      </c>
      <c r="D32" s="3">
        <f t="shared" si="16"/>
        <v>87.5</v>
      </c>
      <c r="E32" s="3">
        <f t="shared" si="17"/>
        <v>83.75</v>
      </c>
      <c r="F32" s="3">
        <f t="shared" si="18"/>
        <v>58.6</v>
      </c>
      <c r="G32" s="3">
        <f t="shared" si="19"/>
        <v>135.4</v>
      </c>
      <c r="H32" s="3">
        <f t="shared" si="20"/>
        <v>135.4</v>
      </c>
      <c r="I32" s="3"/>
      <c r="J32" s="3">
        <f t="shared" si="21"/>
        <v>73.56</v>
      </c>
      <c r="K32" s="3">
        <f t="shared" si="22"/>
        <v>87.5</v>
      </c>
      <c r="L32" s="34">
        <f t="shared" si="23"/>
        <v>83.75</v>
      </c>
      <c r="M32" s="3">
        <f t="shared" si="24"/>
        <v>-3.2</v>
      </c>
      <c r="N32" s="3">
        <f t="shared" si="25"/>
        <v>150</v>
      </c>
      <c r="O32" s="3"/>
      <c r="P32" s="3">
        <f t="shared" si="26"/>
        <v>47.567609448818899</v>
      </c>
      <c r="Q32" s="3">
        <f t="shared" si="27"/>
        <v>109.8176</v>
      </c>
      <c r="R32" s="3">
        <f>vd(DataTable[[#This Row],[Sentido]],DataTable[[#This Row],[Valor]])</f>
        <v>71.881306503353755</v>
      </c>
      <c r="S32" s="3">
        <f>IF(DataTable[[#This Row],[Valor]]&gt;1,1,1)</f>
        <v>1</v>
      </c>
      <c r="T32" s="3">
        <f>IF(DataTable[[#This Row],[Valor]]&gt;1,1,1)</f>
        <v>1</v>
      </c>
      <c r="U32" s="3">
        <f>angr(DataTable[[#This Row],[Sentido]],DataTable[[#This Row],[Valor]])</f>
        <v>59.853280839895014</v>
      </c>
      <c r="V32" s="3">
        <f>ANGI(DataTable[[#This Row],[Sentido]],DataTable[[#This Row],[Valor]])</f>
        <v>60.680985710119565</v>
      </c>
      <c r="W32" s="3">
        <f t="shared" si="28"/>
        <v>1</v>
      </c>
      <c r="X32" s="3">
        <f>IF(DataTable[[#This Row],[Valor]]&gt;1,1,1)</f>
        <v>1</v>
      </c>
      <c r="Y32" s="3">
        <f t="shared" si="29"/>
        <v>1</v>
      </c>
      <c r="Z32" s="3">
        <f>IF(AND(DataTable[[#This Row],[Sentido]]="URUGUAI para BRASIL",DataTable[[#This Row],[Valor]]&gt;350),1,0)</f>
        <v>0</v>
      </c>
      <c r="AA32" s="3">
        <f>IF(DataTable[[#This Row],[Valor]]&gt;1,0,0)</f>
        <v>0</v>
      </c>
    </row>
    <row r="33" spans="1:27" x14ac:dyDescent="0.25">
      <c r="A33" s="2" t="s">
        <v>21</v>
      </c>
      <c r="B33" s="2">
        <v>81</v>
      </c>
      <c r="C33" s="3">
        <f t="shared" si="15"/>
        <v>81.25</v>
      </c>
      <c r="D33" s="3">
        <f t="shared" si="16"/>
        <v>87.5</v>
      </c>
      <c r="E33" s="3">
        <f t="shared" si="17"/>
        <v>83.75</v>
      </c>
      <c r="F33" s="3">
        <f t="shared" si="18"/>
        <v>58.519999999999996</v>
      </c>
      <c r="G33" s="3">
        <f t="shared" si="19"/>
        <v>135.28</v>
      </c>
      <c r="H33" s="3">
        <f t="shared" si="20"/>
        <v>135.28</v>
      </c>
      <c r="I33" s="3"/>
      <c r="J33" s="3">
        <f t="shared" si="21"/>
        <v>73.56</v>
      </c>
      <c r="K33" s="3">
        <f t="shared" si="22"/>
        <v>87.5</v>
      </c>
      <c r="L33" s="34">
        <f t="shared" si="23"/>
        <v>83.75</v>
      </c>
      <c r="M33" s="3">
        <f t="shared" si="24"/>
        <v>-3.24</v>
      </c>
      <c r="N33" s="3">
        <f t="shared" si="25"/>
        <v>150</v>
      </c>
      <c r="O33" s="3"/>
      <c r="P33" s="3">
        <f t="shared" si="26"/>
        <v>47.690664566929136</v>
      </c>
      <c r="Q33" s="3">
        <f t="shared" si="27"/>
        <v>109.8176</v>
      </c>
      <c r="R33" s="3">
        <f>vd(DataTable[[#This Row],[Sentido]],DataTable[[#This Row],[Valor]])</f>
        <v>72.639545056867888</v>
      </c>
      <c r="S33" s="3">
        <f>IF(DataTable[[#This Row],[Valor]]&gt;1,1,1)</f>
        <v>1</v>
      </c>
      <c r="T33" s="3">
        <f>IF(DataTable[[#This Row],[Valor]]&gt;1,1,1)</f>
        <v>1</v>
      </c>
      <c r="U33" s="3">
        <f>angr(DataTable[[#This Row],[Sentido]],DataTable[[#This Row],[Valor]])</f>
        <v>59.525196850393698</v>
      </c>
      <c r="V33" s="3">
        <f>ANGI(DataTable[[#This Row],[Sentido]],DataTable[[#This Row],[Valor]])</f>
        <v>60.360192475940508</v>
      </c>
      <c r="W33" s="3">
        <f t="shared" si="28"/>
        <v>1</v>
      </c>
      <c r="X33" s="3">
        <f>IF(DataTable[[#This Row],[Valor]]&gt;1,1,1)</f>
        <v>1</v>
      </c>
      <c r="Y33" s="3">
        <f t="shared" si="29"/>
        <v>1</v>
      </c>
      <c r="Z33" s="3">
        <f>IF(AND(DataTable[[#This Row],[Sentido]]="URUGUAI para BRASIL",DataTable[[#This Row],[Valor]]&gt;350),1,0)</f>
        <v>0</v>
      </c>
      <c r="AA33" s="3">
        <f>IF(DataTable[[#This Row],[Valor]]&gt;1,0,0)</f>
        <v>0</v>
      </c>
    </row>
    <row r="34" spans="1:27" x14ac:dyDescent="0.25">
      <c r="A34" s="2" t="s">
        <v>21</v>
      </c>
      <c r="B34" s="2">
        <v>82</v>
      </c>
      <c r="C34" s="3">
        <f t="shared" si="15"/>
        <v>81.25</v>
      </c>
      <c r="D34" s="3">
        <f t="shared" si="16"/>
        <v>87.5</v>
      </c>
      <c r="E34" s="3">
        <f t="shared" si="17"/>
        <v>83.75</v>
      </c>
      <c r="F34" s="3">
        <f t="shared" si="18"/>
        <v>58.44</v>
      </c>
      <c r="G34" s="3">
        <f t="shared" si="19"/>
        <v>135.16</v>
      </c>
      <c r="H34" s="3">
        <f t="shared" si="20"/>
        <v>135.16</v>
      </c>
      <c r="I34" s="3"/>
      <c r="J34" s="3">
        <f t="shared" si="21"/>
        <v>73.56</v>
      </c>
      <c r="K34" s="3">
        <f t="shared" si="22"/>
        <v>87.5</v>
      </c>
      <c r="L34" s="34">
        <f t="shared" si="23"/>
        <v>83.75</v>
      </c>
      <c r="M34" s="3">
        <f t="shared" si="24"/>
        <v>-3.2800000000000002</v>
      </c>
      <c r="N34" s="3">
        <f t="shared" si="25"/>
        <v>150</v>
      </c>
      <c r="O34" s="3"/>
      <c r="P34" s="3">
        <f t="shared" si="26"/>
        <v>47.813719685039374</v>
      </c>
      <c r="Q34" s="3">
        <f t="shared" si="27"/>
        <v>109.8176</v>
      </c>
      <c r="R34" s="3">
        <f>vd(DataTable[[#This Row],[Sentido]],DataTable[[#This Row],[Valor]])</f>
        <v>73.397783610382035</v>
      </c>
      <c r="S34" s="3">
        <f>IF(DataTable[[#This Row],[Valor]]&gt;1,1,1)</f>
        <v>1</v>
      </c>
      <c r="T34" s="3">
        <f>IF(DataTable[[#This Row],[Valor]]&gt;1,1,1)</f>
        <v>1</v>
      </c>
      <c r="U34" s="3">
        <f>angr(DataTable[[#This Row],[Sentido]],DataTable[[#This Row],[Valor]])</f>
        <v>59.197112860892389</v>
      </c>
      <c r="V34" s="3">
        <f>ANGI(DataTable[[#This Row],[Sentido]],DataTable[[#This Row],[Valor]])</f>
        <v>60.039399241761444</v>
      </c>
      <c r="W34" s="3">
        <f t="shared" si="28"/>
        <v>1</v>
      </c>
      <c r="X34" s="3">
        <f>IF(DataTable[[#This Row],[Valor]]&gt;1,1,1)</f>
        <v>1</v>
      </c>
      <c r="Y34" s="3">
        <f t="shared" si="29"/>
        <v>1</v>
      </c>
      <c r="Z34" s="3">
        <f>IF(AND(DataTable[[#This Row],[Sentido]]="URUGUAI para BRASIL",DataTable[[#This Row],[Valor]]&gt;350),1,0)</f>
        <v>0</v>
      </c>
      <c r="AA34" s="3">
        <f>IF(DataTable[[#This Row],[Valor]]&gt;1,0,0)</f>
        <v>0</v>
      </c>
    </row>
    <row r="35" spans="1:27" x14ac:dyDescent="0.25">
      <c r="A35" s="2" t="s">
        <v>21</v>
      </c>
      <c r="B35" s="2">
        <v>83</v>
      </c>
      <c r="C35" s="3">
        <f t="shared" si="15"/>
        <v>81.25</v>
      </c>
      <c r="D35" s="3">
        <f t="shared" si="16"/>
        <v>87.5</v>
      </c>
      <c r="E35" s="3">
        <f t="shared" si="17"/>
        <v>83.75</v>
      </c>
      <c r="F35" s="3">
        <f t="shared" si="18"/>
        <v>58.36</v>
      </c>
      <c r="G35" s="3">
        <f t="shared" si="19"/>
        <v>135.04000000000002</v>
      </c>
      <c r="H35" s="3">
        <f t="shared" si="20"/>
        <v>135.04000000000002</v>
      </c>
      <c r="I35" s="3"/>
      <c r="J35" s="3">
        <f t="shared" si="21"/>
        <v>73.56</v>
      </c>
      <c r="K35" s="3">
        <f t="shared" si="22"/>
        <v>87.5</v>
      </c>
      <c r="L35" s="34">
        <f t="shared" si="23"/>
        <v>83.75</v>
      </c>
      <c r="M35" s="3">
        <f t="shared" si="24"/>
        <v>-3.3200000000000003</v>
      </c>
      <c r="N35" s="3">
        <f t="shared" si="25"/>
        <v>150</v>
      </c>
      <c r="O35" s="3"/>
      <c r="P35" s="3">
        <f t="shared" si="26"/>
        <v>47.936774803149611</v>
      </c>
      <c r="Q35" s="3">
        <f t="shared" si="27"/>
        <v>109.8176</v>
      </c>
      <c r="R35" s="3">
        <f>vd(DataTable[[#This Row],[Sentido]],DataTable[[#This Row],[Valor]])</f>
        <v>74.156022163896182</v>
      </c>
      <c r="S35" s="3">
        <f>IF(DataTable[[#This Row],[Valor]]&gt;1,1,1)</f>
        <v>1</v>
      </c>
      <c r="T35" s="3">
        <f>IF(DataTable[[#This Row],[Valor]]&gt;1,1,1)</f>
        <v>1</v>
      </c>
      <c r="U35" s="3">
        <f>angr(DataTable[[#This Row],[Sentido]],DataTable[[#This Row],[Valor]])</f>
        <v>58.869028871391073</v>
      </c>
      <c r="V35" s="3">
        <f>ANGI(DataTable[[#This Row],[Sentido]],DataTable[[#This Row],[Valor]])</f>
        <v>59.71860600758238</v>
      </c>
      <c r="W35" s="3">
        <f t="shared" si="28"/>
        <v>1</v>
      </c>
      <c r="X35" s="3">
        <f>IF(DataTable[[#This Row],[Valor]]&gt;1,1,1)</f>
        <v>1</v>
      </c>
      <c r="Y35" s="3">
        <f t="shared" si="29"/>
        <v>1</v>
      </c>
      <c r="Z35" s="3">
        <f>IF(AND(DataTable[[#This Row],[Sentido]]="URUGUAI para BRASIL",DataTable[[#This Row],[Valor]]&gt;350),1,0)</f>
        <v>0</v>
      </c>
      <c r="AA35" s="3">
        <f>IF(DataTable[[#This Row],[Valor]]&gt;1,0,0)</f>
        <v>0</v>
      </c>
    </row>
    <row r="36" spans="1:27" x14ac:dyDescent="0.25">
      <c r="A36" s="2" t="s">
        <v>21</v>
      </c>
      <c r="B36" s="2">
        <v>84</v>
      </c>
      <c r="C36" s="3">
        <f t="shared" si="15"/>
        <v>81.25</v>
      </c>
      <c r="D36" s="3">
        <f t="shared" si="16"/>
        <v>87.5</v>
      </c>
      <c r="E36" s="3">
        <f t="shared" si="17"/>
        <v>83.75</v>
      </c>
      <c r="F36" s="3">
        <f t="shared" si="18"/>
        <v>58.28</v>
      </c>
      <c r="G36" s="3">
        <f t="shared" si="19"/>
        <v>134.92000000000002</v>
      </c>
      <c r="H36" s="3">
        <f t="shared" si="20"/>
        <v>134.92000000000002</v>
      </c>
      <c r="I36" s="3"/>
      <c r="J36" s="3">
        <f t="shared" si="21"/>
        <v>73.56</v>
      </c>
      <c r="K36" s="3">
        <f t="shared" si="22"/>
        <v>87.5</v>
      </c>
      <c r="L36" s="34">
        <f t="shared" si="23"/>
        <v>83.75</v>
      </c>
      <c r="M36" s="3">
        <f t="shared" si="24"/>
        <v>-3.36</v>
      </c>
      <c r="N36" s="3">
        <f t="shared" si="25"/>
        <v>150</v>
      </c>
      <c r="O36" s="3"/>
      <c r="P36" s="3">
        <f t="shared" si="26"/>
        <v>48.059829921259841</v>
      </c>
      <c r="Q36" s="3">
        <f t="shared" si="27"/>
        <v>109.8176</v>
      </c>
      <c r="R36" s="3">
        <f>vd(DataTable[[#This Row],[Sentido]],DataTable[[#This Row],[Valor]])</f>
        <v>74.914260717410329</v>
      </c>
      <c r="S36" s="3">
        <f>IF(DataTable[[#This Row],[Valor]]&gt;1,1,1)</f>
        <v>1</v>
      </c>
      <c r="T36" s="3">
        <f>IF(DataTable[[#This Row],[Valor]]&gt;1,1,1)</f>
        <v>1</v>
      </c>
      <c r="U36" s="3">
        <f>angr(DataTable[[#This Row],[Sentido]],DataTable[[#This Row],[Valor]])</f>
        <v>58.540944881889764</v>
      </c>
      <c r="V36" s="3">
        <f>ANGI(DataTable[[#This Row],[Sentido]],DataTable[[#This Row],[Valor]])</f>
        <v>59.397812773403324</v>
      </c>
      <c r="W36" s="3">
        <f t="shared" si="28"/>
        <v>1</v>
      </c>
      <c r="X36" s="3">
        <f>IF(DataTable[[#This Row],[Valor]]&gt;1,1,1)</f>
        <v>1</v>
      </c>
      <c r="Y36" s="3">
        <f t="shared" si="29"/>
        <v>1</v>
      </c>
      <c r="Z36" s="3">
        <f>IF(AND(DataTable[[#This Row],[Sentido]]="URUGUAI para BRASIL",DataTable[[#This Row],[Valor]]&gt;350),1,0)</f>
        <v>0</v>
      </c>
      <c r="AA36" s="3">
        <f>IF(DataTable[[#This Row],[Valor]]&gt;1,0,0)</f>
        <v>0</v>
      </c>
    </row>
    <row r="37" spans="1:27" x14ac:dyDescent="0.25">
      <c r="A37" s="2" t="s">
        <v>21</v>
      </c>
      <c r="B37" s="2">
        <v>85</v>
      </c>
      <c r="C37" s="3">
        <f t="shared" si="15"/>
        <v>81.25</v>
      </c>
      <c r="D37" s="3">
        <f t="shared" si="16"/>
        <v>87.5</v>
      </c>
      <c r="E37" s="3">
        <f t="shared" si="17"/>
        <v>83.75</v>
      </c>
      <c r="F37" s="3">
        <f t="shared" si="18"/>
        <v>58.2</v>
      </c>
      <c r="G37" s="3">
        <f t="shared" si="19"/>
        <v>134.80000000000001</v>
      </c>
      <c r="H37" s="3">
        <f t="shared" si="20"/>
        <v>134.80000000000001</v>
      </c>
      <c r="I37" s="3"/>
      <c r="J37" s="3">
        <f t="shared" si="21"/>
        <v>73.56</v>
      </c>
      <c r="K37" s="3">
        <f t="shared" si="22"/>
        <v>87.5</v>
      </c>
      <c r="L37" s="34">
        <f t="shared" si="23"/>
        <v>83.75</v>
      </c>
      <c r="M37" s="3">
        <f t="shared" si="24"/>
        <v>-3.4</v>
      </c>
      <c r="N37" s="3">
        <f t="shared" si="25"/>
        <v>150</v>
      </c>
      <c r="O37" s="3"/>
      <c r="P37" s="3">
        <f t="shared" si="26"/>
        <v>48.182885039370078</v>
      </c>
      <c r="Q37" s="3">
        <f t="shared" si="27"/>
        <v>109.8176</v>
      </c>
      <c r="R37" s="3">
        <f>vd(DataTable[[#This Row],[Sentido]],DataTable[[#This Row],[Valor]])</f>
        <v>75.672499270924476</v>
      </c>
      <c r="S37" s="3">
        <f>IF(DataTable[[#This Row],[Valor]]&gt;1,1,1)</f>
        <v>1</v>
      </c>
      <c r="T37" s="3">
        <f>IF(DataTable[[#This Row],[Valor]]&gt;1,1,1)</f>
        <v>1</v>
      </c>
      <c r="U37" s="3">
        <f>angr(DataTable[[#This Row],[Sentido]],DataTable[[#This Row],[Valor]])</f>
        <v>58.212860892388449</v>
      </c>
      <c r="V37" s="3">
        <f>ANGI(DataTable[[#This Row],[Sentido]],DataTable[[#This Row],[Valor]])</f>
        <v>59.07701953922426</v>
      </c>
      <c r="W37" s="3">
        <f t="shared" si="28"/>
        <v>1</v>
      </c>
      <c r="X37" s="3">
        <f>IF(DataTable[[#This Row],[Valor]]&gt;1,1,1)</f>
        <v>1</v>
      </c>
      <c r="Y37" s="3">
        <f t="shared" si="29"/>
        <v>1</v>
      </c>
      <c r="Z37" s="3">
        <f>IF(AND(DataTable[[#This Row],[Sentido]]="URUGUAI para BRASIL",DataTable[[#This Row],[Valor]]&gt;350),1,0)</f>
        <v>0</v>
      </c>
      <c r="AA37" s="3">
        <f>IF(DataTable[[#This Row],[Valor]]&gt;1,0,0)</f>
        <v>0</v>
      </c>
    </row>
    <row r="38" spans="1:27" x14ac:dyDescent="0.25">
      <c r="A38" s="2" t="s">
        <v>21</v>
      </c>
      <c r="B38" s="2">
        <v>86</v>
      </c>
      <c r="C38" s="3">
        <f t="shared" si="15"/>
        <v>81.25</v>
      </c>
      <c r="D38" s="3">
        <f t="shared" si="16"/>
        <v>87.5</v>
      </c>
      <c r="E38" s="3">
        <f t="shared" si="17"/>
        <v>83.75</v>
      </c>
      <c r="F38" s="3">
        <f t="shared" si="18"/>
        <v>58.12</v>
      </c>
      <c r="G38" s="3">
        <f t="shared" si="19"/>
        <v>134.68</v>
      </c>
      <c r="H38" s="3">
        <f t="shared" si="20"/>
        <v>134.68</v>
      </c>
      <c r="I38" s="3"/>
      <c r="J38" s="3">
        <f t="shared" si="21"/>
        <v>73.56</v>
      </c>
      <c r="K38" s="3">
        <f t="shared" si="22"/>
        <v>87.5</v>
      </c>
      <c r="L38" s="34">
        <f t="shared" si="23"/>
        <v>83.75</v>
      </c>
      <c r="M38" s="3">
        <f t="shared" si="24"/>
        <v>-3.44</v>
      </c>
      <c r="N38" s="3">
        <f t="shared" si="25"/>
        <v>150</v>
      </c>
      <c r="O38" s="3"/>
      <c r="P38" s="3">
        <f t="shared" si="26"/>
        <v>48.305940157480322</v>
      </c>
      <c r="Q38" s="3">
        <f t="shared" si="27"/>
        <v>109.8176</v>
      </c>
      <c r="R38" s="3">
        <f>vd(DataTable[[#This Row],[Sentido]],DataTable[[#This Row],[Valor]])</f>
        <v>76.430737824438609</v>
      </c>
      <c r="S38" s="3">
        <f>IF(DataTable[[#This Row],[Valor]]&gt;1,1,1)</f>
        <v>1</v>
      </c>
      <c r="T38" s="3">
        <f>IF(DataTable[[#This Row],[Valor]]&gt;1,1,1)</f>
        <v>1</v>
      </c>
      <c r="U38" s="3">
        <f>angr(DataTable[[#This Row],[Sentido]],DataTable[[#This Row],[Valor]])</f>
        <v>57.88477690288714</v>
      </c>
      <c r="V38" s="3">
        <f>ANGI(DataTable[[#This Row],[Sentido]],DataTable[[#This Row],[Valor]])</f>
        <v>58.756226305045203</v>
      </c>
      <c r="W38" s="3">
        <f t="shared" si="28"/>
        <v>1</v>
      </c>
      <c r="X38" s="3">
        <f>IF(DataTable[[#This Row],[Valor]]&gt;1,1,1)</f>
        <v>1</v>
      </c>
      <c r="Y38" s="3">
        <f t="shared" si="29"/>
        <v>1</v>
      </c>
      <c r="Z38" s="3">
        <f>IF(AND(DataTable[[#This Row],[Sentido]]="URUGUAI para BRASIL",DataTable[[#This Row],[Valor]]&gt;350),1,0)</f>
        <v>0</v>
      </c>
      <c r="AA38" s="3">
        <f>IF(DataTable[[#This Row],[Valor]]&gt;1,0,0)</f>
        <v>0</v>
      </c>
    </row>
    <row r="39" spans="1:27" x14ac:dyDescent="0.25">
      <c r="A39" s="2" t="s">
        <v>21</v>
      </c>
      <c r="B39" s="2">
        <v>87</v>
      </c>
      <c r="C39" s="3">
        <f t="shared" si="15"/>
        <v>81.25</v>
      </c>
      <c r="D39" s="3">
        <f t="shared" si="16"/>
        <v>87.5</v>
      </c>
      <c r="E39" s="3">
        <f t="shared" si="17"/>
        <v>83.75</v>
      </c>
      <c r="F39" s="3">
        <f t="shared" si="18"/>
        <v>58.04</v>
      </c>
      <c r="G39" s="3">
        <f t="shared" si="19"/>
        <v>134.56</v>
      </c>
      <c r="H39" s="3">
        <f t="shared" si="20"/>
        <v>134.56</v>
      </c>
      <c r="I39" s="3"/>
      <c r="J39" s="3">
        <f t="shared" si="21"/>
        <v>73.56</v>
      </c>
      <c r="K39" s="3">
        <f t="shared" si="22"/>
        <v>87.5</v>
      </c>
      <c r="L39" s="34">
        <f t="shared" si="23"/>
        <v>83.75</v>
      </c>
      <c r="M39" s="3">
        <f t="shared" si="24"/>
        <v>-3.48</v>
      </c>
      <c r="N39" s="3">
        <f t="shared" si="25"/>
        <v>150</v>
      </c>
      <c r="O39" s="3"/>
      <c r="P39" s="3">
        <f t="shared" si="26"/>
        <v>48.428995275590552</v>
      </c>
      <c r="Q39" s="3">
        <f t="shared" si="27"/>
        <v>109.8176</v>
      </c>
      <c r="R39" s="3">
        <f>vd(DataTable[[#This Row],[Sentido]],DataTable[[#This Row],[Valor]])</f>
        <v>77.18897637795277</v>
      </c>
      <c r="S39" s="3">
        <f>IF(DataTable[[#This Row],[Valor]]&gt;1,1,1)</f>
        <v>1</v>
      </c>
      <c r="T39" s="3">
        <f>IF(DataTable[[#This Row],[Valor]]&gt;1,1,1)</f>
        <v>1</v>
      </c>
      <c r="U39" s="3">
        <f>angr(DataTable[[#This Row],[Sentido]],DataTable[[#This Row],[Valor]])</f>
        <v>57.556692913385831</v>
      </c>
      <c r="V39" s="3">
        <f>ANGI(DataTable[[#This Row],[Sentido]],DataTable[[#This Row],[Valor]])</f>
        <v>58.435433070866139</v>
      </c>
      <c r="W39" s="3">
        <f t="shared" si="28"/>
        <v>1</v>
      </c>
      <c r="X39" s="3">
        <f>IF(DataTable[[#This Row],[Valor]]&gt;1,1,1)</f>
        <v>1</v>
      </c>
      <c r="Y39" s="3">
        <f t="shared" si="29"/>
        <v>1</v>
      </c>
      <c r="Z39" s="3">
        <f>IF(AND(DataTable[[#This Row],[Sentido]]="URUGUAI para BRASIL",DataTable[[#This Row],[Valor]]&gt;350),1,0)</f>
        <v>0</v>
      </c>
      <c r="AA39" s="3">
        <f>IF(DataTable[[#This Row],[Valor]]&gt;1,0,0)</f>
        <v>0</v>
      </c>
    </row>
    <row r="40" spans="1:27" x14ac:dyDescent="0.25">
      <c r="A40" s="2" t="s">
        <v>21</v>
      </c>
      <c r="B40" s="2">
        <v>88</v>
      </c>
      <c r="C40" s="3">
        <f t="shared" si="15"/>
        <v>81.25</v>
      </c>
      <c r="D40" s="3">
        <f t="shared" si="16"/>
        <v>87.5</v>
      </c>
      <c r="E40" s="3">
        <f t="shared" si="17"/>
        <v>83.75</v>
      </c>
      <c r="F40" s="3">
        <f t="shared" si="18"/>
        <v>57.96</v>
      </c>
      <c r="G40" s="3">
        <f t="shared" si="19"/>
        <v>134.44</v>
      </c>
      <c r="H40" s="3">
        <f t="shared" si="20"/>
        <v>134.44</v>
      </c>
      <c r="I40" s="3"/>
      <c r="J40" s="3">
        <f t="shared" si="21"/>
        <v>73.56</v>
      </c>
      <c r="K40" s="3">
        <f t="shared" si="22"/>
        <v>87.5</v>
      </c>
      <c r="L40" s="34">
        <f t="shared" si="23"/>
        <v>83.75</v>
      </c>
      <c r="M40" s="3">
        <f t="shared" si="24"/>
        <v>-3.52</v>
      </c>
      <c r="N40" s="3">
        <f t="shared" si="25"/>
        <v>150</v>
      </c>
      <c r="O40" s="3"/>
      <c r="P40" s="3">
        <f t="shared" si="26"/>
        <v>48.552050393700789</v>
      </c>
      <c r="Q40" s="3">
        <f t="shared" si="27"/>
        <v>109.8176</v>
      </c>
      <c r="R40" s="3">
        <f>vd(DataTable[[#This Row],[Sentido]],DataTable[[#This Row],[Valor]])</f>
        <v>77.947214931466917</v>
      </c>
      <c r="S40" s="3">
        <f>IF(DataTable[[#This Row],[Valor]]&gt;1,1,1)</f>
        <v>1</v>
      </c>
      <c r="T40" s="3">
        <f>IF(DataTable[[#This Row],[Valor]]&gt;1,1,1)</f>
        <v>1</v>
      </c>
      <c r="U40" s="3">
        <f>angr(DataTable[[#This Row],[Sentido]],DataTable[[#This Row],[Valor]])</f>
        <v>57.228608923884515</v>
      </c>
      <c r="V40" s="3">
        <f>ANGI(DataTable[[#This Row],[Sentido]],DataTable[[#This Row],[Valor]])</f>
        <v>58.114639836687076</v>
      </c>
      <c r="W40" s="3">
        <f t="shared" si="28"/>
        <v>1</v>
      </c>
      <c r="X40" s="3">
        <f>IF(DataTable[[#This Row],[Valor]]&gt;1,1,1)</f>
        <v>1</v>
      </c>
      <c r="Y40" s="3">
        <f t="shared" si="29"/>
        <v>1</v>
      </c>
      <c r="Z40" s="3">
        <f>IF(AND(DataTable[[#This Row],[Sentido]]="URUGUAI para BRASIL",DataTable[[#This Row],[Valor]]&gt;350),1,0)</f>
        <v>0</v>
      </c>
      <c r="AA40" s="3">
        <f>IF(DataTable[[#This Row],[Valor]]&gt;1,0,0)</f>
        <v>0</v>
      </c>
    </row>
    <row r="41" spans="1:27" x14ac:dyDescent="0.25">
      <c r="A41" s="2" t="s">
        <v>21</v>
      </c>
      <c r="B41" s="2">
        <v>89</v>
      </c>
      <c r="C41" s="3">
        <f t="shared" si="15"/>
        <v>81.25</v>
      </c>
      <c r="D41" s="3">
        <f t="shared" si="16"/>
        <v>87.5</v>
      </c>
      <c r="E41" s="3">
        <f t="shared" si="17"/>
        <v>83.75</v>
      </c>
      <c r="F41" s="3">
        <f t="shared" si="18"/>
        <v>57.88</v>
      </c>
      <c r="G41" s="3">
        <f t="shared" si="19"/>
        <v>134.32</v>
      </c>
      <c r="H41" s="3">
        <f t="shared" si="20"/>
        <v>134.32</v>
      </c>
      <c r="I41" s="3"/>
      <c r="J41" s="3">
        <f t="shared" si="21"/>
        <v>73.56</v>
      </c>
      <c r="K41" s="3">
        <f t="shared" si="22"/>
        <v>87.5</v>
      </c>
      <c r="L41" s="34">
        <f t="shared" si="23"/>
        <v>83.75</v>
      </c>
      <c r="M41" s="3">
        <f t="shared" si="24"/>
        <v>-3.56</v>
      </c>
      <c r="N41" s="3">
        <f t="shared" si="25"/>
        <v>150</v>
      </c>
      <c r="O41" s="3"/>
      <c r="P41" s="3">
        <f t="shared" si="26"/>
        <v>48.675105511811026</v>
      </c>
      <c r="Q41" s="3">
        <f t="shared" si="27"/>
        <v>109.8176</v>
      </c>
      <c r="R41" s="3">
        <f>vd(DataTable[[#This Row],[Sentido]],DataTable[[#This Row],[Valor]])</f>
        <v>78.705453484981049</v>
      </c>
      <c r="S41" s="3">
        <f>IF(DataTable[[#This Row],[Valor]]&gt;1,1,1)</f>
        <v>1</v>
      </c>
      <c r="T41" s="3">
        <f>IF(DataTable[[#This Row],[Valor]]&gt;1,1,1)</f>
        <v>1</v>
      </c>
      <c r="U41" s="3">
        <f>angr(DataTable[[#This Row],[Sentido]],DataTable[[#This Row],[Valor]])</f>
        <v>56.900524934383206</v>
      </c>
      <c r="V41" s="3">
        <f>ANGI(DataTable[[#This Row],[Sentido]],DataTable[[#This Row],[Valor]])</f>
        <v>57.793846602508019</v>
      </c>
      <c r="W41" s="3">
        <f t="shared" si="28"/>
        <v>1</v>
      </c>
      <c r="X41" s="3">
        <f>IF(DataTable[[#This Row],[Valor]]&gt;1,1,1)</f>
        <v>1</v>
      </c>
      <c r="Y41" s="3">
        <f t="shared" si="29"/>
        <v>1</v>
      </c>
      <c r="Z41" s="3">
        <f>IF(AND(DataTable[[#This Row],[Sentido]]="URUGUAI para BRASIL",DataTable[[#This Row],[Valor]]&gt;350),1,0)</f>
        <v>0</v>
      </c>
      <c r="AA41" s="3">
        <f>IF(DataTable[[#This Row],[Valor]]&gt;1,0,0)</f>
        <v>0</v>
      </c>
    </row>
    <row r="42" spans="1:27" x14ac:dyDescent="0.25">
      <c r="A42" s="2" t="s">
        <v>21</v>
      </c>
      <c r="B42" s="2">
        <v>90</v>
      </c>
      <c r="C42" s="3">
        <f t="shared" si="15"/>
        <v>81.25</v>
      </c>
      <c r="D42" s="3">
        <f t="shared" si="16"/>
        <v>87.5</v>
      </c>
      <c r="E42" s="3">
        <f t="shared" si="17"/>
        <v>83.75</v>
      </c>
      <c r="F42" s="3">
        <f t="shared" si="18"/>
        <v>57.8</v>
      </c>
      <c r="G42" s="3">
        <f t="shared" si="19"/>
        <v>134.19999999999999</v>
      </c>
      <c r="H42" s="3">
        <f t="shared" si="20"/>
        <v>134.19999999999999</v>
      </c>
      <c r="I42" s="3"/>
      <c r="J42" s="3">
        <f t="shared" si="21"/>
        <v>73.56</v>
      </c>
      <c r="K42" s="3">
        <f t="shared" si="22"/>
        <v>87.5</v>
      </c>
      <c r="L42" s="34">
        <f t="shared" si="23"/>
        <v>83.75</v>
      </c>
      <c r="M42" s="3">
        <f t="shared" si="24"/>
        <v>-3.6</v>
      </c>
      <c r="N42" s="3">
        <f t="shared" si="25"/>
        <v>150</v>
      </c>
      <c r="O42" s="3"/>
      <c r="P42" s="3">
        <f t="shared" si="26"/>
        <v>45.336504944881888</v>
      </c>
      <c r="Q42" s="3">
        <f t="shared" si="27"/>
        <v>109.8176</v>
      </c>
      <c r="R42" s="3">
        <f>vd(DataTable[[#This Row],[Sentido]],DataTable[[#This Row],[Valor]])</f>
        <v>79.451763094830554</v>
      </c>
      <c r="S42" s="3">
        <f>IF(DataTable[[#This Row],[Valor]]&gt;1,1,1)</f>
        <v>1</v>
      </c>
      <c r="T42" s="3">
        <f>IF(DataTable[[#This Row],[Valor]]&gt;1,1,1)</f>
        <v>1</v>
      </c>
      <c r="U42" s="3">
        <f>angr(DataTable[[#This Row],[Sentido]],DataTable[[#This Row],[Valor]])</f>
        <v>56.57627524820267</v>
      </c>
      <c r="V42" s="3">
        <f>ANGI(DataTable[[#This Row],[Sentido]],DataTable[[#This Row],[Valor]])</f>
        <v>57.476275248202668</v>
      </c>
      <c r="W42" s="3">
        <f t="shared" si="28"/>
        <v>1</v>
      </c>
      <c r="X42" s="3">
        <f>IF(DataTable[[#This Row],[Valor]]&gt;1,1,1)</f>
        <v>1</v>
      </c>
      <c r="Y42" s="3">
        <f t="shared" si="29"/>
        <v>1</v>
      </c>
      <c r="Z42" s="3">
        <f>IF(AND(DataTable[[#This Row],[Sentido]]="URUGUAI para BRASIL",DataTable[[#This Row],[Valor]]&gt;350),1,0)</f>
        <v>0</v>
      </c>
      <c r="AA42" s="3">
        <f>IF(DataTable[[#This Row],[Valor]]&gt;1,0,0)</f>
        <v>0</v>
      </c>
    </row>
    <row r="43" spans="1:27" x14ac:dyDescent="0.25">
      <c r="A43" s="2" t="s">
        <v>21</v>
      </c>
      <c r="B43" s="2">
        <v>91</v>
      </c>
      <c r="C43" s="3">
        <f t="shared" si="15"/>
        <v>81.25</v>
      </c>
      <c r="D43" s="3">
        <f t="shared" si="16"/>
        <v>87.5</v>
      </c>
      <c r="E43" s="3">
        <f t="shared" si="17"/>
        <v>83.75</v>
      </c>
      <c r="F43" s="3">
        <f t="shared" si="18"/>
        <v>57.72</v>
      </c>
      <c r="G43" s="3">
        <f t="shared" si="19"/>
        <v>134.07999999999998</v>
      </c>
      <c r="H43" s="3">
        <f t="shared" si="20"/>
        <v>134.07999999999998</v>
      </c>
      <c r="I43" s="3"/>
      <c r="J43" s="3">
        <f t="shared" si="21"/>
        <v>73.56</v>
      </c>
      <c r="K43" s="3">
        <f t="shared" si="22"/>
        <v>87.5</v>
      </c>
      <c r="L43" s="34">
        <f t="shared" si="23"/>
        <v>83.75</v>
      </c>
      <c r="M43" s="3">
        <f t="shared" si="24"/>
        <v>-3.64</v>
      </c>
      <c r="N43" s="3">
        <f t="shared" si="25"/>
        <v>150</v>
      </c>
      <c r="O43" s="3"/>
      <c r="P43" s="3">
        <f t="shared" si="26"/>
        <v>46.827087622047223</v>
      </c>
      <c r="Q43" s="3">
        <f t="shared" si="27"/>
        <v>109.8176</v>
      </c>
      <c r="R43" s="3">
        <f>vd(DataTable[[#This Row],[Sentido]],DataTable[[#This Row],[Valor]])</f>
        <v>80.067990414241706</v>
      </c>
      <c r="S43" s="3">
        <f>IF(DataTable[[#This Row],[Valor]]&gt;1,1,1)</f>
        <v>1</v>
      </c>
      <c r="T43" s="3">
        <f>IF(DataTable[[#This Row],[Valor]]&gt;1,1,1)</f>
        <v>1</v>
      </c>
      <c r="U43" s="3">
        <f>angr(DataTable[[#This Row],[Sentido]],DataTable[[#This Row],[Valor]])</f>
        <v>56.29383772680589</v>
      </c>
      <c r="V43" s="3">
        <f>ANGI(DataTable[[#This Row],[Sentido]],DataTable[[#This Row],[Valor]])</f>
        <v>57.193837726805889</v>
      </c>
      <c r="W43" s="3">
        <f t="shared" si="28"/>
        <v>1</v>
      </c>
      <c r="X43" s="3">
        <f>IF(DataTable[[#This Row],[Valor]]&gt;1,1,1)</f>
        <v>1</v>
      </c>
      <c r="Y43" s="3">
        <f t="shared" si="29"/>
        <v>1</v>
      </c>
      <c r="Z43" s="3">
        <f>IF(AND(DataTable[[#This Row],[Sentido]]="URUGUAI para BRASIL",DataTable[[#This Row],[Valor]]&gt;350),1,0)</f>
        <v>0</v>
      </c>
      <c r="AA43" s="3">
        <f>IF(DataTable[[#This Row],[Valor]]&gt;1,0,0)</f>
        <v>0</v>
      </c>
    </row>
    <row r="44" spans="1:27" x14ac:dyDescent="0.25">
      <c r="A44" s="2" t="s">
        <v>21</v>
      </c>
      <c r="B44" s="2">
        <v>92</v>
      </c>
      <c r="C44" s="3">
        <f t="shared" si="15"/>
        <v>81.25</v>
      </c>
      <c r="D44" s="3">
        <f t="shared" si="16"/>
        <v>87.5</v>
      </c>
      <c r="E44" s="3">
        <f t="shared" si="17"/>
        <v>83.75</v>
      </c>
      <c r="F44" s="3">
        <f t="shared" si="18"/>
        <v>57.64</v>
      </c>
      <c r="G44" s="3">
        <f t="shared" si="19"/>
        <v>133.95999999999998</v>
      </c>
      <c r="H44" s="3">
        <f t="shared" si="20"/>
        <v>133.95999999999998</v>
      </c>
      <c r="I44" s="3"/>
      <c r="J44" s="3">
        <f t="shared" si="21"/>
        <v>73.56</v>
      </c>
      <c r="K44" s="3">
        <f t="shared" si="22"/>
        <v>87.5</v>
      </c>
      <c r="L44" s="34">
        <f t="shared" si="23"/>
        <v>83.75</v>
      </c>
      <c r="M44" s="3">
        <f t="shared" si="24"/>
        <v>-3.68</v>
      </c>
      <c r="N44" s="3">
        <f t="shared" si="25"/>
        <v>150</v>
      </c>
      <c r="O44" s="3"/>
      <c r="P44" s="3">
        <f t="shared" si="26"/>
        <v>48.317670299212594</v>
      </c>
      <c r="Q44" s="3">
        <f t="shared" si="27"/>
        <v>109.8176</v>
      </c>
      <c r="R44" s="3">
        <f>vd(DataTable[[#This Row],[Sentido]],DataTable[[#This Row],[Valor]])</f>
        <v>80.684217733652858</v>
      </c>
      <c r="S44" s="3">
        <f>IF(DataTable[[#This Row],[Valor]]&gt;1,1,1)</f>
        <v>1</v>
      </c>
      <c r="T44" s="3">
        <f>IF(DataTable[[#This Row],[Valor]]&gt;1,1,1)</f>
        <v>1</v>
      </c>
      <c r="U44" s="3">
        <f>angr(DataTable[[#This Row],[Sentido]],DataTable[[#This Row],[Valor]])</f>
        <v>56.011400205409103</v>
      </c>
      <c r="V44" s="3">
        <f>ANGI(DataTable[[#This Row],[Sentido]],DataTable[[#This Row],[Valor]])</f>
        <v>56.911400205409109</v>
      </c>
      <c r="W44" s="3">
        <f t="shared" si="28"/>
        <v>1</v>
      </c>
      <c r="X44" s="3">
        <f>IF(DataTable[[#This Row],[Valor]]&gt;1,1,1)</f>
        <v>1</v>
      </c>
      <c r="Y44" s="3">
        <f t="shared" si="29"/>
        <v>1</v>
      </c>
      <c r="Z44" s="3">
        <f>IF(AND(DataTable[[#This Row],[Sentido]]="URUGUAI para BRASIL",DataTable[[#This Row],[Valor]]&gt;350),1,0)</f>
        <v>0</v>
      </c>
      <c r="AA44" s="3">
        <f>IF(DataTable[[#This Row],[Valor]]&gt;1,0,0)</f>
        <v>0</v>
      </c>
    </row>
    <row r="45" spans="1:27" x14ac:dyDescent="0.25">
      <c r="A45" s="2" t="s">
        <v>21</v>
      </c>
      <c r="B45" s="2">
        <v>93</v>
      </c>
      <c r="C45" s="3">
        <f t="shared" si="15"/>
        <v>81.25</v>
      </c>
      <c r="D45" s="3">
        <f t="shared" si="16"/>
        <v>87.5</v>
      </c>
      <c r="E45" s="3">
        <f t="shared" si="17"/>
        <v>83.75</v>
      </c>
      <c r="F45" s="3">
        <f t="shared" si="18"/>
        <v>57.56</v>
      </c>
      <c r="G45" s="3">
        <f t="shared" si="19"/>
        <v>133.84</v>
      </c>
      <c r="H45" s="3">
        <f t="shared" si="20"/>
        <v>133.84</v>
      </c>
      <c r="I45" s="3"/>
      <c r="J45" s="3">
        <f t="shared" si="21"/>
        <v>73.56</v>
      </c>
      <c r="K45" s="3">
        <f t="shared" si="22"/>
        <v>87.5</v>
      </c>
      <c r="L45" s="34">
        <f t="shared" si="23"/>
        <v>83.75</v>
      </c>
      <c r="M45" s="3">
        <f t="shared" si="24"/>
        <v>-3.72</v>
      </c>
      <c r="N45" s="3">
        <f t="shared" si="25"/>
        <v>150</v>
      </c>
      <c r="O45" s="3"/>
      <c r="P45" s="3">
        <f t="shared" si="26"/>
        <v>49.80825297637795</v>
      </c>
      <c r="Q45" s="3">
        <f t="shared" si="27"/>
        <v>109.8176</v>
      </c>
      <c r="R45" s="3">
        <f>vd(DataTable[[#This Row],[Sentido]],DataTable[[#This Row],[Valor]])</f>
        <v>81.300445053064024</v>
      </c>
      <c r="S45" s="3">
        <f>IF(DataTable[[#This Row],[Valor]]&gt;1,1,1)</f>
        <v>1</v>
      </c>
      <c r="T45" s="3">
        <f>IF(DataTable[[#This Row],[Valor]]&gt;1,1,1)</f>
        <v>1</v>
      </c>
      <c r="U45" s="3">
        <f>angr(DataTable[[#This Row],[Sentido]],DataTable[[#This Row],[Valor]])</f>
        <v>55.728962684012323</v>
      </c>
      <c r="V45" s="3">
        <f>ANGI(DataTable[[#This Row],[Sentido]],DataTable[[#This Row],[Valor]])</f>
        <v>56.628962684012322</v>
      </c>
      <c r="W45" s="3">
        <f t="shared" si="28"/>
        <v>1</v>
      </c>
      <c r="X45" s="3">
        <f>IF(DataTable[[#This Row],[Valor]]&gt;1,1,1)</f>
        <v>1</v>
      </c>
      <c r="Y45" s="3">
        <f t="shared" si="29"/>
        <v>1</v>
      </c>
      <c r="Z45" s="3">
        <f>IF(AND(DataTable[[#This Row],[Sentido]]="URUGUAI para BRASIL",DataTable[[#This Row],[Valor]]&gt;350),1,0)</f>
        <v>0</v>
      </c>
      <c r="AA45" s="3">
        <f>IF(DataTable[[#This Row],[Valor]]&gt;1,0,0)</f>
        <v>0</v>
      </c>
    </row>
    <row r="46" spans="1:27" x14ac:dyDescent="0.25">
      <c r="A46" s="2" t="s">
        <v>21</v>
      </c>
      <c r="B46" s="2">
        <v>94</v>
      </c>
      <c r="C46" s="3">
        <f t="shared" si="15"/>
        <v>81.25</v>
      </c>
      <c r="D46" s="3">
        <f t="shared" si="16"/>
        <v>87.5</v>
      </c>
      <c r="E46" s="3">
        <f t="shared" si="17"/>
        <v>83.75</v>
      </c>
      <c r="F46" s="3">
        <f t="shared" si="18"/>
        <v>57.48</v>
      </c>
      <c r="G46" s="3">
        <f t="shared" si="19"/>
        <v>133.72</v>
      </c>
      <c r="H46" s="3">
        <f t="shared" si="20"/>
        <v>133.72</v>
      </c>
      <c r="I46" s="3"/>
      <c r="J46" s="3">
        <f t="shared" si="21"/>
        <v>73.56</v>
      </c>
      <c r="K46" s="3">
        <f t="shared" si="22"/>
        <v>87.5</v>
      </c>
      <c r="L46" s="34">
        <f t="shared" si="23"/>
        <v>83.75</v>
      </c>
      <c r="M46" s="3">
        <f t="shared" si="24"/>
        <v>-3.7600000000000002</v>
      </c>
      <c r="N46" s="3">
        <f t="shared" si="25"/>
        <v>150</v>
      </c>
      <c r="O46" s="3"/>
      <c r="P46" s="3">
        <f t="shared" si="26"/>
        <v>51.298835653543293</v>
      </c>
      <c r="Q46" s="3">
        <f t="shared" si="27"/>
        <v>109.8176</v>
      </c>
      <c r="R46" s="3">
        <f>vd(DataTable[[#This Row],[Sentido]],DataTable[[#This Row],[Valor]])</f>
        <v>81.916672372475176</v>
      </c>
      <c r="S46" s="3">
        <f>IF(DataTable[[#This Row],[Valor]]&gt;1,1,1)</f>
        <v>1</v>
      </c>
      <c r="T46" s="3">
        <f>IF(DataTable[[#This Row],[Valor]]&gt;1,1,1)</f>
        <v>1</v>
      </c>
      <c r="U46" s="3">
        <f>angr(DataTable[[#This Row],[Sentido]],DataTable[[#This Row],[Valor]])</f>
        <v>55.446525162615544</v>
      </c>
      <c r="V46" s="3">
        <f>ANGI(DataTable[[#This Row],[Sentido]],DataTable[[#This Row],[Valor]])</f>
        <v>56.346525162615542</v>
      </c>
      <c r="W46" s="3">
        <f t="shared" si="28"/>
        <v>1</v>
      </c>
      <c r="X46" s="3">
        <f>IF(DataTable[[#This Row],[Valor]]&gt;1,1,1)</f>
        <v>1</v>
      </c>
      <c r="Y46" s="3">
        <f t="shared" si="29"/>
        <v>1</v>
      </c>
      <c r="Z46" s="3">
        <f>IF(AND(DataTable[[#This Row],[Sentido]]="URUGUAI para BRASIL",DataTable[[#This Row],[Valor]]&gt;350),1,0)</f>
        <v>0</v>
      </c>
      <c r="AA46" s="3">
        <f>IF(DataTable[[#This Row],[Valor]]&gt;1,0,0)</f>
        <v>0</v>
      </c>
    </row>
    <row r="47" spans="1:27" x14ac:dyDescent="0.25">
      <c r="A47" s="2" t="s">
        <v>21</v>
      </c>
      <c r="B47" s="2">
        <v>95</v>
      </c>
      <c r="C47" s="3">
        <f t="shared" si="15"/>
        <v>81.25</v>
      </c>
      <c r="D47" s="3">
        <f t="shared" si="16"/>
        <v>87.5</v>
      </c>
      <c r="E47" s="3">
        <f t="shared" si="17"/>
        <v>83.75</v>
      </c>
      <c r="F47" s="3">
        <f t="shared" si="18"/>
        <v>57.4</v>
      </c>
      <c r="G47" s="3">
        <f t="shared" si="19"/>
        <v>133.6</v>
      </c>
      <c r="H47" s="3">
        <f t="shared" si="20"/>
        <v>133.6</v>
      </c>
      <c r="I47" s="3"/>
      <c r="J47" s="3">
        <f t="shared" si="21"/>
        <v>73.56</v>
      </c>
      <c r="K47" s="3">
        <f t="shared" si="22"/>
        <v>87.5</v>
      </c>
      <c r="L47" s="34">
        <f t="shared" si="23"/>
        <v>83.75</v>
      </c>
      <c r="M47" s="3">
        <f t="shared" si="24"/>
        <v>-3.8000000000000003</v>
      </c>
      <c r="N47" s="3">
        <f t="shared" si="25"/>
        <v>150</v>
      </c>
      <c r="O47" s="3"/>
      <c r="P47" s="3">
        <f t="shared" si="26"/>
        <v>52.789418330708656</v>
      </c>
      <c r="Q47" s="3">
        <f t="shared" si="27"/>
        <v>109.8176</v>
      </c>
      <c r="R47" s="3">
        <f>vd(DataTable[[#This Row],[Sentido]],DataTable[[#This Row],[Valor]])</f>
        <v>82.532899691886342</v>
      </c>
      <c r="S47" s="3">
        <f>IF(DataTable[[#This Row],[Valor]]&gt;1,1,1)</f>
        <v>1</v>
      </c>
      <c r="T47" s="3">
        <f>IF(DataTable[[#This Row],[Valor]]&gt;1,1,1)</f>
        <v>1</v>
      </c>
      <c r="U47" s="3">
        <f>angr(DataTable[[#This Row],[Sentido]],DataTable[[#This Row],[Valor]])</f>
        <v>55.164087641218757</v>
      </c>
      <c r="V47" s="3">
        <f>ANGI(DataTable[[#This Row],[Sentido]],DataTable[[#This Row],[Valor]])</f>
        <v>56.064087641218762</v>
      </c>
      <c r="W47" s="3">
        <f t="shared" si="28"/>
        <v>1</v>
      </c>
      <c r="X47" s="3">
        <f>IF(DataTable[[#This Row],[Valor]]&gt;1,1,1)</f>
        <v>1</v>
      </c>
      <c r="Y47" s="3">
        <f t="shared" si="29"/>
        <v>1</v>
      </c>
      <c r="Z47" s="3">
        <f>IF(AND(DataTable[[#This Row],[Sentido]]="URUGUAI para BRASIL",DataTable[[#This Row],[Valor]]&gt;350),1,0)</f>
        <v>0</v>
      </c>
      <c r="AA47" s="3">
        <f>IF(DataTable[[#This Row],[Valor]]&gt;1,0,0)</f>
        <v>0</v>
      </c>
    </row>
    <row r="48" spans="1:27" x14ac:dyDescent="0.25">
      <c r="A48" s="2" t="s">
        <v>21</v>
      </c>
      <c r="B48" s="2">
        <v>96</v>
      </c>
      <c r="C48" s="3">
        <f t="shared" si="15"/>
        <v>81.25</v>
      </c>
      <c r="D48" s="3">
        <f t="shared" si="16"/>
        <v>87.5</v>
      </c>
      <c r="E48" s="3">
        <f t="shared" si="17"/>
        <v>83.75</v>
      </c>
      <c r="F48" s="3">
        <f t="shared" si="18"/>
        <v>57.32</v>
      </c>
      <c r="G48" s="3">
        <f t="shared" si="19"/>
        <v>133.48000000000002</v>
      </c>
      <c r="H48" s="3">
        <f t="shared" si="20"/>
        <v>133.48000000000002</v>
      </c>
      <c r="I48" s="3"/>
      <c r="J48" s="3">
        <f t="shared" si="21"/>
        <v>73.56</v>
      </c>
      <c r="K48" s="3">
        <f t="shared" si="22"/>
        <v>87.5</v>
      </c>
      <c r="L48" s="34">
        <f t="shared" si="23"/>
        <v>83.75</v>
      </c>
      <c r="M48" s="3">
        <f t="shared" si="24"/>
        <v>-3.84</v>
      </c>
      <c r="N48" s="3">
        <f t="shared" si="25"/>
        <v>150</v>
      </c>
      <c r="O48" s="3"/>
      <c r="P48" s="3">
        <f t="shared" si="26"/>
        <v>54.280001007873999</v>
      </c>
      <c r="Q48" s="3">
        <f t="shared" si="27"/>
        <v>109.8176</v>
      </c>
      <c r="R48" s="3">
        <f>vd(DataTable[[#This Row],[Sentido]],DataTable[[#This Row],[Valor]])</f>
        <v>83.149127011297495</v>
      </c>
      <c r="S48" s="3">
        <f>IF(DataTable[[#This Row],[Valor]]&gt;1,1,1)</f>
        <v>1</v>
      </c>
      <c r="T48" s="3">
        <f>IF(DataTable[[#This Row],[Valor]]&gt;1,1,1)</f>
        <v>1</v>
      </c>
      <c r="U48" s="3">
        <f>angr(DataTable[[#This Row],[Sentido]],DataTable[[#This Row],[Valor]])</f>
        <v>54.881650119821977</v>
      </c>
      <c r="V48" s="3">
        <f>ANGI(DataTable[[#This Row],[Sentido]],DataTable[[#This Row],[Valor]])</f>
        <v>55.781650119821983</v>
      </c>
      <c r="W48" s="3">
        <f t="shared" si="28"/>
        <v>1</v>
      </c>
      <c r="X48" s="3">
        <f>IF(DataTable[[#This Row],[Valor]]&gt;1,1,1)</f>
        <v>1</v>
      </c>
      <c r="Y48" s="3">
        <f t="shared" si="29"/>
        <v>1</v>
      </c>
      <c r="Z48" s="3">
        <f>IF(AND(DataTable[[#This Row],[Sentido]]="URUGUAI para BRASIL",DataTable[[#This Row],[Valor]]&gt;350),1,0)</f>
        <v>0</v>
      </c>
      <c r="AA48" s="3">
        <f>IF(DataTable[[#This Row],[Valor]]&gt;1,0,0)</f>
        <v>0</v>
      </c>
    </row>
    <row r="49" spans="1:27" x14ac:dyDescent="0.25">
      <c r="A49" s="2" t="s">
        <v>21</v>
      </c>
      <c r="B49" s="2">
        <v>97</v>
      </c>
      <c r="C49" s="3">
        <f t="shared" si="15"/>
        <v>81.25</v>
      </c>
      <c r="D49" s="3">
        <f t="shared" si="16"/>
        <v>87.5</v>
      </c>
      <c r="E49" s="3">
        <f t="shared" si="17"/>
        <v>83.75</v>
      </c>
      <c r="F49" s="3">
        <f t="shared" si="18"/>
        <v>57.24</v>
      </c>
      <c r="G49" s="3">
        <f t="shared" si="19"/>
        <v>133.36000000000001</v>
      </c>
      <c r="H49" s="3">
        <f t="shared" si="20"/>
        <v>133.36000000000001</v>
      </c>
      <c r="I49" s="3"/>
      <c r="J49" s="3">
        <f t="shared" si="21"/>
        <v>73.56</v>
      </c>
      <c r="K49" s="3">
        <f t="shared" si="22"/>
        <v>87.5</v>
      </c>
      <c r="L49" s="34">
        <f t="shared" si="23"/>
        <v>83.75</v>
      </c>
      <c r="M49" s="3">
        <f t="shared" si="24"/>
        <v>-3.88</v>
      </c>
      <c r="N49" s="3">
        <f t="shared" si="25"/>
        <v>150</v>
      </c>
      <c r="O49" s="3"/>
      <c r="P49" s="3">
        <f t="shared" si="26"/>
        <v>55.770583685039355</v>
      </c>
      <c r="Q49" s="3">
        <f t="shared" si="27"/>
        <v>109.8176</v>
      </c>
      <c r="R49" s="3">
        <f>vd(DataTable[[#This Row],[Sentido]],DataTable[[#This Row],[Valor]])</f>
        <v>83.765354330708661</v>
      </c>
      <c r="S49" s="3">
        <f>IF(DataTable[[#This Row],[Valor]]&gt;1,1,1)</f>
        <v>1</v>
      </c>
      <c r="T49" s="3">
        <f>IF(DataTable[[#This Row],[Valor]]&gt;1,1,1)</f>
        <v>1</v>
      </c>
      <c r="U49" s="3">
        <f>angr(DataTable[[#This Row],[Sentido]],DataTable[[#This Row],[Valor]])</f>
        <v>54.599212598425197</v>
      </c>
      <c r="V49" s="3">
        <f>ANGI(DataTable[[#This Row],[Sentido]],DataTable[[#This Row],[Valor]])</f>
        <v>55.499212598425196</v>
      </c>
      <c r="W49" s="3">
        <f t="shared" si="28"/>
        <v>1</v>
      </c>
      <c r="X49" s="3">
        <f>IF(DataTable[[#This Row],[Valor]]&gt;1,1,1)</f>
        <v>1</v>
      </c>
      <c r="Y49" s="3">
        <f t="shared" si="29"/>
        <v>1</v>
      </c>
      <c r="Z49" s="3">
        <f>IF(AND(DataTable[[#This Row],[Sentido]]="URUGUAI para BRASIL",DataTable[[#This Row],[Valor]]&gt;350),1,0)</f>
        <v>0</v>
      </c>
      <c r="AA49" s="3">
        <f>IF(DataTable[[#This Row],[Valor]]&gt;1,0,0)</f>
        <v>0</v>
      </c>
    </row>
    <row r="50" spans="1:27" x14ac:dyDescent="0.25">
      <c r="A50" s="2" t="s">
        <v>21</v>
      </c>
      <c r="B50" s="2">
        <v>98</v>
      </c>
      <c r="C50" s="3">
        <f t="shared" si="15"/>
        <v>81.25</v>
      </c>
      <c r="D50" s="3">
        <f t="shared" si="16"/>
        <v>87.5</v>
      </c>
      <c r="E50" s="3">
        <f t="shared" si="17"/>
        <v>83.75</v>
      </c>
      <c r="F50" s="3">
        <f t="shared" si="18"/>
        <v>57.16</v>
      </c>
      <c r="G50" s="3">
        <f t="shared" si="19"/>
        <v>133.24</v>
      </c>
      <c r="H50" s="3">
        <f t="shared" si="20"/>
        <v>133.24</v>
      </c>
      <c r="I50" s="3"/>
      <c r="J50" s="3">
        <f t="shared" si="21"/>
        <v>73.56</v>
      </c>
      <c r="K50" s="3">
        <f t="shared" si="22"/>
        <v>87.5</v>
      </c>
      <c r="L50" s="34">
        <f t="shared" si="23"/>
        <v>83.75</v>
      </c>
      <c r="M50" s="3">
        <f t="shared" si="24"/>
        <v>-3.92</v>
      </c>
      <c r="N50" s="3">
        <f t="shared" si="25"/>
        <v>150</v>
      </c>
      <c r="O50" s="3"/>
      <c r="P50" s="3">
        <f t="shared" si="26"/>
        <v>57.261166362204719</v>
      </c>
      <c r="Q50" s="3">
        <f t="shared" si="27"/>
        <v>109.8176</v>
      </c>
      <c r="R50" s="3">
        <f>vd(DataTable[[#This Row],[Sentido]],DataTable[[#This Row],[Valor]])</f>
        <v>84.381581650119827</v>
      </c>
      <c r="S50" s="3">
        <f>IF(DataTable[[#This Row],[Valor]]&gt;1,1,1)</f>
        <v>1</v>
      </c>
      <c r="T50" s="3">
        <f>IF(DataTable[[#This Row],[Valor]]&gt;1,1,1)</f>
        <v>1</v>
      </c>
      <c r="U50" s="3">
        <f>angr(DataTable[[#This Row],[Sentido]],DataTable[[#This Row],[Valor]])</f>
        <v>54.31677507702841</v>
      </c>
      <c r="V50" s="3">
        <f>ANGI(DataTable[[#This Row],[Sentido]],DataTable[[#This Row],[Valor]])</f>
        <v>55.216775077028416</v>
      </c>
      <c r="W50" s="3">
        <f t="shared" si="28"/>
        <v>1</v>
      </c>
      <c r="X50" s="3">
        <f>IF(DataTable[[#This Row],[Valor]]&gt;1,1,1)</f>
        <v>1</v>
      </c>
      <c r="Y50" s="3">
        <f t="shared" si="29"/>
        <v>1</v>
      </c>
      <c r="Z50" s="3">
        <f>IF(AND(DataTable[[#This Row],[Sentido]]="URUGUAI para BRASIL",DataTable[[#This Row],[Valor]]&gt;350),1,0)</f>
        <v>0</v>
      </c>
      <c r="AA50" s="3">
        <f>IF(DataTable[[#This Row],[Valor]]&gt;1,0,0)</f>
        <v>0</v>
      </c>
    </row>
    <row r="51" spans="1:27" x14ac:dyDescent="0.25">
      <c r="A51" s="2" t="s">
        <v>21</v>
      </c>
      <c r="B51" s="2">
        <v>99</v>
      </c>
      <c r="C51" s="3">
        <f t="shared" si="15"/>
        <v>81.25</v>
      </c>
      <c r="D51" s="3">
        <f t="shared" si="16"/>
        <v>87.5</v>
      </c>
      <c r="E51" s="3">
        <f t="shared" si="17"/>
        <v>83.75</v>
      </c>
      <c r="F51" s="3">
        <f t="shared" si="18"/>
        <v>57.08</v>
      </c>
      <c r="G51" s="3">
        <f t="shared" si="19"/>
        <v>133.12</v>
      </c>
      <c r="H51" s="3">
        <f t="shared" si="20"/>
        <v>133.12</v>
      </c>
      <c r="I51" s="3"/>
      <c r="J51" s="3">
        <f t="shared" si="21"/>
        <v>73.56</v>
      </c>
      <c r="K51" s="3">
        <f t="shared" si="22"/>
        <v>87.5</v>
      </c>
      <c r="L51" s="34">
        <f t="shared" si="23"/>
        <v>83.75</v>
      </c>
      <c r="M51" s="3">
        <f t="shared" si="24"/>
        <v>-3.96</v>
      </c>
      <c r="N51" s="3">
        <f t="shared" si="25"/>
        <v>150</v>
      </c>
      <c r="O51" s="3"/>
      <c r="P51" s="3">
        <f t="shared" si="26"/>
        <v>58.751749039370068</v>
      </c>
      <c r="Q51" s="3">
        <f t="shared" si="27"/>
        <v>109.8176</v>
      </c>
      <c r="R51" s="3">
        <f>vd(DataTable[[#This Row],[Sentido]],DataTable[[#This Row],[Valor]])</f>
        <v>84.997808969530979</v>
      </c>
      <c r="S51" s="3">
        <f>IF(DataTable[[#This Row],[Valor]]&gt;1,1,1)</f>
        <v>1</v>
      </c>
      <c r="T51" s="3">
        <f>IF(DataTable[[#This Row],[Valor]]&gt;1,1,1)</f>
        <v>1</v>
      </c>
      <c r="U51" s="3">
        <f>angr(DataTable[[#This Row],[Sentido]],DataTable[[#This Row],[Valor]])</f>
        <v>54.03433755563163</v>
      </c>
      <c r="V51" s="3">
        <f>ANGI(DataTable[[#This Row],[Sentido]],DataTable[[#This Row],[Valor]])</f>
        <v>54.934337555631636</v>
      </c>
      <c r="W51" s="3">
        <f t="shared" si="28"/>
        <v>1</v>
      </c>
      <c r="X51" s="3">
        <f>IF(DataTable[[#This Row],[Valor]]&gt;1,1,1)</f>
        <v>1</v>
      </c>
      <c r="Y51" s="3">
        <f t="shared" si="29"/>
        <v>1</v>
      </c>
      <c r="Z51" s="3">
        <f>IF(AND(DataTable[[#This Row],[Sentido]]="URUGUAI para BRASIL",DataTable[[#This Row],[Valor]]&gt;350),1,0)</f>
        <v>0</v>
      </c>
      <c r="AA51" s="3">
        <f>IF(DataTable[[#This Row],[Valor]]&gt;1,0,0)</f>
        <v>0</v>
      </c>
    </row>
    <row r="52" spans="1:27" x14ac:dyDescent="0.25">
      <c r="A52" s="2" t="s">
        <v>21</v>
      </c>
      <c r="B52" s="2">
        <v>100</v>
      </c>
      <c r="C52" s="3">
        <f t="shared" si="15"/>
        <v>81.25</v>
      </c>
      <c r="D52" s="3">
        <f t="shared" si="16"/>
        <v>87.5</v>
      </c>
      <c r="E52" s="3">
        <f t="shared" si="17"/>
        <v>83.75</v>
      </c>
      <c r="F52" s="3">
        <f t="shared" si="18"/>
        <v>57</v>
      </c>
      <c r="G52" s="3">
        <f t="shared" si="19"/>
        <v>133</v>
      </c>
      <c r="H52" s="3">
        <f t="shared" si="20"/>
        <v>133</v>
      </c>
      <c r="I52" s="3"/>
      <c r="J52" s="3">
        <f t="shared" si="21"/>
        <v>73.56</v>
      </c>
      <c r="K52" s="3">
        <f t="shared" si="22"/>
        <v>87.5</v>
      </c>
      <c r="L52" s="34">
        <f t="shared" si="23"/>
        <v>83.75</v>
      </c>
      <c r="M52" s="3">
        <f t="shared" si="24"/>
        <v>-4</v>
      </c>
      <c r="N52" s="3">
        <f t="shared" si="25"/>
        <v>150</v>
      </c>
      <c r="O52" s="3"/>
      <c r="P52" s="3">
        <f t="shared" si="26"/>
        <v>60.242331716535432</v>
      </c>
      <c r="Q52" s="3">
        <f t="shared" si="27"/>
        <v>109.8176</v>
      </c>
      <c r="R52" s="3">
        <f>vd(DataTable[[#This Row],[Sentido]],DataTable[[#This Row],[Valor]])</f>
        <v>85.614036288942145</v>
      </c>
      <c r="S52" s="3">
        <f>IF(DataTable[[#This Row],[Valor]]&gt;1,1,1)</f>
        <v>1</v>
      </c>
      <c r="T52" s="3">
        <f>IF(DataTable[[#This Row],[Valor]]&gt;1,1,1)</f>
        <v>1</v>
      </c>
      <c r="U52" s="3">
        <f>angr(DataTable[[#This Row],[Sentido]],DataTable[[#This Row],[Valor]])</f>
        <v>53.751900034234851</v>
      </c>
      <c r="V52" s="3">
        <f>ANGI(DataTable[[#This Row],[Sentido]],DataTable[[#This Row],[Valor]])</f>
        <v>54.651900034234856</v>
      </c>
      <c r="W52" s="3">
        <f t="shared" si="28"/>
        <v>1</v>
      </c>
      <c r="X52" s="3">
        <f>IF(DataTable[[#This Row],[Valor]]&gt;1,1,1)</f>
        <v>1</v>
      </c>
      <c r="Y52" s="3">
        <f t="shared" si="29"/>
        <v>1</v>
      </c>
      <c r="Z52" s="3">
        <f>IF(AND(DataTable[[#This Row],[Sentido]]="URUGUAI para BRASIL",DataTable[[#This Row],[Valor]]&gt;350),1,0)</f>
        <v>0</v>
      </c>
      <c r="AA52" s="3">
        <f>IF(DataTable[[#This Row],[Valor]]&gt;1,0,0)</f>
        <v>0</v>
      </c>
    </row>
    <row r="53" spans="1:27" x14ac:dyDescent="0.25">
      <c r="A53" s="2" t="s">
        <v>21</v>
      </c>
      <c r="B53" s="2">
        <v>101</v>
      </c>
      <c r="C53" s="3">
        <f t="shared" si="15"/>
        <v>81.25</v>
      </c>
      <c r="D53" s="3">
        <f t="shared" si="16"/>
        <v>87.5</v>
      </c>
      <c r="E53" s="3">
        <f t="shared" si="17"/>
        <v>83.75</v>
      </c>
      <c r="F53" s="3">
        <f t="shared" si="18"/>
        <v>56.92</v>
      </c>
      <c r="G53" s="3">
        <f t="shared" si="19"/>
        <v>132.88</v>
      </c>
      <c r="H53" s="3">
        <f t="shared" si="20"/>
        <v>132.88</v>
      </c>
      <c r="I53" s="3"/>
      <c r="J53" s="3">
        <f t="shared" si="21"/>
        <v>73.56</v>
      </c>
      <c r="K53" s="3">
        <f t="shared" si="22"/>
        <v>87.5</v>
      </c>
      <c r="L53" s="34">
        <f t="shared" si="23"/>
        <v>83.75</v>
      </c>
      <c r="M53" s="3">
        <f t="shared" si="24"/>
        <v>-4.04</v>
      </c>
      <c r="N53" s="3">
        <f t="shared" si="25"/>
        <v>150</v>
      </c>
      <c r="O53" s="3"/>
      <c r="P53" s="3">
        <f t="shared" si="26"/>
        <v>61.732914393700767</v>
      </c>
      <c r="Q53" s="3">
        <f t="shared" si="27"/>
        <v>109.8176</v>
      </c>
      <c r="R53" s="3">
        <f>vd(DataTable[[#This Row],[Sentido]],DataTable[[#This Row],[Valor]])</f>
        <v>86.230263608353297</v>
      </c>
      <c r="S53" s="3">
        <f>IF(DataTable[[#This Row],[Valor]]&gt;1,1,1)</f>
        <v>1</v>
      </c>
      <c r="T53" s="3">
        <f>IF(DataTable[[#This Row],[Valor]]&gt;1,1,1)</f>
        <v>1</v>
      </c>
      <c r="U53" s="3">
        <f>angr(DataTable[[#This Row],[Sentido]],DataTable[[#This Row],[Valor]])</f>
        <v>53.469462512838071</v>
      </c>
      <c r="V53" s="3">
        <f>ANGI(DataTable[[#This Row],[Sentido]],DataTable[[#This Row],[Valor]])</f>
        <v>54.369462512838076</v>
      </c>
      <c r="W53" s="3">
        <f t="shared" si="28"/>
        <v>1</v>
      </c>
      <c r="X53" s="3">
        <f>IF(DataTable[[#This Row],[Valor]]&gt;1,1,1)</f>
        <v>1</v>
      </c>
      <c r="Y53" s="3">
        <f t="shared" si="29"/>
        <v>1</v>
      </c>
      <c r="Z53" s="3">
        <f>IF(AND(DataTable[[#This Row],[Sentido]]="URUGUAI para BRASIL",DataTable[[#This Row],[Valor]]&gt;350),1,0)</f>
        <v>0</v>
      </c>
      <c r="AA53" s="3">
        <f>IF(DataTable[[#This Row],[Valor]]&gt;1,0,0)</f>
        <v>0</v>
      </c>
    </row>
    <row r="54" spans="1:27" x14ac:dyDescent="0.25">
      <c r="A54" s="2" t="s">
        <v>21</v>
      </c>
      <c r="B54" s="2">
        <v>102</v>
      </c>
      <c r="C54" s="3">
        <f t="shared" si="15"/>
        <v>81.25</v>
      </c>
      <c r="D54" s="3">
        <f t="shared" si="16"/>
        <v>87.5</v>
      </c>
      <c r="E54" s="3">
        <f t="shared" si="17"/>
        <v>83.75</v>
      </c>
      <c r="F54" s="3">
        <f t="shared" si="18"/>
        <v>56.84</v>
      </c>
      <c r="G54" s="3">
        <f t="shared" si="19"/>
        <v>132.76</v>
      </c>
      <c r="H54" s="3">
        <f t="shared" si="20"/>
        <v>132.76</v>
      </c>
      <c r="I54" s="3"/>
      <c r="J54" s="3">
        <f t="shared" si="21"/>
        <v>73.56</v>
      </c>
      <c r="K54" s="3">
        <f t="shared" si="22"/>
        <v>87.5</v>
      </c>
      <c r="L54" s="34">
        <f t="shared" si="23"/>
        <v>83.75</v>
      </c>
      <c r="M54" s="3">
        <f t="shared" si="24"/>
        <v>-4.08</v>
      </c>
      <c r="N54" s="3">
        <f t="shared" si="25"/>
        <v>150</v>
      </c>
      <c r="O54" s="3"/>
      <c r="P54" s="3">
        <f t="shared" si="26"/>
        <v>63.223497070866131</v>
      </c>
      <c r="Q54" s="3">
        <f t="shared" si="27"/>
        <v>109.8176</v>
      </c>
      <c r="R54" s="3">
        <f>vd(DataTable[[#This Row],[Sentido]],DataTable[[#This Row],[Valor]])</f>
        <v>86.844969378827642</v>
      </c>
      <c r="S54" s="3">
        <f>IF(DataTable[[#This Row],[Valor]]&gt;1,1,1)</f>
        <v>1</v>
      </c>
      <c r="T54" s="3">
        <f>IF(DataTable[[#This Row],[Valor]]&gt;1,1,1)</f>
        <v>1</v>
      </c>
      <c r="U54" s="3">
        <f>angr(DataTable[[#This Row],[Sentido]],DataTable[[#This Row],[Valor]])</f>
        <v>53.179702537182848</v>
      </c>
      <c r="V54" s="3">
        <f>ANGI(DataTable[[#This Row],[Sentido]],DataTable[[#This Row],[Valor]])</f>
        <v>54.084076990376204</v>
      </c>
      <c r="W54" s="3">
        <f t="shared" si="28"/>
        <v>1</v>
      </c>
      <c r="X54" s="3">
        <f>IF(DataTable[[#This Row],[Valor]]&gt;1,1,1)</f>
        <v>1</v>
      </c>
      <c r="Y54" s="3">
        <f t="shared" si="29"/>
        <v>1</v>
      </c>
      <c r="Z54" s="3">
        <f>IF(AND(DataTable[[#This Row],[Sentido]]="URUGUAI para BRASIL",DataTable[[#This Row],[Valor]]&gt;350),1,0)</f>
        <v>0</v>
      </c>
      <c r="AA54" s="3">
        <f>IF(DataTable[[#This Row],[Valor]]&gt;1,0,0)</f>
        <v>0</v>
      </c>
    </row>
    <row r="55" spans="1:27" x14ac:dyDescent="0.25">
      <c r="A55" s="2" t="s">
        <v>21</v>
      </c>
      <c r="B55" s="2">
        <v>103</v>
      </c>
      <c r="C55" s="3">
        <f t="shared" si="15"/>
        <v>81.25</v>
      </c>
      <c r="D55" s="3">
        <f t="shared" si="16"/>
        <v>87.5</v>
      </c>
      <c r="E55" s="3">
        <f t="shared" si="17"/>
        <v>83.75</v>
      </c>
      <c r="F55" s="3">
        <f t="shared" si="18"/>
        <v>56.76</v>
      </c>
      <c r="G55" s="3">
        <f t="shared" si="19"/>
        <v>132.63999999999999</v>
      </c>
      <c r="H55" s="3">
        <f t="shared" si="20"/>
        <v>132.63999999999999</v>
      </c>
      <c r="I55" s="3"/>
      <c r="J55" s="3">
        <f t="shared" si="21"/>
        <v>73.56</v>
      </c>
      <c r="K55" s="3">
        <f t="shared" si="22"/>
        <v>87.5</v>
      </c>
      <c r="L55" s="34">
        <f t="shared" si="23"/>
        <v>83.75</v>
      </c>
      <c r="M55" s="3">
        <f t="shared" si="24"/>
        <v>-4.12</v>
      </c>
      <c r="N55" s="3">
        <f t="shared" si="25"/>
        <v>150</v>
      </c>
      <c r="O55" s="3"/>
      <c r="P55" s="3">
        <f t="shared" si="26"/>
        <v>64.714079748031494</v>
      </c>
      <c r="Q55" s="3">
        <f t="shared" si="27"/>
        <v>109.8176</v>
      </c>
      <c r="R55" s="3">
        <f>vd(DataTable[[#This Row],[Sentido]],DataTable[[#This Row],[Valor]])</f>
        <v>87.457392825896761</v>
      </c>
      <c r="S55" s="3">
        <f>IF(DataTable[[#This Row],[Valor]]&gt;1,1,1)</f>
        <v>1</v>
      </c>
      <c r="T55" s="3">
        <f>IF(DataTable[[#This Row],[Valor]]&gt;1,1,1)</f>
        <v>1</v>
      </c>
      <c r="U55" s="3">
        <f>angr(DataTable[[#This Row],[Sentido]],DataTable[[#This Row],[Valor]])</f>
        <v>52.878958880139976</v>
      </c>
      <c r="V55" s="3">
        <f>ANGI(DataTable[[#This Row],[Sentido]],DataTable[[#This Row],[Valor]])</f>
        <v>53.794269466316713</v>
      </c>
      <c r="W55" s="3">
        <f t="shared" si="28"/>
        <v>1</v>
      </c>
      <c r="X55" s="3">
        <f>IF(DataTable[[#This Row],[Valor]]&gt;1,1,1)</f>
        <v>1</v>
      </c>
      <c r="Y55" s="3">
        <f t="shared" si="29"/>
        <v>1</v>
      </c>
      <c r="Z55" s="3">
        <f>IF(AND(DataTable[[#This Row],[Sentido]]="URUGUAI para BRASIL",DataTable[[#This Row],[Valor]]&gt;350),1,0)</f>
        <v>0</v>
      </c>
      <c r="AA55" s="3">
        <f>IF(DataTable[[#This Row],[Valor]]&gt;1,0,0)</f>
        <v>0</v>
      </c>
    </row>
    <row r="56" spans="1:27" x14ac:dyDescent="0.25">
      <c r="A56" s="2" t="s">
        <v>21</v>
      </c>
      <c r="B56" s="2">
        <v>104</v>
      </c>
      <c r="C56" s="3">
        <f t="shared" si="15"/>
        <v>81.25</v>
      </c>
      <c r="D56" s="3">
        <f t="shared" si="16"/>
        <v>87.5</v>
      </c>
      <c r="E56" s="3">
        <f t="shared" si="17"/>
        <v>83.75</v>
      </c>
      <c r="F56" s="3">
        <f t="shared" si="18"/>
        <v>56.68</v>
      </c>
      <c r="G56" s="3">
        <f t="shared" si="19"/>
        <v>132.51999999999998</v>
      </c>
      <c r="H56" s="3">
        <f t="shared" si="20"/>
        <v>132.51999999999998</v>
      </c>
      <c r="I56" s="3"/>
      <c r="J56" s="3">
        <f t="shared" si="21"/>
        <v>73.56</v>
      </c>
      <c r="K56" s="3">
        <f t="shared" si="22"/>
        <v>87.5</v>
      </c>
      <c r="L56" s="34">
        <f t="shared" si="23"/>
        <v>83.75</v>
      </c>
      <c r="M56" s="3">
        <f t="shared" si="24"/>
        <v>-4.16</v>
      </c>
      <c r="N56" s="3">
        <f t="shared" si="25"/>
        <v>150</v>
      </c>
      <c r="O56" s="3"/>
      <c r="P56" s="3">
        <f t="shared" si="26"/>
        <v>66.20466242519683</v>
      </c>
      <c r="Q56" s="3">
        <f t="shared" si="27"/>
        <v>109.8176</v>
      </c>
      <c r="R56" s="3">
        <f>vd(DataTable[[#This Row],[Sentido]],DataTable[[#This Row],[Valor]])</f>
        <v>88.069816272965866</v>
      </c>
      <c r="S56" s="3">
        <f>IF(DataTable[[#This Row],[Valor]]&gt;1,1,1)</f>
        <v>1</v>
      </c>
      <c r="T56" s="3">
        <f>IF(DataTable[[#This Row],[Valor]]&gt;1,1,1)</f>
        <v>1</v>
      </c>
      <c r="U56" s="3">
        <f>angr(DataTable[[#This Row],[Sentido]],DataTable[[#This Row],[Valor]])</f>
        <v>52.578215223097111</v>
      </c>
      <c r="V56" s="3">
        <f>ANGI(DataTable[[#This Row],[Sentido]],DataTable[[#This Row],[Valor]])</f>
        <v>53.504461942257223</v>
      </c>
      <c r="W56" s="3">
        <f t="shared" si="28"/>
        <v>1</v>
      </c>
      <c r="X56" s="3">
        <f>IF(DataTable[[#This Row],[Valor]]&gt;1,1,1)</f>
        <v>1</v>
      </c>
      <c r="Y56" s="3">
        <f t="shared" si="29"/>
        <v>1</v>
      </c>
      <c r="Z56" s="3">
        <f>IF(AND(DataTable[[#This Row],[Sentido]]="URUGUAI para BRASIL",DataTable[[#This Row],[Valor]]&gt;350),1,0)</f>
        <v>0</v>
      </c>
      <c r="AA56" s="3">
        <f>IF(DataTable[[#This Row],[Valor]]&gt;1,0,0)</f>
        <v>0</v>
      </c>
    </row>
    <row r="57" spans="1:27" x14ac:dyDescent="0.25">
      <c r="A57" s="2" t="s">
        <v>21</v>
      </c>
      <c r="B57" s="2">
        <v>105</v>
      </c>
      <c r="C57" s="3">
        <f t="shared" si="15"/>
        <v>81.25</v>
      </c>
      <c r="D57" s="3">
        <f t="shared" si="16"/>
        <v>87.5</v>
      </c>
      <c r="E57" s="3">
        <f t="shared" si="17"/>
        <v>83.75</v>
      </c>
      <c r="F57" s="3">
        <f t="shared" si="18"/>
        <v>56.6</v>
      </c>
      <c r="G57" s="3">
        <f t="shared" si="19"/>
        <v>132.4</v>
      </c>
      <c r="H57" s="3">
        <f t="shared" si="20"/>
        <v>132.4</v>
      </c>
      <c r="I57" s="3"/>
      <c r="J57" s="3">
        <f t="shared" si="21"/>
        <v>73.56</v>
      </c>
      <c r="K57" s="3">
        <f t="shared" si="22"/>
        <v>87.5</v>
      </c>
      <c r="L57" s="34">
        <f t="shared" si="23"/>
        <v>83.75</v>
      </c>
      <c r="M57" s="3">
        <f t="shared" si="24"/>
        <v>-4.2</v>
      </c>
      <c r="N57" s="3">
        <f t="shared" si="25"/>
        <v>150</v>
      </c>
      <c r="O57" s="3"/>
      <c r="P57" s="3">
        <f t="shared" si="26"/>
        <v>67.695245102362193</v>
      </c>
      <c r="Q57" s="3">
        <f t="shared" si="27"/>
        <v>109.8176</v>
      </c>
      <c r="R57" s="3">
        <f>vd(DataTable[[#This Row],[Sentido]],DataTable[[#This Row],[Valor]])</f>
        <v>88.682239720034985</v>
      </c>
      <c r="S57" s="3">
        <f>IF(DataTable[[#This Row],[Valor]]&gt;1,1,1)</f>
        <v>1</v>
      </c>
      <c r="T57" s="3">
        <f>IF(DataTable[[#This Row],[Valor]]&gt;1,1,1)</f>
        <v>1</v>
      </c>
      <c r="U57" s="3">
        <f>angr(DataTable[[#This Row],[Sentido]],DataTable[[#This Row],[Valor]])</f>
        <v>52.277471566054238</v>
      </c>
      <c r="V57" s="3">
        <f>ANGI(DataTable[[#This Row],[Sentido]],DataTable[[#This Row],[Valor]])</f>
        <v>53.214654418197725</v>
      </c>
      <c r="W57" s="3">
        <f t="shared" si="28"/>
        <v>1</v>
      </c>
      <c r="X57" s="3">
        <f>IF(DataTable[[#This Row],[Valor]]&gt;1,1,1)</f>
        <v>1</v>
      </c>
      <c r="Y57" s="3">
        <f t="shared" si="29"/>
        <v>1</v>
      </c>
      <c r="Z57" s="3">
        <f>IF(AND(DataTable[[#This Row],[Sentido]]="URUGUAI para BRASIL",DataTable[[#This Row],[Valor]]&gt;350),1,0)</f>
        <v>0</v>
      </c>
      <c r="AA57" s="3">
        <f>IF(DataTable[[#This Row],[Valor]]&gt;1,0,0)</f>
        <v>0</v>
      </c>
    </row>
    <row r="58" spans="1:27" x14ac:dyDescent="0.25">
      <c r="A58" s="2" t="s">
        <v>21</v>
      </c>
      <c r="B58" s="2">
        <v>106</v>
      </c>
      <c r="C58" s="3">
        <f t="shared" si="15"/>
        <v>81.25</v>
      </c>
      <c r="D58" s="3">
        <f t="shared" si="16"/>
        <v>87.5</v>
      </c>
      <c r="E58" s="3">
        <f t="shared" si="17"/>
        <v>83.75</v>
      </c>
      <c r="F58" s="3">
        <f t="shared" si="18"/>
        <v>56.519999999999996</v>
      </c>
      <c r="G58" s="3">
        <f t="shared" si="19"/>
        <v>132.28</v>
      </c>
      <c r="H58" s="3">
        <f t="shared" si="20"/>
        <v>132.28</v>
      </c>
      <c r="I58" s="3"/>
      <c r="J58" s="3">
        <f t="shared" si="21"/>
        <v>73.56</v>
      </c>
      <c r="K58" s="3">
        <f t="shared" si="22"/>
        <v>87.5</v>
      </c>
      <c r="L58" s="34">
        <f t="shared" si="23"/>
        <v>83.75</v>
      </c>
      <c r="M58" s="3">
        <f t="shared" si="24"/>
        <v>-4.24</v>
      </c>
      <c r="N58" s="3">
        <f t="shared" si="25"/>
        <v>150</v>
      </c>
      <c r="O58" s="3"/>
      <c r="P58" s="3">
        <f t="shared" si="26"/>
        <v>69.185827779527543</v>
      </c>
      <c r="Q58" s="3">
        <f t="shared" si="27"/>
        <v>109.8176</v>
      </c>
      <c r="R58" s="3">
        <f>vd(DataTable[[#This Row],[Sentido]],DataTable[[#This Row],[Valor]])</f>
        <v>89.294663167104105</v>
      </c>
      <c r="S58" s="3">
        <f>IF(DataTable[[#This Row],[Valor]]&gt;1,1,1)</f>
        <v>1</v>
      </c>
      <c r="T58" s="3">
        <f>IF(DataTable[[#This Row],[Valor]]&gt;1,1,1)</f>
        <v>1</v>
      </c>
      <c r="U58" s="3">
        <f>angr(DataTable[[#This Row],[Sentido]],DataTable[[#This Row],[Valor]])</f>
        <v>51.976727909011373</v>
      </c>
      <c r="V58" s="3">
        <f>ANGI(DataTable[[#This Row],[Sentido]],DataTable[[#This Row],[Valor]])</f>
        <v>52.924846894138234</v>
      </c>
      <c r="W58" s="3">
        <f t="shared" si="28"/>
        <v>1</v>
      </c>
      <c r="X58" s="3">
        <f>IF(DataTable[[#This Row],[Valor]]&gt;1,1,1)</f>
        <v>1</v>
      </c>
      <c r="Y58" s="3">
        <f t="shared" si="29"/>
        <v>1</v>
      </c>
      <c r="Z58" s="3">
        <f>IF(AND(DataTable[[#This Row],[Sentido]]="URUGUAI para BRASIL",DataTable[[#This Row],[Valor]]&gt;350),1,0)</f>
        <v>0</v>
      </c>
      <c r="AA58" s="3">
        <f>IF(DataTable[[#This Row],[Valor]]&gt;1,0,0)</f>
        <v>0</v>
      </c>
    </row>
    <row r="59" spans="1:27" x14ac:dyDescent="0.25">
      <c r="A59" s="2" t="s">
        <v>21</v>
      </c>
      <c r="B59" s="2">
        <v>107</v>
      </c>
      <c r="C59" s="3">
        <f t="shared" si="15"/>
        <v>81.25</v>
      </c>
      <c r="D59" s="3">
        <f t="shared" si="16"/>
        <v>87.5</v>
      </c>
      <c r="E59" s="3">
        <f t="shared" si="17"/>
        <v>83.75</v>
      </c>
      <c r="F59" s="3">
        <f t="shared" si="18"/>
        <v>56.44</v>
      </c>
      <c r="G59" s="3">
        <f t="shared" si="19"/>
        <v>132.16</v>
      </c>
      <c r="H59" s="3">
        <f t="shared" si="20"/>
        <v>132.16</v>
      </c>
      <c r="I59" s="3"/>
      <c r="J59" s="3">
        <f t="shared" si="21"/>
        <v>73.56</v>
      </c>
      <c r="K59" s="3">
        <f t="shared" si="22"/>
        <v>87.5</v>
      </c>
      <c r="L59" s="34">
        <f t="shared" si="23"/>
        <v>83.75</v>
      </c>
      <c r="M59" s="3">
        <f t="shared" si="24"/>
        <v>-4.28</v>
      </c>
      <c r="N59" s="3">
        <f t="shared" si="25"/>
        <v>150</v>
      </c>
      <c r="O59" s="3"/>
      <c r="P59" s="3">
        <f t="shared" si="26"/>
        <v>70.676410456692906</v>
      </c>
      <c r="Q59" s="3">
        <f t="shared" si="27"/>
        <v>109.8176</v>
      </c>
      <c r="R59" s="3">
        <f>vd(DataTable[[#This Row],[Sentido]],DataTable[[#This Row],[Valor]])</f>
        <v>89.907086614173224</v>
      </c>
      <c r="S59" s="3">
        <f>IF(DataTable[[#This Row],[Valor]]&gt;1,1,1)</f>
        <v>1</v>
      </c>
      <c r="T59" s="3">
        <f>IF(DataTable[[#This Row],[Valor]]&gt;1,1,1)</f>
        <v>1</v>
      </c>
      <c r="U59" s="3">
        <f>angr(DataTable[[#This Row],[Sentido]],DataTable[[#This Row],[Valor]])</f>
        <v>51.675984251968501</v>
      </c>
      <c r="V59" s="3">
        <f>ANGI(DataTable[[#This Row],[Sentido]],DataTable[[#This Row],[Valor]])</f>
        <v>52.635039370078744</v>
      </c>
      <c r="W59" s="3">
        <f t="shared" si="28"/>
        <v>1</v>
      </c>
      <c r="X59" s="3">
        <f>IF(DataTable[[#This Row],[Valor]]&gt;1,1,1)</f>
        <v>1</v>
      </c>
      <c r="Y59" s="3">
        <f t="shared" si="29"/>
        <v>1</v>
      </c>
      <c r="Z59" s="3">
        <f>IF(AND(DataTable[[#This Row],[Sentido]]="URUGUAI para BRASIL",DataTable[[#This Row],[Valor]]&gt;350),1,0)</f>
        <v>0</v>
      </c>
      <c r="AA59" s="3">
        <f>IF(DataTable[[#This Row],[Valor]]&gt;1,0,0)</f>
        <v>0</v>
      </c>
    </row>
    <row r="60" spans="1:27" x14ac:dyDescent="0.25">
      <c r="A60" s="2" t="s">
        <v>21</v>
      </c>
      <c r="B60" s="2">
        <v>108</v>
      </c>
      <c r="C60" s="3">
        <f t="shared" si="15"/>
        <v>81.25</v>
      </c>
      <c r="D60" s="3">
        <f t="shared" si="16"/>
        <v>87.5</v>
      </c>
      <c r="E60" s="3">
        <f t="shared" si="17"/>
        <v>83.75</v>
      </c>
      <c r="F60" s="3">
        <f t="shared" si="18"/>
        <v>56.36</v>
      </c>
      <c r="G60" s="3">
        <f t="shared" si="19"/>
        <v>132.04000000000002</v>
      </c>
      <c r="H60" s="3">
        <f t="shared" si="20"/>
        <v>132.04000000000002</v>
      </c>
      <c r="I60" s="3"/>
      <c r="J60" s="3">
        <f t="shared" si="21"/>
        <v>73.56</v>
      </c>
      <c r="K60" s="3">
        <f t="shared" si="22"/>
        <v>87.5</v>
      </c>
      <c r="L60" s="34">
        <f t="shared" si="23"/>
        <v>83.75</v>
      </c>
      <c r="M60" s="3">
        <f t="shared" si="24"/>
        <v>-4.32</v>
      </c>
      <c r="N60" s="3">
        <f t="shared" si="25"/>
        <v>150</v>
      </c>
      <c r="O60" s="3"/>
      <c r="P60" s="3">
        <f t="shared" si="26"/>
        <v>72.16699313385827</v>
      </c>
      <c r="Q60" s="3">
        <f t="shared" si="27"/>
        <v>109.8176</v>
      </c>
      <c r="R60" s="3">
        <f>vd(DataTable[[#This Row],[Sentido]],DataTable[[#This Row],[Valor]])</f>
        <v>90.519510061242343</v>
      </c>
      <c r="S60" s="3">
        <f>IF(DataTable[[#This Row],[Valor]]&gt;1,1,1)</f>
        <v>1</v>
      </c>
      <c r="T60" s="3">
        <f>IF(DataTable[[#This Row],[Valor]]&gt;1,1,1)</f>
        <v>1</v>
      </c>
      <c r="U60" s="3">
        <f>angr(DataTable[[#This Row],[Sentido]],DataTable[[#This Row],[Valor]])</f>
        <v>51.375240594925629</v>
      </c>
      <c r="V60" s="3">
        <f>ANGI(DataTable[[#This Row],[Sentido]],DataTable[[#This Row],[Valor]])</f>
        <v>52.345231846019246</v>
      </c>
      <c r="W60" s="3">
        <f t="shared" si="28"/>
        <v>1</v>
      </c>
      <c r="X60" s="3">
        <f>IF(DataTable[[#This Row],[Valor]]&gt;1,1,1)</f>
        <v>1</v>
      </c>
      <c r="Y60" s="3">
        <f t="shared" si="29"/>
        <v>1</v>
      </c>
      <c r="Z60" s="3">
        <f>IF(AND(DataTable[[#This Row],[Sentido]]="URUGUAI para BRASIL",DataTable[[#This Row],[Valor]]&gt;350),1,0)</f>
        <v>0</v>
      </c>
      <c r="AA60" s="3">
        <f>IF(DataTable[[#This Row],[Valor]]&gt;1,0,0)</f>
        <v>0</v>
      </c>
    </row>
    <row r="61" spans="1:27" x14ac:dyDescent="0.25">
      <c r="A61" s="2" t="s">
        <v>21</v>
      </c>
      <c r="B61" s="2">
        <v>109</v>
      </c>
      <c r="C61" s="3">
        <f t="shared" si="15"/>
        <v>81.25</v>
      </c>
      <c r="D61" s="3">
        <f t="shared" si="16"/>
        <v>87.5</v>
      </c>
      <c r="E61" s="3">
        <f t="shared" si="17"/>
        <v>83.75</v>
      </c>
      <c r="F61" s="3">
        <f t="shared" si="18"/>
        <v>56.28</v>
      </c>
      <c r="G61" s="3">
        <f t="shared" si="19"/>
        <v>131.92000000000002</v>
      </c>
      <c r="H61" s="3">
        <f t="shared" si="20"/>
        <v>131.92000000000002</v>
      </c>
      <c r="I61" s="3"/>
      <c r="J61" s="3">
        <f t="shared" si="21"/>
        <v>73.56</v>
      </c>
      <c r="K61" s="3">
        <f t="shared" si="22"/>
        <v>87.5</v>
      </c>
      <c r="L61" s="34">
        <f t="shared" si="23"/>
        <v>83.75</v>
      </c>
      <c r="M61" s="3">
        <f t="shared" si="24"/>
        <v>-4.3600000000000003</v>
      </c>
      <c r="N61" s="3">
        <f t="shared" si="25"/>
        <v>150</v>
      </c>
      <c r="O61" s="3"/>
      <c r="P61" s="3">
        <f t="shared" si="26"/>
        <v>73.657575811023605</v>
      </c>
      <c r="Q61" s="3">
        <f t="shared" si="27"/>
        <v>109.8176</v>
      </c>
      <c r="R61" s="3">
        <f>vd(DataTable[[#This Row],[Sentido]],DataTable[[#This Row],[Valor]])</f>
        <v>91.131933508311448</v>
      </c>
      <c r="S61" s="3">
        <f>IF(DataTable[[#This Row],[Valor]]&gt;1,1,1)</f>
        <v>1</v>
      </c>
      <c r="T61" s="3">
        <f>IF(DataTable[[#This Row],[Valor]]&gt;1,1,1)</f>
        <v>1</v>
      </c>
      <c r="U61" s="3">
        <f>angr(DataTable[[#This Row],[Sentido]],DataTable[[#This Row],[Valor]])</f>
        <v>51.074496937882763</v>
      </c>
      <c r="V61" s="3">
        <f>ANGI(DataTable[[#This Row],[Sentido]],DataTable[[#This Row],[Valor]])</f>
        <v>52.055424321959755</v>
      </c>
      <c r="W61" s="3">
        <f t="shared" si="28"/>
        <v>1</v>
      </c>
      <c r="X61" s="3">
        <f>IF(DataTable[[#This Row],[Valor]]&gt;1,1,1)</f>
        <v>1</v>
      </c>
      <c r="Y61" s="3">
        <f t="shared" si="29"/>
        <v>1</v>
      </c>
      <c r="Z61" s="3">
        <f>IF(AND(DataTable[[#This Row],[Sentido]]="URUGUAI para BRASIL",DataTable[[#This Row],[Valor]]&gt;350),1,0)</f>
        <v>0</v>
      </c>
      <c r="AA61" s="3">
        <f>IF(DataTable[[#This Row],[Valor]]&gt;1,0,0)</f>
        <v>0</v>
      </c>
    </row>
    <row r="62" spans="1:27" x14ac:dyDescent="0.25">
      <c r="A62" s="2" t="s">
        <v>21</v>
      </c>
      <c r="B62" s="2">
        <v>110</v>
      </c>
      <c r="C62" s="3">
        <f t="shared" si="15"/>
        <v>81.25</v>
      </c>
      <c r="D62" s="3">
        <f t="shared" si="16"/>
        <v>87.5</v>
      </c>
      <c r="E62" s="3">
        <f t="shared" si="17"/>
        <v>83.75</v>
      </c>
      <c r="F62" s="3">
        <f t="shared" si="18"/>
        <v>56.2</v>
      </c>
      <c r="G62" s="3">
        <f t="shared" si="19"/>
        <v>131.80000000000001</v>
      </c>
      <c r="H62" s="3">
        <f t="shared" si="20"/>
        <v>131.80000000000001</v>
      </c>
      <c r="I62" s="3"/>
      <c r="J62" s="3">
        <f t="shared" si="21"/>
        <v>73.56</v>
      </c>
      <c r="K62" s="3">
        <f t="shared" si="22"/>
        <v>87.5</v>
      </c>
      <c r="L62" s="34">
        <f t="shared" si="23"/>
        <v>83.75</v>
      </c>
      <c r="M62" s="3">
        <f t="shared" si="24"/>
        <v>-4.4000000000000004</v>
      </c>
      <c r="N62" s="3">
        <f t="shared" si="25"/>
        <v>150</v>
      </c>
      <c r="O62" s="3"/>
      <c r="P62" s="3">
        <f t="shared" si="26"/>
        <v>75.148158488188969</v>
      </c>
      <c r="Q62" s="3">
        <f t="shared" si="27"/>
        <v>109.8176</v>
      </c>
      <c r="R62" s="3">
        <f>vd(DataTable[[#This Row],[Sentido]],DataTable[[#This Row],[Valor]])</f>
        <v>91.744356955380567</v>
      </c>
      <c r="S62" s="3">
        <f>IF(DataTable[[#This Row],[Valor]]&gt;1,1,1)</f>
        <v>1</v>
      </c>
      <c r="T62" s="3">
        <f>IF(DataTable[[#This Row],[Valor]]&gt;1,1,1)</f>
        <v>1</v>
      </c>
      <c r="U62" s="3">
        <f>angr(DataTable[[#This Row],[Sentido]],DataTable[[#This Row],[Valor]])</f>
        <v>50.773753280839891</v>
      </c>
      <c r="V62" s="3">
        <f>ANGI(DataTable[[#This Row],[Sentido]],DataTable[[#This Row],[Valor]])</f>
        <v>51.765616797900265</v>
      </c>
      <c r="W62" s="3">
        <f t="shared" si="28"/>
        <v>1</v>
      </c>
      <c r="X62" s="3">
        <f>IF(DataTable[[#This Row],[Valor]]&gt;1,1,1)</f>
        <v>1</v>
      </c>
      <c r="Y62" s="3">
        <f t="shared" si="29"/>
        <v>1</v>
      </c>
      <c r="Z62" s="3">
        <f>IF(AND(DataTable[[#This Row],[Sentido]]="URUGUAI para BRASIL",DataTable[[#This Row],[Valor]]&gt;350),1,0)</f>
        <v>0</v>
      </c>
      <c r="AA62" s="3">
        <f>IF(DataTable[[#This Row],[Valor]]&gt;1,0,0)</f>
        <v>0</v>
      </c>
    </row>
    <row r="63" spans="1:27" x14ac:dyDescent="0.25">
      <c r="A63" s="2" t="s">
        <v>21</v>
      </c>
      <c r="B63" s="2">
        <v>111</v>
      </c>
      <c r="C63" s="3">
        <f t="shared" si="15"/>
        <v>81.25</v>
      </c>
      <c r="D63" s="3">
        <f t="shared" si="16"/>
        <v>87.5</v>
      </c>
      <c r="E63" s="3">
        <f t="shared" si="17"/>
        <v>83.75</v>
      </c>
      <c r="F63" s="3">
        <f t="shared" si="18"/>
        <v>56.12</v>
      </c>
      <c r="G63" s="3">
        <f t="shared" si="19"/>
        <v>131.68</v>
      </c>
      <c r="H63" s="3">
        <f t="shared" si="20"/>
        <v>131.68</v>
      </c>
      <c r="I63" s="3"/>
      <c r="J63" s="3">
        <f t="shared" si="21"/>
        <v>73.56</v>
      </c>
      <c r="K63" s="3">
        <f t="shared" si="22"/>
        <v>87.5</v>
      </c>
      <c r="L63" s="34">
        <f t="shared" si="23"/>
        <v>83.75</v>
      </c>
      <c r="M63" s="3">
        <f t="shared" si="24"/>
        <v>-4.4400000000000004</v>
      </c>
      <c r="N63" s="3">
        <f t="shared" si="25"/>
        <v>150</v>
      </c>
      <c r="O63" s="3"/>
      <c r="P63" s="3">
        <f t="shared" si="26"/>
        <v>76.638741165354304</v>
      </c>
      <c r="Q63" s="3">
        <f t="shared" si="27"/>
        <v>109.8176</v>
      </c>
      <c r="R63" s="3">
        <f>vd(DataTable[[#This Row],[Sentido]],DataTable[[#This Row],[Valor]])</f>
        <v>92.356780402449687</v>
      </c>
      <c r="S63" s="3">
        <f>IF(DataTable[[#This Row],[Valor]]&gt;1,1,1)</f>
        <v>1</v>
      </c>
      <c r="T63" s="3">
        <f>IF(DataTable[[#This Row],[Valor]]&gt;1,1,1)</f>
        <v>1</v>
      </c>
      <c r="U63" s="3">
        <f>angr(DataTable[[#This Row],[Sentido]],DataTable[[#This Row],[Valor]])</f>
        <v>50.473009623797026</v>
      </c>
      <c r="V63" s="3">
        <f>ANGI(DataTable[[#This Row],[Sentido]],DataTable[[#This Row],[Valor]])</f>
        <v>51.475809273840774</v>
      </c>
      <c r="W63" s="3">
        <f t="shared" si="28"/>
        <v>1</v>
      </c>
      <c r="X63" s="3">
        <f>IF(DataTable[[#This Row],[Valor]]&gt;1,1,1)</f>
        <v>1</v>
      </c>
      <c r="Y63" s="3">
        <f t="shared" si="29"/>
        <v>1</v>
      </c>
      <c r="Z63" s="3">
        <f>IF(AND(DataTable[[#This Row],[Sentido]]="URUGUAI para BRASIL",DataTable[[#This Row],[Valor]]&gt;350),1,0)</f>
        <v>0</v>
      </c>
      <c r="AA63" s="3">
        <f>IF(DataTable[[#This Row],[Valor]]&gt;1,0,0)</f>
        <v>0</v>
      </c>
    </row>
    <row r="64" spans="1:27" x14ac:dyDescent="0.25">
      <c r="A64" s="2" t="s">
        <v>21</v>
      </c>
      <c r="B64" s="2">
        <v>112</v>
      </c>
      <c r="C64" s="3">
        <f t="shared" si="15"/>
        <v>81.25</v>
      </c>
      <c r="D64" s="3">
        <f t="shared" si="16"/>
        <v>87.5</v>
      </c>
      <c r="E64" s="3">
        <f t="shared" si="17"/>
        <v>83.75</v>
      </c>
      <c r="F64" s="3">
        <f t="shared" si="18"/>
        <v>56.04</v>
      </c>
      <c r="G64" s="3">
        <f t="shared" si="19"/>
        <v>131.56</v>
      </c>
      <c r="H64" s="3">
        <f t="shared" si="20"/>
        <v>131.56</v>
      </c>
      <c r="I64" s="3"/>
      <c r="J64" s="3">
        <f t="shared" si="21"/>
        <v>73.56</v>
      </c>
      <c r="K64" s="3">
        <f t="shared" si="22"/>
        <v>87.5</v>
      </c>
      <c r="L64" s="34">
        <f t="shared" si="23"/>
        <v>83.75</v>
      </c>
      <c r="M64" s="3">
        <f t="shared" si="24"/>
        <v>-4.4800000000000004</v>
      </c>
      <c r="N64" s="3">
        <f t="shared" si="25"/>
        <v>150</v>
      </c>
      <c r="O64" s="3"/>
      <c r="P64" s="3">
        <f t="shared" si="26"/>
        <v>78.129323842519668</v>
      </c>
      <c r="Q64" s="3">
        <f t="shared" si="27"/>
        <v>109.8176</v>
      </c>
      <c r="R64" s="3">
        <f>vd(DataTable[[#This Row],[Sentido]],DataTable[[#This Row],[Valor]])</f>
        <v>92.969203849518806</v>
      </c>
      <c r="S64" s="3">
        <f>IF(DataTable[[#This Row],[Valor]]&gt;1,1,1)</f>
        <v>1</v>
      </c>
      <c r="T64" s="3">
        <f>IF(DataTable[[#This Row],[Valor]]&gt;1,1,1)</f>
        <v>1</v>
      </c>
      <c r="U64" s="3">
        <f>angr(DataTable[[#This Row],[Sentido]],DataTable[[#This Row],[Valor]])</f>
        <v>50.172265966754154</v>
      </c>
      <c r="V64" s="3">
        <f>ANGI(DataTable[[#This Row],[Sentido]],DataTable[[#This Row],[Valor]])</f>
        <v>51.186001749781276</v>
      </c>
      <c r="W64" s="3">
        <f t="shared" si="28"/>
        <v>1</v>
      </c>
      <c r="X64" s="3">
        <f>IF(DataTable[[#This Row],[Valor]]&gt;1,1,1)</f>
        <v>1</v>
      </c>
      <c r="Y64" s="3">
        <f t="shared" si="29"/>
        <v>1</v>
      </c>
      <c r="Z64" s="3">
        <f>IF(AND(DataTable[[#This Row],[Sentido]]="URUGUAI para BRASIL",DataTable[[#This Row],[Valor]]&gt;350),1,0)</f>
        <v>0</v>
      </c>
      <c r="AA64" s="3">
        <f>IF(DataTable[[#This Row],[Valor]]&gt;1,0,0)</f>
        <v>0</v>
      </c>
    </row>
    <row r="65" spans="1:27" x14ac:dyDescent="0.25">
      <c r="A65" s="2" t="s">
        <v>21</v>
      </c>
      <c r="B65" s="2">
        <v>113</v>
      </c>
      <c r="C65" s="3">
        <f t="shared" si="15"/>
        <v>81.25</v>
      </c>
      <c r="D65" s="3">
        <f t="shared" si="16"/>
        <v>87.5</v>
      </c>
      <c r="E65" s="3">
        <f t="shared" si="17"/>
        <v>83.75</v>
      </c>
      <c r="F65" s="3">
        <f t="shared" si="18"/>
        <v>55.96</v>
      </c>
      <c r="G65" s="3">
        <f t="shared" si="19"/>
        <v>131.44</v>
      </c>
      <c r="H65" s="3">
        <f t="shared" si="20"/>
        <v>131.44</v>
      </c>
      <c r="I65" s="3"/>
      <c r="J65" s="3">
        <f t="shared" si="21"/>
        <v>73.56</v>
      </c>
      <c r="K65" s="3">
        <f t="shared" si="22"/>
        <v>87.5</v>
      </c>
      <c r="L65" s="34">
        <f t="shared" si="23"/>
        <v>83.75</v>
      </c>
      <c r="M65" s="3">
        <f t="shared" si="24"/>
        <v>-4.5200000000000005</v>
      </c>
      <c r="N65" s="3">
        <f t="shared" si="25"/>
        <v>150</v>
      </c>
      <c r="O65" s="3"/>
      <c r="P65" s="3">
        <f t="shared" si="26"/>
        <v>79.619906519685031</v>
      </c>
      <c r="Q65" s="3">
        <f t="shared" si="27"/>
        <v>109.8176</v>
      </c>
      <c r="R65" s="3">
        <f>vd(DataTable[[#This Row],[Sentido]],DataTable[[#This Row],[Valor]])</f>
        <v>93.581627296587925</v>
      </c>
      <c r="S65" s="3">
        <f>IF(DataTable[[#This Row],[Valor]]&gt;1,1,1)</f>
        <v>1</v>
      </c>
      <c r="T65" s="3">
        <f>IF(DataTable[[#This Row],[Valor]]&gt;1,1,1)</f>
        <v>1</v>
      </c>
      <c r="U65" s="3">
        <f>angr(DataTable[[#This Row],[Sentido]],DataTable[[#This Row],[Valor]])</f>
        <v>49.871522309711281</v>
      </c>
      <c r="V65" s="3">
        <f>ANGI(DataTable[[#This Row],[Sentido]],DataTable[[#This Row],[Valor]])</f>
        <v>50.896194225721786</v>
      </c>
      <c r="W65" s="3">
        <f t="shared" si="28"/>
        <v>1</v>
      </c>
      <c r="X65" s="3">
        <f>IF(DataTable[[#This Row],[Valor]]&gt;1,1,1)</f>
        <v>1</v>
      </c>
      <c r="Y65" s="3">
        <f t="shared" si="29"/>
        <v>1</v>
      </c>
      <c r="Z65" s="3">
        <f>IF(AND(DataTable[[#This Row],[Sentido]]="URUGUAI para BRASIL",DataTable[[#This Row],[Valor]]&gt;350),1,0)</f>
        <v>0</v>
      </c>
      <c r="AA65" s="3">
        <f>IF(DataTable[[#This Row],[Valor]]&gt;1,0,0)</f>
        <v>0</v>
      </c>
    </row>
    <row r="66" spans="1:27" x14ac:dyDescent="0.25">
      <c r="A66" s="2" t="s">
        <v>21</v>
      </c>
      <c r="B66" s="2">
        <v>114</v>
      </c>
      <c r="C66" s="3">
        <f t="shared" si="15"/>
        <v>81.25</v>
      </c>
      <c r="D66" s="3">
        <f t="shared" si="16"/>
        <v>87.5</v>
      </c>
      <c r="E66" s="3">
        <f t="shared" si="17"/>
        <v>83.75</v>
      </c>
      <c r="F66" s="3">
        <f t="shared" si="18"/>
        <v>55.879999999999995</v>
      </c>
      <c r="G66" s="3">
        <f t="shared" si="19"/>
        <v>131.32</v>
      </c>
      <c r="H66" s="3">
        <f t="shared" si="20"/>
        <v>131.32</v>
      </c>
      <c r="I66" s="3"/>
      <c r="J66" s="3">
        <f t="shared" si="21"/>
        <v>73.56</v>
      </c>
      <c r="K66" s="3">
        <f t="shared" si="22"/>
        <v>87.5</v>
      </c>
      <c r="L66" s="34">
        <f t="shared" si="23"/>
        <v>83.75</v>
      </c>
      <c r="M66" s="3">
        <f t="shared" si="24"/>
        <v>-4.5600000000000005</v>
      </c>
      <c r="N66" s="3">
        <f t="shared" si="25"/>
        <v>150</v>
      </c>
      <c r="O66" s="3"/>
      <c r="P66" s="3">
        <f t="shared" si="26"/>
        <v>81.110489196850381</v>
      </c>
      <c r="Q66" s="3">
        <f t="shared" si="27"/>
        <v>109.8176</v>
      </c>
      <c r="R66" s="3">
        <f>vd(DataTable[[#This Row],[Sentido]],DataTable[[#This Row],[Valor]])</f>
        <v>94.19405074365703</v>
      </c>
      <c r="S66" s="3">
        <f>IF(DataTable[[#This Row],[Valor]]&gt;1,1,1)</f>
        <v>1</v>
      </c>
      <c r="T66" s="3">
        <f>IF(DataTable[[#This Row],[Valor]]&gt;1,1,1)</f>
        <v>1</v>
      </c>
      <c r="U66" s="3">
        <f>angr(DataTable[[#This Row],[Sentido]],DataTable[[#This Row],[Valor]])</f>
        <v>49.570778652668416</v>
      </c>
      <c r="V66" s="3">
        <f>ANGI(DataTable[[#This Row],[Sentido]],DataTable[[#This Row],[Valor]])</f>
        <v>50.606386701662295</v>
      </c>
      <c r="W66" s="3">
        <f t="shared" si="28"/>
        <v>1</v>
      </c>
      <c r="X66" s="3">
        <f>IF(DataTable[[#This Row],[Valor]]&gt;1,1,1)</f>
        <v>1</v>
      </c>
      <c r="Y66" s="3">
        <f t="shared" si="29"/>
        <v>1</v>
      </c>
      <c r="Z66" s="3">
        <f>IF(AND(DataTable[[#This Row],[Sentido]]="URUGUAI para BRASIL",DataTable[[#This Row],[Valor]]&gt;350),1,0)</f>
        <v>0</v>
      </c>
      <c r="AA66" s="3">
        <f>IF(DataTable[[#This Row],[Valor]]&gt;1,0,0)</f>
        <v>0</v>
      </c>
    </row>
    <row r="67" spans="1:27" x14ac:dyDescent="0.25">
      <c r="A67" s="2" t="s">
        <v>21</v>
      </c>
      <c r="B67" s="2">
        <v>115</v>
      </c>
      <c r="C67" s="3">
        <f t="shared" si="15"/>
        <v>81.25</v>
      </c>
      <c r="D67" s="3">
        <f t="shared" si="16"/>
        <v>87.5</v>
      </c>
      <c r="E67" s="3">
        <f t="shared" si="17"/>
        <v>83.75</v>
      </c>
      <c r="F67" s="3">
        <f t="shared" si="18"/>
        <v>55.8</v>
      </c>
      <c r="G67" s="3">
        <f t="shared" si="19"/>
        <v>131.19999999999999</v>
      </c>
      <c r="H67" s="3">
        <f t="shared" si="20"/>
        <v>131.19999999999999</v>
      </c>
      <c r="I67" s="3"/>
      <c r="J67" s="3">
        <f t="shared" si="21"/>
        <v>73.56</v>
      </c>
      <c r="K67" s="3">
        <f t="shared" si="22"/>
        <v>87.5</v>
      </c>
      <c r="L67" s="34">
        <f t="shared" si="23"/>
        <v>83.75</v>
      </c>
      <c r="M67" s="3">
        <f t="shared" si="24"/>
        <v>-4.6000000000000005</v>
      </c>
      <c r="N67" s="3">
        <f t="shared" si="25"/>
        <v>150</v>
      </c>
      <c r="O67" s="3"/>
      <c r="P67" s="3">
        <f t="shared" si="26"/>
        <v>82.601071874015744</v>
      </c>
      <c r="Q67" s="3">
        <f t="shared" si="27"/>
        <v>109.8176</v>
      </c>
      <c r="R67" s="3">
        <f>vd(DataTable[[#This Row],[Sentido]],DataTable[[#This Row],[Valor]])</f>
        <v>94.806474190726149</v>
      </c>
      <c r="S67" s="3">
        <f>IF(DataTable[[#This Row],[Valor]]&gt;1,1,1)</f>
        <v>1</v>
      </c>
      <c r="T67" s="3">
        <f>IF(DataTable[[#This Row],[Valor]]&gt;1,1,1)</f>
        <v>1</v>
      </c>
      <c r="U67" s="3">
        <f>angr(DataTable[[#This Row],[Sentido]],DataTable[[#This Row],[Valor]])</f>
        <v>49.270034995625544</v>
      </c>
      <c r="V67" s="3">
        <f>ANGI(DataTable[[#This Row],[Sentido]],DataTable[[#This Row],[Valor]])</f>
        <v>50.316579177602797</v>
      </c>
      <c r="W67" s="3">
        <f t="shared" si="28"/>
        <v>1</v>
      </c>
      <c r="X67" s="3">
        <f>IF(DataTable[[#This Row],[Valor]]&gt;1,1,1)</f>
        <v>1</v>
      </c>
      <c r="Y67" s="3">
        <f t="shared" si="29"/>
        <v>1</v>
      </c>
      <c r="Z67" s="3">
        <f>IF(AND(DataTable[[#This Row],[Sentido]]="URUGUAI para BRASIL",DataTable[[#This Row],[Valor]]&gt;350),1,0)</f>
        <v>0</v>
      </c>
      <c r="AA67" s="3">
        <f>IF(DataTable[[#This Row],[Valor]]&gt;1,0,0)</f>
        <v>0</v>
      </c>
    </row>
    <row r="68" spans="1:27" x14ac:dyDescent="0.25">
      <c r="A68" s="2" t="s">
        <v>21</v>
      </c>
      <c r="B68" s="2">
        <v>116</v>
      </c>
      <c r="C68" s="3">
        <f t="shared" si="15"/>
        <v>81.25</v>
      </c>
      <c r="D68" s="3">
        <f t="shared" si="16"/>
        <v>87.5</v>
      </c>
      <c r="E68" s="3">
        <f t="shared" si="17"/>
        <v>83.75</v>
      </c>
      <c r="F68" s="3">
        <f t="shared" si="18"/>
        <v>55.72</v>
      </c>
      <c r="G68" s="3">
        <f t="shared" si="19"/>
        <v>131.07999999999998</v>
      </c>
      <c r="H68" s="3">
        <f t="shared" si="20"/>
        <v>131.07999999999998</v>
      </c>
      <c r="I68" s="3"/>
      <c r="J68" s="3">
        <f t="shared" si="21"/>
        <v>73.56</v>
      </c>
      <c r="K68" s="3">
        <f t="shared" si="22"/>
        <v>87.5</v>
      </c>
      <c r="L68" s="34">
        <f t="shared" si="23"/>
        <v>83.75</v>
      </c>
      <c r="M68" s="3">
        <f t="shared" si="24"/>
        <v>-4.6399999999999997</v>
      </c>
      <c r="N68" s="3">
        <f t="shared" si="25"/>
        <v>150</v>
      </c>
      <c r="O68" s="3"/>
      <c r="P68" s="3">
        <f t="shared" si="26"/>
        <v>84.09165455118108</v>
      </c>
      <c r="Q68" s="3">
        <f t="shared" si="27"/>
        <v>109.8176</v>
      </c>
      <c r="R68" s="3">
        <f>vd(DataTable[[#This Row],[Sentido]],DataTable[[#This Row],[Valor]])</f>
        <v>95.418897637795268</v>
      </c>
      <c r="S68" s="3">
        <f>IF(DataTable[[#This Row],[Valor]]&gt;1,1,1)</f>
        <v>1</v>
      </c>
      <c r="T68" s="3">
        <f>IF(DataTable[[#This Row],[Valor]]&gt;1,1,1)</f>
        <v>1</v>
      </c>
      <c r="U68" s="3">
        <f>angr(DataTable[[#This Row],[Sentido]],DataTable[[#This Row],[Valor]])</f>
        <v>48.969291338582678</v>
      </c>
      <c r="V68" s="3">
        <f>ANGI(DataTable[[#This Row],[Sentido]],DataTable[[#This Row],[Valor]])</f>
        <v>50.026771653543307</v>
      </c>
      <c r="W68" s="3">
        <f t="shared" si="28"/>
        <v>1</v>
      </c>
      <c r="X68" s="3">
        <f>IF(DataTable[[#This Row],[Valor]]&gt;1,1,1)</f>
        <v>1</v>
      </c>
      <c r="Y68" s="3">
        <f t="shared" si="29"/>
        <v>1</v>
      </c>
      <c r="Z68" s="3">
        <f>IF(AND(DataTable[[#This Row],[Sentido]]="URUGUAI para BRASIL",DataTable[[#This Row],[Valor]]&gt;350),1,0)</f>
        <v>0</v>
      </c>
      <c r="AA68" s="3">
        <f>IF(DataTable[[#This Row],[Valor]]&gt;1,0,0)</f>
        <v>0</v>
      </c>
    </row>
    <row r="69" spans="1:27" s="9" customFormat="1" x14ac:dyDescent="0.25">
      <c r="A69" s="2" t="s">
        <v>21</v>
      </c>
      <c r="B69" s="2">
        <v>117</v>
      </c>
      <c r="C69" s="3">
        <f t="shared" ref="C69:C132" si="30">MiniVWVB(A69,B69,E69)</f>
        <v>81.25</v>
      </c>
      <c r="D69" s="3">
        <f t="shared" ref="D69:D132" si="31">MaxVWV(A69,B69)</f>
        <v>87.5</v>
      </c>
      <c r="E69" s="3">
        <f t="shared" ref="E69:E132" si="32">RatedVWV(B69)</f>
        <v>83.75</v>
      </c>
      <c r="F69" s="3">
        <f t="shared" ref="F69:F132" si="33">MinQB(A69,B69)</f>
        <v>55.64</v>
      </c>
      <c r="G69" s="3">
        <f t="shared" ref="G69:G132" si="34">MaxQB3F(A69,B69)</f>
        <v>130.95999999999998</v>
      </c>
      <c r="H69" s="3">
        <f t="shared" ref="H69:H132" si="35">MaxQB4F(A69,B69)</f>
        <v>130.95999999999998</v>
      </c>
      <c r="I69" s="3"/>
      <c r="J69" s="3">
        <f t="shared" ref="J69:J132" si="36">MiniVWVU(A69,B69,L69)</f>
        <v>73.56</v>
      </c>
      <c r="K69" s="3">
        <f t="shared" ref="K69:K132" si="37">MaxVWV(A69,B69)</f>
        <v>87.5</v>
      </c>
      <c r="L69" s="34">
        <f t="shared" ref="L69:L132" si="38">RatedVWV(B69)</f>
        <v>83.75</v>
      </c>
      <c r="M69" s="3">
        <f t="shared" ref="M69:M132" si="39">MinQU(A69,B69)</f>
        <v>-4.68</v>
      </c>
      <c r="N69" s="3">
        <f t="shared" ref="N69:N132" si="40">MaxQU(A69,B69)</f>
        <v>150</v>
      </c>
      <c r="O69" s="3"/>
      <c r="P69" s="3">
        <f t="shared" ref="P69:P132" si="41">MiniUpper(A69,B69)</f>
        <v>85.582237228346443</v>
      </c>
      <c r="Q69" s="3">
        <f t="shared" ref="Q69:Q132" si="42">MaxUpper(A69,B69)</f>
        <v>109.8176</v>
      </c>
      <c r="R69" s="3">
        <f>vd(DataTable[[#This Row],[Sentido]],DataTable[[#This Row],[Valor]])</f>
        <v>96.031321084864388</v>
      </c>
      <c r="S69" s="3">
        <f>IF(DataTable[[#This Row],[Valor]]&gt;1,1,1)</f>
        <v>1</v>
      </c>
      <c r="T69" s="3">
        <f>IF(DataTable[[#This Row],[Valor]]&gt;1,1,1)</f>
        <v>1</v>
      </c>
      <c r="U69" s="3">
        <f>angr(DataTable[[#This Row],[Sentido]],DataTable[[#This Row],[Valor]])</f>
        <v>48.668547681539806</v>
      </c>
      <c r="V69" s="3">
        <f>ANGI(DataTable[[#This Row],[Sentido]],DataTable[[#This Row],[Valor]])</f>
        <v>49.736964129483816</v>
      </c>
      <c r="W69" s="3">
        <f t="shared" ref="W69:W132" si="43">IF(A70="URUGUAI para BRASIL",IF(B69&gt;119,IF(B69&gt;240,3,2),1),IF(B69&gt;120,IF(B69&gt;240,3,2),1))</f>
        <v>1</v>
      </c>
      <c r="X69" s="3">
        <f>IF(DataTable[[#This Row],[Valor]]&gt;1,1,1)</f>
        <v>1</v>
      </c>
      <c r="Y69" s="3">
        <f t="shared" ref="Y69:Y132" si="44">IF(A70="URUGUAI para BRASIL",IF(B69&gt;119,IF(B69&gt;240,3,2),1),IF(B69&gt;120,IF(B69&gt;240,3,2),1))</f>
        <v>1</v>
      </c>
      <c r="Z69" s="3">
        <f>IF(AND(DataTable[[#This Row],[Sentido]]="URUGUAI para BRASIL",DataTable[[#This Row],[Valor]]&gt;350),1,0)</f>
        <v>0</v>
      </c>
      <c r="AA69" s="3">
        <f>IF(DataTable[[#This Row],[Valor]]&gt;1,0,0)</f>
        <v>0</v>
      </c>
    </row>
    <row r="70" spans="1:27" s="10" customFormat="1" x14ac:dyDescent="0.25">
      <c r="A70" s="2" t="s">
        <v>21</v>
      </c>
      <c r="B70" s="2">
        <v>118</v>
      </c>
      <c r="C70" s="3">
        <f t="shared" si="30"/>
        <v>81.25</v>
      </c>
      <c r="D70" s="3">
        <f t="shared" si="31"/>
        <v>87.5</v>
      </c>
      <c r="E70" s="3">
        <f t="shared" si="32"/>
        <v>83.75</v>
      </c>
      <c r="F70" s="3">
        <f t="shared" si="33"/>
        <v>55.56</v>
      </c>
      <c r="G70" s="3">
        <f t="shared" si="34"/>
        <v>130.84</v>
      </c>
      <c r="H70" s="3">
        <f t="shared" si="35"/>
        <v>130.84</v>
      </c>
      <c r="I70" s="3"/>
      <c r="J70" s="3">
        <f t="shared" si="36"/>
        <v>73.56</v>
      </c>
      <c r="K70" s="3">
        <f t="shared" si="37"/>
        <v>87.5</v>
      </c>
      <c r="L70" s="34">
        <f t="shared" si="38"/>
        <v>83.75</v>
      </c>
      <c r="M70" s="3">
        <f t="shared" si="39"/>
        <v>-4.72</v>
      </c>
      <c r="N70" s="3">
        <f t="shared" si="40"/>
        <v>150</v>
      </c>
      <c r="O70" s="3"/>
      <c r="P70" s="3">
        <f t="shared" si="41"/>
        <v>87.072819905511807</v>
      </c>
      <c r="Q70" s="3">
        <f t="shared" si="42"/>
        <v>109.8176</v>
      </c>
      <c r="R70" s="3">
        <f>vd(DataTable[[#This Row],[Sentido]],DataTable[[#This Row],[Valor]])</f>
        <v>96.643744531933507</v>
      </c>
      <c r="S70" s="3">
        <f>IF(DataTable[[#This Row],[Valor]]&gt;1,1,1)</f>
        <v>1</v>
      </c>
      <c r="T70" s="3">
        <f>IF(DataTable[[#This Row],[Valor]]&gt;1,1,1)</f>
        <v>1</v>
      </c>
      <c r="U70" s="3">
        <f>angr(DataTable[[#This Row],[Sentido]],DataTable[[#This Row],[Valor]])</f>
        <v>48.367804024496934</v>
      </c>
      <c r="V70" s="3">
        <f>ANGI(DataTable[[#This Row],[Sentido]],DataTable[[#This Row],[Valor]])</f>
        <v>49.447156605424318</v>
      </c>
      <c r="W70" s="3">
        <f t="shared" si="43"/>
        <v>1</v>
      </c>
      <c r="X70" s="3">
        <f>IF(DataTable[[#This Row],[Valor]]&gt;1,1,1)</f>
        <v>1</v>
      </c>
      <c r="Y70" s="3">
        <f t="shared" si="44"/>
        <v>1</v>
      </c>
      <c r="Z70" s="3">
        <f>IF(AND(DataTable[[#This Row],[Sentido]]="URUGUAI para BRASIL",DataTable[[#This Row],[Valor]]&gt;350),1,0)</f>
        <v>0</v>
      </c>
      <c r="AA70" s="3">
        <f>IF(DataTable[[#This Row],[Valor]]&gt;1,0,0)</f>
        <v>0</v>
      </c>
    </row>
    <row r="71" spans="1:27" x14ac:dyDescent="0.25">
      <c r="A71" s="2" t="s">
        <v>21</v>
      </c>
      <c r="B71" s="2">
        <v>119</v>
      </c>
      <c r="C71" s="3">
        <f t="shared" si="30"/>
        <v>81.25</v>
      </c>
      <c r="D71" s="3">
        <f t="shared" si="31"/>
        <v>87.5</v>
      </c>
      <c r="E71" s="3">
        <f t="shared" si="32"/>
        <v>83.75</v>
      </c>
      <c r="F71" s="3">
        <f t="shared" si="33"/>
        <v>55.480000000000004</v>
      </c>
      <c r="G71" s="3">
        <f t="shared" si="34"/>
        <v>130.72</v>
      </c>
      <c r="H71" s="3">
        <f t="shared" si="35"/>
        <v>130.72</v>
      </c>
      <c r="I71" s="3"/>
      <c r="J71" s="3">
        <f t="shared" si="36"/>
        <v>73.56</v>
      </c>
      <c r="K71" s="3">
        <f t="shared" si="37"/>
        <v>87.5</v>
      </c>
      <c r="L71" s="34">
        <f t="shared" si="38"/>
        <v>83.75</v>
      </c>
      <c r="M71" s="3">
        <f t="shared" si="39"/>
        <v>-4.76</v>
      </c>
      <c r="N71" s="3">
        <f t="shared" si="40"/>
        <v>150</v>
      </c>
      <c r="O71" s="3"/>
      <c r="P71" s="3">
        <f t="shared" si="41"/>
        <v>88.563402582677142</v>
      </c>
      <c r="Q71" s="3">
        <f t="shared" si="42"/>
        <v>109.8176</v>
      </c>
      <c r="R71" s="3">
        <f>vd(DataTable[[#This Row],[Sentido]],DataTable[[#This Row],[Valor]])</f>
        <v>97.256167979002612</v>
      </c>
      <c r="S71" s="3">
        <f>IF(DataTable[[#This Row],[Valor]]&gt;1,1,1)</f>
        <v>1</v>
      </c>
      <c r="T71" s="3">
        <f>IF(DataTable[[#This Row],[Valor]]&gt;1,1,1)</f>
        <v>1</v>
      </c>
      <c r="U71" s="3">
        <f>angr(DataTable[[#This Row],[Sentido]],DataTable[[#This Row],[Valor]])</f>
        <v>48.067060367454069</v>
      </c>
      <c r="V71" s="3">
        <f>ANGI(DataTable[[#This Row],[Sentido]],DataTable[[#This Row],[Valor]])</f>
        <v>49.157349081364828</v>
      </c>
      <c r="W71" s="3">
        <f t="shared" si="43"/>
        <v>1</v>
      </c>
      <c r="X71" s="3">
        <f>IF(DataTable[[#This Row],[Valor]]&gt;1,1,1)</f>
        <v>1</v>
      </c>
      <c r="Y71" s="3">
        <f t="shared" si="44"/>
        <v>1</v>
      </c>
      <c r="Z71" s="3">
        <f>IF(AND(DataTable[[#This Row],[Sentido]]="URUGUAI para BRASIL",DataTable[[#This Row],[Valor]]&gt;350),1,0)</f>
        <v>0</v>
      </c>
      <c r="AA71" s="3">
        <f>IF(DataTable[[#This Row],[Valor]]&gt;1,0,0)</f>
        <v>0</v>
      </c>
    </row>
    <row r="72" spans="1:27" x14ac:dyDescent="0.25">
      <c r="A72" s="2" t="s">
        <v>21</v>
      </c>
      <c r="B72" s="2">
        <v>120</v>
      </c>
      <c r="C72" s="3">
        <f t="shared" si="30"/>
        <v>81.25</v>
      </c>
      <c r="D72" s="3">
        <f t="shared" si="31"/>
        <v>87.5</v>
      </c>
      <c r="E72" s="3">
        <f t="shared" si="32"/>
        <v>83.75</v>
      </c>
      <c r="F72" s="3">
        <f t="shared" si="33"/>
        <v>55.4</v>
      </c>
      <c r="G72" s="3">
        <f t="shared" si="34"/>
        <v>130.6</v>
      </c>
      <c r="H72" s="3">
        <f t="shared" si="35"/>
        <v>130.6</v>
      </c>
      <c r="I72" s="3"/>
      <c r="J72" s="3">
        <f t="shared" si="36"/>
        <v>73.56</v>
      </c>
      <c r="K72" s="3">
        <f t="shared" si="37"/>
        <v>87.5</v>
      </c>
      <c r="L72" s="34">
        <f t="shared" si="38"/>
        <v>83.75</v>
      </c>
      <c r="M72" s="3">
        <f t="shared" si="39"/>
        <v>-4.8</v>
      </c>
      <c r="N72" s="3">
        <f t="shared" si="40"/>
        <v>150</v>
      </c>
      <c r="O72" s="3"/>
      <c r="P72" s="3">
        <f t="shared" si="41"/>
        <v>63.193977952755915</v>
      </c>
      <c r="Q72" s="3">
        <f t="shared" si="42"/>
        <v>109.8176</v>
      </c>
      <c r="R72" s="3">
        <f>vd(DataTable[[#This Row],[Sentido]],DataTable[[#This Row],[Valor]])</f>
        <v>68.250393700787399</v>
      </c>
      <c r="S72" s="3">
        <f>IF(DataTable[[#This Row],[Valor]]&gt;1,1,1)</f>
        <v>1</v>
      </c>
      <c r="T72" s="3">
        <f>IF(DataTable[[#This Row],[Valor]]&gt;1,1,1)</f>
        <v>1</v>
      </c>
      <c r="U72" s="3">
        <f>angr(DataTable[[#This Row],[Sentido]],DataTable[[#This Row],[Valor]])</f>
        <v>59.977952755905513</v>
      </c>
      <c r="V72" s="3">
        <f>ANGI(DataTable[[#This Row],[Sentido]],DataTable[[#This Row],[Valor]])</f>
        <v>60.87952755905512</v>
      </c>
      <c r="W72" s="3">
        <f t="shared" si="43"/>
        <v>1</v>
      </c>
      <c r="X72" s="3">
        <f>IF(DataTable[[#This Row],[Valor]]&gt;1,1,1)</f>
        <v>1</v>
      </c>
      <c r="Y72" s="3">
        <f t="shared" si="44"/>
        <v>1</v>
      </c>
      <c r="Z72" s="3">
        <f>IF(AND(DataTable[[#This Row],[Sentido]]="URUGUAI para BRASIL",DataTable[[#This Row],[Valor]]&gt;350),1,0)</f>
        <v>0</v>
      </c>
      <c r="AA72" s="3">
        <f>IF(DataTable[[#This Row],[Valor]]&gt;1,0,0)</f>
        <v>0</v>
      </c>
    </row>
    <row r="73" spans="1:27" x14ac:dyDescent="0.25">
      <c r="A73" s="2" t="s">
        <v>21</v>
      </c>
      <c r="B73" s="2">
        <v>121</v>
      </c>
      <c r="C73" s="3">
        <f t="shared" si="30"/>
        <v>81.25</v>
      </c>
      <c r="D73" s="3">
        <f t="shared" si="31"/>
        <v>87.5</v>
      </c>
      <c r="E73" s="3">
        <f t="shared" si="32"/>
        <v>83.75</v>
      </c>
      <c r="F73" s="3">
        <f t="shared" si="33"/>
        <v>55.32</v>
      </c>
      <c r="G73" s="3">
        <f t="shared" si="34"/>
        <v>130.48000000000002</v>
      </c>
      <c r="H73" s="3">
        <f t="shared" si="35"/>
        <v>130.48000000000002</v>
      </c>
      <c r="I73" s="3"/>
      <c r="J73" s="3">
        <f t="shared" si="36"/>
        <v>73.56</v>
      </c>
      <c r="K73" s="3">
        <f t="shared" si="37"/>
        <v>87.5</v>
      </c>
      <c r="L73" s="34">
        <f t="shared" si="38"/>
        <v>83.75</v>
      </c>
      <c r="M73" s="3">
        <f t="shared" si="39"/>
        <v>-4.84</v>
      </c>
      <c r="N73" s="3">
        <f t="shared" si="40"/>
        <v>150</v>
      </c>
      <c r="O73" s="3"/>
      <c r="P73" s="3">
        <f t="shared" si="41"/>
        <v>63.532781102362208</v>
      </c>
      <c r="Q73" s="3">
        <f t="shared" si="42"/>
        <v>109.8176</v>
      </c>
      <c r="R73" s="3">
        <f>vd(DataTable[[#This Row],[Sentido]],DataTable[[#This Row],[Valor]])</f>
        <v>68.700337457817767</v>
      </c>
      <c r="S73" s="3">
        <f>IF(DataTable[[#This Row],[Valor]]&gt;1,1,1)</f>
        <v>1</v>
      </c>
      <c r="T73" s="3">
        <f>IF(DataTable[[#This Row],[Valor]]&gt;1,1,1)</f>
        <v>1</v>
      </c>
      <c r="U73" s="3">
        <f>angr(DataTable[[#This Row],[Sentido]],DataTable[[#This Row],[Valor]])</f>
        <v>59.781102362204727</v>
      </c>
      <c r="V73" s="3">
        <f>ANGI(DataTable[[#This Row],[Sentido]],DataTable[[#This Row],[Valor]])</f>
        <v>60.696737907761531</v>
      </c>
      <c r="W73" s="3">
        <f t="shared" si="43"/>
        <v>2</v>
      </c>
      <c r="X73" s="3">
        <f>IF(DataTable[[#This Row],[Valor]]&gt;1,1,1)</f>
        <v>1</v>
      </c>
      <c r="Y73" s="3">
        <f t="shared" si="44"/>
        <v>2</v>
      </c>
      <c r="Z73" s="3">
        <f>IF(AND(DataTable[[#This Row],[Sentido]]="URUGUAI para BRASIL",DataTable[[#This Row],[Valor]]&gt;350),1,0)</f>
        <v>0</v>
      </c>
      <c r="AA73" s="3">
        <f>IF(DataTable[[#This Row],[Valor]]&gt;1,0,0)</f>
        <v>0</v>
      </c>
    </row>
    <row r="74" spans="1:27" x14ac:dyDescent="0.25">
      <c r="A74" s="2" t="s">
        <v>21</v>
      </c>
      <c r="B74" s="2">
        <v>122</v>
      </c>
      <c r="C74" s="3">
        <f t="shared" si="30"/>
        <v>81.25</v>
      </c>
      <c r="D74" s="3">
        <f t="shared" si="31"/>
        <v>87.5</v>
      </c>
      <c r="E74" s="3">
        <f t="shared" si="32"/>
        <v>83.75</v>
      </c>
      <c r="F74" s="3">
        <f t="shared" si="33"/>
        <v>55.24</v>
      </c>
      <c r="G74" s="3">
        <f t="shared" si="34"/>
        <v>130.36000000000001</v>
      </c>
      <c r="H74" s="3">
        <f t="shared" si="35"/>
        <v>130.36000000000001</v>
      </c>
      <c r="I74" s="3"/>
      <c r="J74" s="3">
        <f t="shared" si="36"/>
        <v>73.56</v>
      </c>
      <c r="K74" s="3">
        <f t="shared" si="37"/>
        <v>87.5</v>
      </c>
      <c r="L74" s="34">
        <f t="shared" si="38"/>
        <v>83.75</v>
      </c>
      <c r="M74" s="3">
        <f t="shared" si="39"/>
        <v>-4.88</v>
      </c>
      <c r="N74" s="3">
        <f t="shared" si="40"/>
        <v>150</v>
      </c>
      <c r="O74" s="3"/>
      <c r="P74" s="3">
        <f t="shared" si="41"/>
        <v>63.871584251968514</v>
      </c>
      <c r="Q74" s="3">
        <f t="shared" si="42"/>
        <v>109.8176</v>
      </c>
      <c r="R74" s="3">
        <f>vd(DataTable[[#This Row],[Sentido]],DataTable[[#This Row],[Valor]])</f>
        <v>69.15028121484815</v>
      </c>
      <c r="S74" s="3">
        <f>IF(DataTable[[#This Row],[Valor]]&gt;1,1,1)</f>
        <v>1</v>
      </c>
      <c r="T74" s="3">
        <f>IF(DataTable[[#This Row],[Valor]]&gt;1,1,1)</f>
        <v>1</v>
      </c>
      <c r="U74" s="3">
        <f>angr(DataTable[[#This Row],[Sentido]],DataTable[[#This Row],[Valor]])</f>
        <v>59.584251968503935</v>
      </c>
      <c r="V74" s="3">
        <f>ANGI(DataTable[[#This Row],[Sentido]],DataTable[[#This Row],[Valor]])</f>
        <v>60.513948256467941</v>
      </c>
      <c r="W74" s="3">
        <f t="shared" si="43"/>
        <v>2</v>
      </c>
      <c r="X74" s="3">
        <f>IF(DataTable[[#This Row],[Valor]]&gt;1,1,1)</f>
        <v>1</v>
      </c>
      <c r="Y74" s="3">
        <f t="shared" si="44"/>
        <v>2</v>
      </c>
      <c r="Z74" s="3">
        <f>IF(AND(DataTable[[#This Row],[Sentido]]="URUGUAI para BRASIL",DataTable[[#This Row],[Valor]]&gt;350),1,0)</f>
        <v>0</v>
      </c>
      <c r="AA74" s="3">
        <f>IF(DataTable[[#This Row],[Valor]]&gt;1,0,0)</f>
        <v>0</v>
      </c>
    </row>
    <row r="75" spans="1:27" x14ac:dyDescent="0.25">
      <c r="A75" s="2" t="s">
        <v>21</v>
      </c>
      <c r="B75" s="2">
        <v>123</v>
      </c>
      <c r="C75" s="3">
        <f t="shared" si="30"/>
        <v>81.25</v>
      </c>
      <c r="D75" s="3">
        <f t="shared" si="31"/>
        <v>87.5</v>
      </c>
      <c r="E75" s="3">
        <f t="shared" si="32"/>
        <v>83.75</v>
      </c>
      <c r="F75" s="3">
        <f t="shared" si="33"/>
        <v>55.16</v>
      </c>
      <c r="G75" s="3">
        <f t="shared" si="34"/>
        <v>130.24</v>
      </c>
      <c r="H75" s="3">
        <f t="shared" si="35"/>
        <v>130.24</v>
      </c>
      <c r="I75" s="3"/>
      <c r="J75" s="3">
        <f t="shared" si="36"/>
        <v>73.56</v>
      </c>
      <c r="K75" s="3">
        <f t="shared" si="37"/>
        <v>87.5</v>
      </c>
      <c r="L75" s="34">
        <f t="shared" si="38"/>
        <v>83.75</v>
      </c>
      <c r="M75" s="3">
        <f t="shared" si="39"/>
        <v>-4.92</v>
      </c>
      <c r="N75" s="3">
        <f t="shared" si="40"/>
        <v>150</v>
      </c>
      <c r="O75" s="3"/>
      <c r="P75" s="3">
        <f t="shared" si="41"/>
        <v>64.21038740157482</v>
      </c>
      <c r="Q75" s="3">
        <f t="shared" si="42"/>
        <v>109.8176</v>
      </c>
      <c r="R75" s="3">
        <f>vd(DataTable[[#This Row],[Sentido]],DataTable[[#This Row],[Valor]])</f>
        <v>69.600224971878518</v>
      </c>
      <c r="S75" s="3">
        <f>IF(DataTable[[#This Row],[Valor]]&gt;1,1,1)</f>
        <v>1</v>
      </c>
      <c r="T75" s="3">
        <f>IF(DataTable[[#This Row],[Valor]]&gt;1,1,1)</f>
        <v>1</v>
      </c>
      <c r="U75" s="3">
        <f>angr(DataTable[[#This Row],[Sentido]],DataTable[[#This Row],[Valor]])</f>
        <v>59.38740157480315</v>
      </c>
      <c r="V75" s="3">
        <f>ANGI(DataTable[[#This Row],[Sentido]],DataTable[[#This Row],[Valor]])</f>
        <v>60.331158605174352</v>
      </c>
      <c r="W75" s="3">
        <f t="shared" si="43"/>
        <v>2</v>
      </c>
      <c r="X75" s="3">
        <f>IF(DataTable[[#This Row],[Valor]]&gt;1,1,1)</f>
        <v>1</v>
      </c>
      <c r="Y75" s="3">
        <f t="shared" si="44"/>
        <v>2</v>
      </c>
      <c r="Z75" s="3">
        <f>IF(AND(DataTable[[#This Row],[Sentido]]="URUGUAI para BRASIL",DataTable[[#This Row],[Valor]]&gt;350),1,0)</f>
        <v>0</v>
      </c>
      <c r="AA75" s="3">
        <f>IF(DataTable[[#This Row],[Valor]]&gt;1,0,0)</f>
        <v>0</v>
      </c>
    </row>
    <row r="76" spans="1:27" x14ac:dyDescent="0.25">
      <c r="A76" s="2" t="s">
        <v>21</v>
      </c>
      <c r="B76" s="2">
        <v>124</v>
      </c>
      <c r="C76" s="3">
        <f t="shared" si="30"/>
        <v>81.25</v>
      </c>
      <c r="D76" s="3">
        <f t="shared" si="31"/>
        <v>87.5</v>
      </c>
      <c r="E76" s="3">
        <f t="shared" si="32"/>
        <v>83.75</v>
      </c>
      <c r="F76" s="3">
        <f t="shared" si="33"/>
        <v>55.08</v>
      </c>
      <c r="G76" s="3">
        <f t="shared" si="34"/>
        <v>130.12</v>
      </c>
      <c r="H76" s="3">
        <f t="shared" si="35"/>
        <v>130.12</v>
      </c>
      <c r="I76" s="3"/>
      <c r="J76" s="3">
        <f t="shared" si="36"/>
        <v>73.56</v>
      </c>
      <c r="K76" s="3">
        <f t="shared" si="37"/>
        <v>87.5</v>
      </c>
      <c r="L76" s="34">
        <f t="shared" si="38"/>
        <v>83.75</v>
      </c>
      <c r="M76" s="3">
        <f t="shared" si="39"/>
        <v>-4.96</v>
      </c>
      <c r="N76" s="3">
        <f t="shared" si="40"/>
        <v>150</v>
      </c>
      <c r="O76" s="3"/>
      <c r="P76" s="3">
        <f t="shared" si="41"/>
        <v>64.549190551181113</v>
      </c>
      <c r="Q76" s="3">
        <f t="shared" si="42"/>
        <v>109.8176</v>
      </c>
      <c r="R76" s="3">
        <f>vd(DataTable[[#This Row],[Sentido]],DataTable[[#This Row],[Valor]])</f>
        <v>70.050168728908886</v>
      </c>
      <c r="S76" s="3">
        <f>IF(DataTable[[#This Row],[Valor]]&gt;1,1,1)</f>
        <v>1</v>
      </c>
      <c r="T76" s="3">
        <f>IF(DataTable[[#This Row],[Valor]]&gt;1,1,1)</f>
        <v>1</v>
      </c>
      <c r="U76" s="3">
        <f>angr(DataTable[[#This Row],[Sentido]],DataTable[[#This Row],[Valor]])</f>
        <v>59.190551181102364</v>
      </c>
      <c r="V76" s="3">
        <f>ANGI(DataTable[[#This Row],[Sentido]],DataTable[[#This Row],[Valor]])</f>
        <v>60.14836895388077</v>
      </c>
      <c r="W76" s="3">
        <f t="shared" si="43"/>
        <v>2</v>
      </c>
      <c r="X76" s="3">
        <f>IF(DataTable[[#This Row],[Valor]]&gt;1,1,1)</f>
        <v>1</v>
      </c>
      <c r="Y76" s="3">
        <f t="shared" si="44"/>
        <v>2</v>
      </c>
      <c r="Z76" s="3">
        <f>IF(AND(DataTable[[#This Row],[Sentido]]="URUGUAI para BRASIL",DataTable[[#This Row],[Valor]]&gt;350),1,0)</f>
        <v>0</v>
      </c>
      <c r="AA76" s="3">
        <f>IF(DataTable[[#This Row],[Valor]]&gt;1,0,0)</f>
        <v>0</v>
      </c>
    </row>
    <row r="77" spans="1:27" x14ac:dyDescent="0.25">
      <c r="A77" s="2" t="s">
        <v>21</v>
      </c>
      <c r="B77" s="2">
        <v>125</v>
      </c>
      <c r="C77" s="3">
        <f t="shared" si="30"/>
        <v>81.25</v>
      </c>
      <c r="D77" s="3">
        <f t="shared" si="31"/>
        <v>87.5</v>
      </c>
      <c r="E77" s="3">
        <f t="shared" si="32"/>
        <v>83.75</v>
      </c>
      <c r="F77" s="3">
        <f t="shared" si="33"/>
        <v>55</v>
      </c>
      <c r="G77" s="3">
        <f t="shared" si="34"/>
        <v>130</v>
      </c>
      <c r="H77" s="3">
        <f t="shared" si="35"/>
        <v>130</v>
      </c>
      <c r="I77" s="3"/>
      <c r="J77" s="3">
        <f t="shared" si="36"/>
        <v>73.56</v>
      </c>
      <c r="K77" s="3">
        <f t="shared" si="37"/>
        <v>87.5</v>
      </c>
      <c r="L77" s="34">
        <f t="shared" si="38"/>
        <v>83.75</v>
      </c>
      <c r="M77" s="3">
        <f t="shared" si="39"/>
        <v>-5</v>
      </c>
      <c r="N77" s="3">
        <f t="shared" si="40"/>
        <v>150</v>
      </c>
      <c r="O77" s="3"/>
      <c r="P77" s="3">
        <f t="shared" si="41"/>
        <v>64.887993700787405</v>
      </c>
      <c r="Q77" s="3">
        <f t="shared" si="42"/>
        <v>109.8176</v>
      </c>
      <c r="R77" s="3">
        <f>vd(DataTable[[#This Row],[Sentido]],DataTable[[#This Row],[Valor]])</f>
        <v>70.500112485939269</v>
      </c>
      <c r="S77" s="3">
        <f>IF(DataTable[[#This Row],[Valor]]&gt;1,1,1)</f>
        <v>1</v>
      </c>
      <c r="T77" s="3">
        <f>IF(DataTable[[#This Row],[Valor]]&gt;1,1,1)</f>
        <v>1</v>
      </c>
      <c r="U77" s="3">
        <f>angr(DataTable[[#This Row],[Sentido]],DataTable[[#This Row],[Valor]])</f>
        <v>58.993700787401579</v>
      </c>
      <c r="V77" s="3">
        <f>ANGI(DataTable[[#This Row],[Sentido]],DataTable[[#This Row],[Valor]])</f>
        <v>59.96557930258718</v>
      </c>
      <c r="W77" s="3">
        <f t="shared" si="43"/>
        <v>2</v>
      </c>
      <c r="X77" s="3">
        <f>IF(DataTable[[#This Row],[Valor]]&gt;1,1,1)</f>
        <v>1</v>
      </c>
      <c r="Y77" s="3">
        <f t="shared" si="44"/>
        <v>2</v>
      </c>
      <c r="Z77" s="3">
        <f>IF(AND(DataTable[[#This Row],[Sentido]]="URUGUAI para BRASIL",DataTable[[#This Row],[Valor]]&gt;350),1,0)</f>
        <v>0</v>
      </c>
      <c r="AA77" s="3">
        <f>IF(DataTable[[#This Row],[Valor]]&gt;1,0,0)</f>
        <v>0</v>
      </c>
    </row>
    <row r="78" spans="1:27" x14ac:dyDescent="0.25">
      <c r="A78" s="2" t="s">
        <v>21</v>
      </c>
      <c r="B78" s="2">
        <v>126</v>
      </c>
      <c r="C78" s="3">
        <f t="shared" si="30"/>
        <v>81.25</v>
      </c>
      <c r="D78" s="3">
        <f t="shared" si="31"/>
        <v>87.5</v>
      </c>
      <c r="E78" s="3">
        <f t="shared" si="32"/>
        <v>83.75</v>
      </c>
      <c r="F78" s="3">
        <f t="shared" si="33"/>
        <v>54.92</v>
      </c>
      <c r="G78" s="3">
        <f t="shared" si="34"/>
        <v>129.88</v>
      </c>
      <c r="H78" s="3">
        <f t="shared" si="35"/>
        <v>129.88</v>
      </c>
      <c r="I78" s="3"/>
      <c r="J78" s="3">
        <f t="shared" si="36"/>
        <v>73.56</v>
      </c>
      <c r="K78" s="3">
        <f t="shared" si="37"/>
        <v>87.5</v>
      </c>
      <c r="L78" s="34">
        <f t="shared" si="38"/>
        <v>83.75</v>
      </c>
      <c r="M78" s="3">
        <f t="shared" si="39"/>
        <v>-5.04</v>
      </c>
      <c r="N78" s="3">
        <f t="shared" si="40"/>
        <v>150</v>
      </c>
      <c r="O78" s="3"/>
      <c r="P78" s="3">
        <f t="shared" si="41"/>
        <v>65.226796850393697</v>
      </c>
      <c r="Q78" s="3">
        <f t="shared" si="42"/>
        <v>109.8176</v>
      </c>
      <c r="R78" s="3">
        <f>vd(DataTable[[#This Row],[Sentido]],DataTable[[#This Row],[Valor]])</f>
        <v>70.950056242969637</v>
      </c>
      <c r="S78" s="3">
        <f>IF(DataTable[[#This Row],[Valor]]&gt;1,1,1)</f>
        <v>1</v>
      </c>
      <c r="T78" s="3">
        <f>IF(DataTable[[#This Row],[Valor]]&gt;1,1,1)</f>
        <v>1</v>
      </c>
      <c r="U78" s="3">
        <f>angr(DataTable[[#This Row],[Sentido]],DataTable[[#This Row],[Valor]])</f>
        <v>58.796850393700794</v>
      </c>
      <c r="V78" s="3">
        <f>ANGI(DataTable[[#This Row],[Sentido]],DataTable[[#This Row],[Valor]])</f>
        <v>59.782789651293591</v>
      </c>
      <c r="W78" s="3">
        <f t="shared" si="43"/>
        <v>2</v>
      </c>
      <c r="X78" s="3">
        <f>IF(DataTable[[#This Row],[Valor]]&gt;1,1,1)</f>
        <v>1</v>
      </c>
      <c r="Y78" s="3">
        <f t="shared" si="44"/>
        <v>2</v>
      </c>
      <c r="Z78" s="3">
        <f>IF(AND(DataTable[[#This Row],[Sentido]]="URUGUAI para BRASIL",DataTable[[#This Row],[Valor]]&gt;350),1,0)</f>
        <v>0</v>
      </c>
      <c r="AA78" s="3">
        <f>IF(DataTable[[#This Row],[Valor]]&gt;1,0,0)</f>
        <v>0</v>
      </c>
    </row>
    <row r="79" spans="1:27" x14ac:dyDescent="0.25">
      <c r="A79" s="2" t="s">
        <v>21</v>
      </c>
      <c r="B79" s="2">
        <v>127</v>
      </c>
      <c r="C79" s="3">
        <f t="shared" si="30"/>
        <v>81.25</v>
      </c>
      <c r="D79" s="3">
        <f t="shared" si="31"/>
        <v>87.5</v>
      </c>
      <c r="E79" s="3">
        <f t="shared" si="32"/>
        <v>83.75</v>
      </c>
      <c r="F79" s="3">
        <f t="shared" si="33"/>
        <v>54.84</v>
      </c>
      <c r="G79" s="3">
        <f t="shared" si="34"/>
        <v>129.76</v>
      </c>
      <c r="H79" s="3">
        <f t="shared" si="35"/>
        <v>129.76</v>
      </c>
      <c r="I79" s="3"/>
      <c r="J79" s="3">
        <f t="shared" si="36"/>
        <v>73.56</v>
      </c>
      <c r="K79" s="3">
        <f t="shared" si="37"/>
        <v>87.5</v>
      </c>
      <c r="L79" s="34">
        <f t="shared" si="38"/>
        <v>83.75</v>
      </c>
      <c r="M79" s="3">
        <f t="shared" si="39"/>
        <v>-5.08</v>
      </c>
      <c r="N79" s="3">
        <f t="shared" si="40"/>
        <v>150</v>
      </c>
      <c r="O79" s="3"/>
      <c r="P79" s="3">
        <f t="shared" si="41"/>
        <v>65.565600000000003</v>
      </c>
      <c r="Q79" s="3">
        <f t="shared" si="42"/>
        <v>109.8176</v>
      </c>
      <c r="R79" s="3">
        <f>vd(DataTable[[#This Row],[Sentido]],DataTable[[#This Row],[Valor]])</f>
        <v>71.400000000000006</v>
      </c>
      <c r="S79" s="3">
        <f>IF(DataTable[[#This Row],[Valor]]&gt;1,1,1)</f>
        <v>1</v>
      </c>
      <c r="T79" s="3">
        <f>IF(DataTable[[#This Row],[Valor]]&gt;1,1,1)</f>
        <v>1</v>
      </c>
      <c r="U79" s="3">
        <f>angr(DataTable[[#This Row],[Sentido]],DataTable[[#This Row],[Valor]])</f>
        <v>58.6</v>
      </c>
      <c r="V79" s="3">
        <f>ANGI(DataTable[[#This Row],[Sentido]],DataTable[[#This Row],[Valor]])</f>
        <v>59.6</v>
      </c>
      <c r="W79" s="3">
        <f t="shared" si="43"/>
        <v>2</v>
      </c>
      <c r="X79" s="3">
        <f>IF(DataTable[[#This Row],[Valor]]&gt;1,1,1)</f>
        <v>1</v>
      </c>
      <c r="Y79" s="3">
        <f t="shared" si="44"/>
        <v>2</v>
      </c>
      <c r="Z79" s="3">
        <f>IF(AND(DataTable[[#This Row],[Sentido]]="URUGUAI para BRASIL",DataTable[[#This Row],[Valor]]&gt;350),1,0)</f>
        <v>0</v>
      </c>
      <c r="AA79" s="3">
        <f>IF(DataTable[[#This Row],[Valor]]&gt;1,0,0)</f>
        <v>0</v>
      </c>
    </row>
    <row r="80" spans="1:27" x14ac:dyDescent="0.25">
      <c r="A80" s="2" t="s">
        <v>21</v>
      </c>
      <c r="B80" s="2">
        <v>128</v>
      </c>
      <c r="C80" s="3">
        <f t="shared" si="30"/>
        <v>81.25</v>
      </c>
      <c r="D80" s="3">
        <f t="shared" si="31"/>
        <v>87.5</v>
      </c>
      <c r="E80" s="3">
        <f t="shared" si="32"/>
        <v>83.75</v>
      </c>
      <c r="F80" s="3">
        <f t="shared" si="33"/>
        <v>54.76</v>
      </c>
      <c r="G80" s="3">
        <f t="shared" si="34"/>
        <v>129.63999999999999</v>
      </c>
      <c r="H80" s="3">
        <f t="shared" si="35"/>
        <v>129.63999999999999</v>
      </c>
      <c r="I80" s="3"/>
      <c r="J80" s="3">
        <f t="shared" si="36"/>
        <v>73.56</v>
      </c>
      <c r="K80" s="3">
        <f t="shared" si="37"/>
        <v>87.5</v>
      </c>
      <c r="L80" s="34">
        <f t="shared" si="38"/>
        <v>83.75</v>
      </c>
      <c r="M80" s="3">
        <f t="shared" si="39"/>
        <v>-5.12</v>
      </c>
      <c r="N80" s="3">
        <f t="shared" si="40"/>
        <v>150</v>
      </c>
      <c r="O80" s="3"/>
      <c r="P80" s="3">
        <f t="shared" si="41"/>
        <v>65.90440314960631</v>
      </c>
      <c r="Q80" s="3">
        <f t="shared" si="42"/>
        <v>109.8176</v>
      </c>
      <c r="R80" s="3">
        <f>vd(DataTable[[#This Row],[Sentido]],DataTable[[#This Row],[Valor]])</f>
        <v>71.840944881889769</v>
      </c>
      <c r="S80" s="3">
        <f>IF(DataTable[[#This Row],[Valor]]&gt;1,1,1)</f>
        <v>1</v>
      </c>
      <c r="T80" s="3">
        <f>IF(DataTable[[#This Row],[Valor]]&gt;1,1,1)</f>
        <v>1</v>
      </c>
      <c r="U80" s="3">
        <f>angr(DataTable[[#This Row],[Sentido]],DataTable[[#This Row],[Valor]])</f>
        <v>58.395275590551179</v>
      </c>
      <c r="V80" s="3">
        <f>ANGI(DataTable[[#This Row],[Sentido]],DataTable[[#This Row],[Valor]])</f>
        <v>59.403149606299209</v>
      </c>
      <c r="W80" s="3">
        <f t="shared" si="43"/>
        <v>2</v>
      </c>
      <c r="X80" s="3">
        <f>IF(DataTable[[#This Row],[Valor]]&gt;1,1,1)</f>
        <v>1</v>
      </c>
      <c r="Y80" s="3">
        <f t="shared" si="44"/>
        <v>2</v>
      </c>
      <c r="Z80" s="3">
        <f>IF(AND(DataTable[[#This Row],[Sentido]]="URUGUAI para BRASIL",DataTable[[#This Row],[Valor]]&gt;350),1,0)</f>
        <v>0</v>
      </c>
      <c r="AA80" s="3">
        <f>IF(DataTable[[#This Row],[Valor]]&gt;1,0,0)</f>
        <v>0</v>
      </c>
    </row>
    <row r="81" spans="1:27" x14ac:dyDescent="0.25">
      <c r="A81" s="2" t="s">
        <v>21</v>
      </c>
      <c r="B81" s="2">
        <v>129</v>
      </c>
      <c r="C81" s="3">
        <f t="shared" si="30"/>
        <v>81.25</v>
      </c>
      <c r="D81" s="3">
        <f t="shared" si="31"/>
        <v>87.5</v>
      </c>
      <c r="E81" s="3">
        <f t="shared" si="32"/>
        <v>83.75</v>
      </c>
      <c r="F81" s="3">
        <f t="shared" si="33"/>
        <v>54.68</v>
      </c>
      <c r="G81" s="3">
        <f t="shared" si="34"/>
        <v>129.51999999999998</v>
      </c>
      <c r="H81" s="3">
        <f t="shared" si="35"/>
        <v>129.51999999999998</v>
      </c>
      <c r="I81" s="3"/>
      <c r="J81" s="3">
        <f t="shared" si="36"/>
        <v>73.56</v>
      </c>
      <c r="K81" s="3">
        <f t="shared" si="37"/>
        <v>87.5</v>
      </c>
      <c r="L81" s="34">
        <f t="shared" si="38"/>
        <v>83.75</v>
      </c>
      <c r="M81" s="3">
        <f t="shared" si="39"/>
        <v>-5.16</v>
      </c>
      <c r="N81" s="3">
        <f t="shared" si="40"/>
        <v>150</v>
      </c>
      <c r="O81" s="3"/>
      <c r="P81" s="3">
        <f t="shared" si="41"/>
        <v>66.243206299212602</v>
      </c>
      <c r="Q81" s="3">
        <f t="shared" si="42"/>
        <v>109.8176</v>
      </c>
      <c r="R81" s="3">
        <f>vd(DataTable[[#This Row],[Sentido]],DataTable[[#This Row],[Valor]])</f>
        <v>72.281889763779532</v>
      </c>
      <c r="S81" s="3">
        <f>IF(DataTable[[#This Row],[Valor]]&gt;1,1,1)</f>
        <v>1</v>
      </c>
      <c r="T81" s="3">
        <f>IF(DataTable[[#This Row],[Valor]]&gt;1,1,1)</f>
        <v>1</v>
      </c>
      <c r="U81" s="3">
        <f>angr(DataTable[[#This Row],[Sentido]],DataTable[[#This Row],[Valor]])</f>
        <v>58.190551181102364</v>
      </c>
      <c r="V81" s="3">
        <f>ANGI(DataTable[[#This Row],[Sentido]],DataTable[[#This Row],[Valor]])</f>
        <v>59.206299212598424</v>
      </c>
      <c r="W81" s="3">
        <f t="shared" si="43"/>
        <v>2</v>
      </c>
      <c r="X81" s="3">
        <f>IF(DataTable[[#This Row],[Valor]]&gt;1,1,1)</f>
        <v>1</v>
      </c>
      <c r="Y81" s="3">
        <f t="shared" si="44"/>
        <v>2</v>
      </c>
      <c r="Z81" s="3">
        <f>IF(AND(DataTable[[#This Row],[Sentido]]="URUGUAI para BRASIL",DataTable[[#This Row],[Valor]]&gt;350),1,0)</f>
        <v>0</v>
      </c>
      <c r="AA81" s="3">
        <f>IF(DataTable[[#This Row],[Valor]]&gt;1,0,0)</f>
        <v>0</v>
      </c>
    </row>
    <row r="82" spans="1:27" x14ac:dyDescent="0.25">
      <c r="A82" s="2" t="s">
        <v>21</v>
      </c>
      <c r="B82" s="2">
        <v>130</v>
      </c>
      <c r="C82" s="3">
        <f t="shared" si="30"/>
        <v>81.25</v>
      </c>
      <c r="D82" s="3">
        <f t="shared" si="31"/>
        <v>87.5</v>
      </c>
      <c r="E82" s="3">
        <f t="shared" si="32"/>
        <v>83.75</v>
      </c>
      <c r="F82" s="3">
        <f t="shared" si="33"/>
        <v>54.6</v>
      </c>
      <c r="G82" s="3">
        <f t="shared" si="34"/>
        <v>129.4</v>
      </c>
      <c r="H82" s="3">
        <f t="shared" si="35"/>
        <v>129.4</v>
      </c>
      <c r="I82" s="3"/>
      <c r="J82" s="3">
        <f t="shared" si="36"/>
        <v>73.56</v>
      </c>
      <c r="K82" s="3">
        <f t="shared" si="37"/>
        <v>87.5</v>
      </c>
      <c r="L82" s="34">
        <f t="shared" si="38"/>
        <v>83.75</v>
      </c>
      <c r="M82" s="3">
        <f t="shared" si="39"/>
        <v>-5.2</v>
      </c>
      <c r="N82" s="3">
        <f t="shared" si="40"/>
        <v>150</v>
      </c>
      <c r="O82" s="3"/>
      <c r="P82" s="3">
        <f t="shared" si="41"/>
        <v>66.582009448818908</v>
      </c>
      <c r="Q82" s="3">
        <f t="shared" si="42"/>
        <v>109.8176</v>
      </c>
      <c r="R82" s="3">
        <f>vd(DataTable[[#This Row],[Sentido]],DataTable[[#This Row],[Valor]])</f>
        <v>72.722834645669295</v>
      </c>
      <c r="S82" s="3">
        <f>IF(DataTable[[#This Row],[Valor]]&gt;1,1,1)</f>
        <v>1</v>
      </c>
      <c r="T82" s="3">
        <f>IF(DataTable[[#This Row],[Valor]]&gt;1,1,1)</f>
        <v>1</v>
      </c>
      <c r="U82" s="3">
        <f>angr(DataTable[[#This Row],[Sentido]],DataTable[[#This Row],[Valor]])</f>
        <v>57.985826771653542</v>
      </c>
      <c r="V82" s="3">
        <f>ANGI(DataTable[[#This Row],[Sentido]],DataTable[[#This Row],[Valor]])</f>
        <v>59.009448818897638</v>
      </c>
      <c r="W82" s="3">
        <f t="shared" si="43"/>
        <v>2</v>
      </c>
      <c r="X82" s="3">
        <f>IF(DataTable[[#This Row],[Valor]]&gt;1,1,1)</f>
        <v>1</v>
      </c>
      <c r="Y82" s="3">
        <f t="shared" si="44"/>
        <v>2</v>
      </c>
      <c r="Z82" s="3">
        <f>IF(AND(DataTable[[#This Row],[Sentido]]="URUGUAI para BRASIL",DataTable[[#This Row],[Valor]]&gt;350),1,0)</f>
        <v>0</v>
      </c>
      <c r="AA82" s="3">
        <f>IF(DataTable[[#This Row],[Valor]]&gt;1,0,0)</f>
        <v>0</v>
      </c>
    </row>
    <row r="83" spans="1:27" x14ac:dyDescent="0.25">
      <c r="A83" s="2" t="s">
        <v>21</v>
      </c>
      <c r="B83" s="2">
        <v>131</v>
      </c>
      <c r="C83" s="3">
        <f t="shared" si="30"/>
        <v>81.25</v>
      </c>
      <c r="D83" s="3">
        <f t="shared" si="31"/>
        <v>87.5</v>
      </c>
      <c r="E83" s="3">
        <f t="shared" si="32"/>
        <v>83.75</v>
      </c>
      <c r="F83" s="3">
        <f t="shared" si="33"/>
        <v>54.519999999999996</v>
      </c>
      <c r="G83" s="3">
        <f t="shared" si="34"/>
        <v>129.28</v>
      </c>
      <c r="H83" s="3">
        <f t="shared" si="35"/>
        <v>129.28</v>
      </c>
      <c r="I83" s="3"/>
      <c r="J83" s="3">
        <f t="shared" si="36"/>
        <v>73.56</v>
      </c>
      <c r="K83" s="3">
        <f t="shared" si="37"/>
        <v>87.5</v>
      </c>
      <c r="L83" s="34">
        <f t="shared" si="38"/>
        <v>83.75</v>
      </c>
      <c r="M83" s="3">
        <f t="shared" si="39"/>
        <v>-5.24</v>
      </c>
      <c r="N83" s="3">
        <f t="shared" si="40"/>
        <v>150</v>
      </c>
      <c r="O83" s="3"/>
      <c r="P83" s="3">
        <f t="shared" si="41"/>
        <v>66.920812598425201</v>
      </c>
      <c r="Q83" s="3">
        <f t="shared" si="42"/>
        <v>109.8176</v>
      </c>
      <c r="R83" s="3">
        <f>vd(DataTable[[#This Row],[Sentido]],DataTable[[#This Row],[Valor]])</f>
        <v>73.163779527559058</v>
      </c>
      <c r="S83" s="3">
        <f>IF(DataTable[[#This Row],[Valor]]&gt;1,1,1)</f>
        <v>1</v>
      </c>
      <c r="T83" s="3">
        <f>IF(DataTable[[#This Row],[Valor]]&gt;1,1,1)</f>
        <v>1</v>
      </c>
      <c r="U83" s="3">
        <f>angr(DataTable[[#This Row],[Sentido]],DataTable[[#This Row],[Valor]])</f>
        <v>57.781102362204727</v>
      </c>
      <c r="V83" s="3">
        <f>ANGI(DataTable[[#This Row],[Sentido]],DataTable[[#This Row],[Valor]])</f>
        <v>58.812598425196853</v>
      </c>
      <c r="W83" s="3">
        <f t="shared" si="43"/>
        <v>2</v>
      </c>
      <c r="X83" s="3">
        <f>IF(DataTable[[#This Row],[Valor]]&gt;1,1,1)</f>
        <v>1</v>
      </c>
      <c r="Y83" s="3">
        <f t="shared" si="44"/>
        <v>2</v>
      </c>
      <c r="Z83" s="3">
        <f>IF(AND(DataTable[[#This Row],[Sentido]]="URUGUAI para BRASIL",DataTable[[#This Row],[Valor]]&gt;350),1,0)</f>
        <v>0</v>
      </c>
      <c r="AA83" s="3">
        <f>IF(DataTable[[#This Row],[Valor]]&gt;1,0,0)</f>
        <v>0</v>
      </c>
    </row>
    <row r="84" spans="1:27" x14ac:dyDescent="0.25">
      <c r="A84" s="2" t="s">
        <v>21</v>
      </c>
      <c r="B84" s="2">
        <v>132</v>
      </c>
      <c r="C84" s="3">
        <f t="shared" si="30"/>
        <v>81.25</v>
      </c>
      <c r="D84" s="3">
        <f t="shared" si="31"/>
        <v>87.5</v>
      </c>
      <c r="E84" s="3">
        <f t="shared" si="32"/>
        <v>83.75</v>
      </c>
      <c r="F84" s="3">
        <f t="shared" si="33"/>
        <v>54.44</v>
      </c>
      <c r="G84" s="3">
        <f t="shared" si="34"/>
        <v>129.16</v>
      </c>
      <c r="H84" s="3">
        <f t="shared" si="35"/>
        <v>129.16</v>
      </c>
      <c r="I84" s="3"/>
      <c r="J84" s="3">
        <f t="shared" si="36"/>
        <v>73.56</v>
      </c>
      <c r="K84" s="3">
        <f t="shared" si="37"/>
        <v>87.5</v>
      </c>
      <c r="L84" s="34">
        <f t="shared" si="38"/>
        <v>83.75</v>
      </c>
      <c r="M84" s="3">
        <f t="shared" si="39"/>
        <v>-5.28</v>
      </c>
      <c r="N84" s="3">
        <f t="shared" si="40"/>
        <v>150</v>
      </c>
      <c r="O84" s="3"/>
      <c r="P84" s="3">
        <f t="shared" si="41"/>
        <v>67.259615748031507</v>
      </c>
      <c r="Q84" s="3">
        <f t="shared" si="42"/>
        <v>109.8176</v>
      </c>
      <c r="R84" s="3">
        <f>vd(DataTable[[#This Row],[Sentido]],DataTable[[#This Row],[Valor]])</f>
        <v>73.604724409448821</v>
      </c>
      <c r="S84" s="3">
        <f>IF(DataTable[[#This Row],[Valor]]&gt;1,1,1)</f>
        <v>1</v>
      </c>
      <c r="T84" s="3">
        <f>IF(DataTable[[#This Row],[Valor]]&gt;1,1,1)</f>
        <v>1</v>
      </c>
      <c r="U84" s="3">
        <f>angr(DataTable[[#This Row],[Sentido]],DataTable[[#This Row],[Valor]])</f>
        <v>57.576377952755905</v>
      </c>
      <c r="V84" s="3">
        <f>ANGI(DataTable[[#This Row],[Sentido]],DataTable[[#This Row],[Valor]])</f>
        <v>58.615748031496068</v>
      </c>
      <c r="W84" s="3">
        <f t="shared" si="43"/>
        <v>2</v>
      </c>
      <c r="X84" s="3">
        <f>IF(DataTable[[#This Row],[Valor]]&gt;1,1,1)</f>
        <v>1</v>
      </c>
      <c r="Y84" s="3">
        <f t="shared" si="44"/>
        <v>2</v>
      </c>
      <c r="Z84" s="3">
        <f>IF(AND(DataTable[[#This Row],[Sentido]]="URUGUAI para BRASIL",DataTable[[#This Row],[Valor]]&gt;350),1,0)</f>
        <v>0</v>
      </c>
      <c r="AA84" s="3">
        <f>IF(DataTable[[#This Row],[Valor]]&gt;1,0,0)</f>
        <v>0</v>
      </c>
    </row>
    <row r="85" spans="1:27" x14ac:dyDescent="0.25">
      <c r="A85" s="2" t="s">
        <v>21</v>
      </c>
      <c r="B85" s="2">
        <v>133</v>
      </c>
      <c r="C85" s="3">
        <f t="shared" si="30"/>
        <v>81.25</v>
      </c>
      <c r="D85" s="3">
        <f t="shared" si="31"/>
        <v>87.5</v>
      </c>
      <c r="E85" s="3">
        <f t="shared" si="32"/>
        <v>83.75</v>
      </c>
      <c r="F85" s="3">
        <f t="shared" si="33"/>
        <v>54.36</v>
      </c>
      <c r="G85" s="3">
        <f t="shared" si="34"/>
        <v>129.04000000000002</v>
      </c>
      <c r="H85" s="3">
        <f t="shared" si="35"/>
        <v>129.04000000000002</v>
      </c>
      <c r="I85" s="3"/>
      <c r="J85" s="3">
        <f t="shared" si="36"/>
        <v>73.56</v>
      </c>
      <c r="K85" s="3">
        <f t="shared" si="37"/>
        <v>87.5</v>
      </c>
      <c r="L85" s="34">
        <f t="shared" si="38"/>
        <v>83.75</v>
      </c>
      <c r="M85" s="3">
        <f t="shared" si="39"/>
        <v>-5.32</v>
      </c>
      <c r="N85" s="3">
        <f t="shared" si="40"/>
        <v>150</v>
      </c>
      <c r="O85" s="3"/>
      <c r="P85" s="3">
        <f t="shared" si="41"/>
        <v>67.598418897637799</v>
      </c>
      <c r="Q85" s="3">
        <f t="shared" si="42"/>
        <v>109.8176</v>
      </c>
      <c r="R85" s="3">
        <f>vd(DataTable[[#This Row],[Sentido]],DataTable[[#This Row],[Valor]])</f>
        <v>74.045669291338584</v>
      </c>
      <c r="S85" s="3">
        <f>IF(DataTable[[#This Row],[Valor]]&gt;1,1,1)</f>
        <v>1</v>
      </c>
      <c r="T85" s="3">
        <f>IF(DataTable[[#This Row],[Valor]]&gt;1,1,1)</f>
        <v>1</v>
      </c>
      <c r="U85" s="3">
        <f>angr(DataTable[[#This Row],[Sentido]],DataTable[[#This Row],[Valor]])</f>
        <v>57.371653543307083</v>
      </c>
      <c r="V85" s="3">
        <f>ANGI(DataTable[[#This Row],[Sentido]],DataTable[[#This Row],[Valor]])</f>
        <v>58.418897637795276</v>
      </c>
      <c r="W85" s="3">
        <f t="shared" si="43"/>
        <v>2</v>
      </c>
      <c r="X85" s="3">
        <f>IF(DataTable[[#This Row],[Valor]]&gt;1,1,1)</f>
        <v>1</v>
      </c>
      <c r="Y85" s="3">
        <f t="shared" si="44"/>
        <v>2</v>
      </c>
      <c r="Z85" s="3">
        <f>IF(AND(DataTable[[#This Row],[Sentido]]="URUGUAI para BRASIL",DataTable[[#This Row],[Valor]]&gt;350),1,0)</f>
        <v>0</v>
      </c>
      <c r="AA85" s="3">
        <f>IF(DataTable[[#This Row],[Valor]]&gt;1,0,0)</f>
        <v>0</v>
      </c>
    </row>
    <row r="86" spans="1:27" x14ac:dyDescent="0.25">
      <c r="A86" s="2" t="s">
        <v>21</v>
      </c>
      <c r="B86" s="2">
        <v>134</v>
      </c>
      <c r="C86" s="3">
        <f t="shared" si="30"/>
        <v>81.25</v>
      </c>
      <c r="D86" s="3">
        <f t="shared" si="31"/>
        <v>87.5</v>
      </c>
      <c r="E86" s="3">
        <f t="shared" si="32"/>
        <v>83.75</v>
      </c>
      <c r="F86" s="3">
        <f t="shared" si="33"/>
        <v>54.28</v>
      </c>
      <c r="G86" s="3">
        <f t="shared" si="34"/>
        <v>128.92000000000002</v>
      </c>
      <c r="H86" s="3">
        <f t="shared" si="35"/>
        <v>128.92000000000002</v>
      </c>
      <c r="I86" s="3"/>
      <c r="J86" s="3">
        <f t="shared" si="36"/>
        <v>73.56</v>
      </c>
      <c r="K86" s="3">
        <f t="shared" si="37"/>
        <v>87.5</v>
      </c>
      <c r="L86" s="34">
        <f t="shared" si="38"/>
        <v>83.75</v>
      </c>
      <c r="M86" s="3">
        <f t="shared" si="39"/>
        <v>-5.36</v>
      </c>
      <c r="N86" s="3">
        <f t="shared" si="40"/>
        <v>150</v>
      </c>
      <c r="O86" s="3"/>
      <c r="P86" s="3">
        <f t="shared" si="41"/>
        <v>67.937222047244092</v>
      </c>
      <c r="Q86" s="3">
        <f t="shared" si="42"/>
        <v>109.8176</v>
      </c>
      <c r="R86" s="3">
        <f>vd(DataTable[[#This Row],[Sentido]],DataTable[[#This Row],[Valor]])</f>
        <v>74.486614173228347</v>
      </c>
      <c r="S86" s="3">
        <f>IF(DataTable[[#This Row],[Valor]]&gt;1,1,1)</f>
        <v>1</v>
      </c>
      <c r="T86" s="3">
        <f>IF(DataTable[[#This Row],[Valor]]&gt;1,1,1)</f>
        <v>1</v>
      </c>
      <c r="U86" s="3">
        <f>angr(DataTable[[#This Row],[Sentido]],DataTable[[#This Row],[Valor]])</f>
        <v>57.166929133858268</v>
      </c>
      <c r="V86" s="3">
        <f>ANGI(DataTable[[#This Row],[Sentido]],DataTable[[#This Row],[Valor]])</f>
        <v>58.22204724409449</v>
      </c>
      <c r="W86" s="3">
        <f t="shared" si="43"/>
        <v>2</v>
      </c>
      <c r="X86" s="3">
        <f>IF(DataTable[[#This Row],[Valor]]&gt;1,1,1)</f>
        <v>1</v>
      </c>
      <c r="Y86" s="3">
        <f t="shared" si="44"/>
        <v>2</v>
      </c>
      <c r="Z86" s="3">
        <f>IF(AND(DataTable[[#This Row],[Sentido]]="URUGUAI para BRASIL",DataTable[[#This Row],[Valor]]&gt;350),1,0)</f>
        <v>0</v>
      </c>
      <c r="AA86" s="3">
        <f>IF(DataTable[[#This Row],[Valor]]&gt;1,0,0)</f>
        <v>0</v>
      </c>
    </row>
    <row r="87" spans="1:27" x14ac:dyDescent="0.25">
      <c r="A87" s="2" t="s">
        <v>21</v>
      </c>
      <c r="B87" s="2">
        <v>135</v>
      </c>
      <c r="C87" s="3">
        <f t="shared" si="30"/>
        <v>81.25</v>
      </c>
      <c r="D87" s="3">
        <f t="shared" si="31"/>
        <v>87.5</v>
      </c>
      <c r="E87" s="3">
        <f t="shared" si="32"/>
        <v>83.75</v>
      </c>
      <c r="F87" s="3">
        <f t="shared" si="33"/>
        <v>54.2</v>
      </c>
      <c r="G87" s="3">
        <f t="shared" si="34"/>
        <v>128.80000000000001</v>
      </c>
      <c r="H87" s="3">
        <f t="shared" si="35"/>
        <v>128.80000000000001</v>
      </c>
      <c r="I87" s="3"/>
      <c r="J87" s="3">
        <f t="shared" si="36"/>
        <v>73.56</v>
      </c>
      <c r="K87" s="3">
        <f t="shared" si="37"/>
        <v>87.5</v>
      </c>
      <c r="L87" s="34">
        <f t="shared" si="38"/>
        <v>83.75</v>
      </c>
      <c r="M87" s="3">
        <f t="shared" si="39"/>
        <v>-5.4</v>
      </c>
      <c r="N87" s="3">
        <f t="shared" si="40"/>
        <v>150</v>
      </c>
      <c r="O87" s="3"/>
      <c r="P87" s="3">
        <f t="shared" si="41"/>
        <v>68.276025196850398</v>
      </c>
      <c r="Q87" s="3">
        <f t="shared" si="42"/>
        <v>109.8176</v>
      </c>
      <c r="R87" s="3">
        <f>vd(DataTable[[#This Row],[Sentido]],DataTable[[#This Row],[Valor]])</f>
        <v>74.92755905511811</v>
      </c>
      <c r="S87" s="3">
        <f>IF(DataTable[[#This Row],[Valor]]&gt;1,1,1)</f>
        <v>1</v>
      </c>
      <c r="T87" s="3">
        <f>IF(DataTable[[#This Row],[Valor]]&gt;1,1,1)</f>
        <v>1</v>
      </c>
      <c r="U87" s="3">
        <f>angr(DataTable[[#This Row],[Sentido]],DataTable[[#This Row],[Valor]])</f>
        <v>56.962204724409446</v>
      </c>
      <c r="V87" s="3">
        <f>ANGI(DataTable[[#This Row],[Sentido]],DataTable[[#This Row],[Valor]])</f>
        <v>58.025196850393698</v>
      </c>
      <c r="W87" s="3">
        <f t="shared" si="43"/>
        <v>2</v>
      </c>
      <c r="X87" s="3">
        <f>IF(DataTable[[#This Row],[Valor]]&gt;1,1,1)</f>
        <v>1</v>
      </c>
      <c r="Y87" s="3">
        <f t="shared" si="44"/>
        <v>2</v>
      </c>
      <c r="Z87" s="3">
        <f>IF(AND(DataTable[[#This Row],[Sentido]]="URUGUAI para BRASIL",DataTable[[#This Row],[Valor]]&gt;350),1,0)</f>
        <v>0</v>
      </c>
      <c r="AA87" s="3">
        <f>IF(DataTable[[#This Row],[Valor]]&gt;1,0,0)</f>
        <v>0</v>
      </c>
    </row>
    <row r="88" spans="1:27" x14ac:dyDescent="0.25">
      <c r="A88" s="2" t="s">
        <v>21</v>
      </c>
      <c r="B88" s="2">
        <v>136</v>
      </c>
      <c r="C88" s="3">
        <f t="shared" si="30"/>
        <v>81.25</v>
      </c>
      <c r="D88" s="3">
        <f t="shared" si="31"/>
        <v>87.5</v>
      </c>
      <c r="E88" s="3">
        <f t="shared" si="32"/>
        <v>83.75</v>
      </c>
      <c r="F88" s="3">
        <f t="shared" si="33"/>
        <v>54.12</v>
      </c>
      <c r="G88" s="3">
        <f t="shared" si="34"/>
        <v>128.68</v>
      </c>
      <c r="H88" s="3">
        <f t="shared" si="35"/>
        <v>128.68</v>
      </c>
      <c r="I88" s="3"/>
      <c r="J88" s="3">
        <f t="shared" si="36"/>
        <v>73.56</v>
      </c>
      <c r="K88" s="3">
        <f t="shared" si="37"/>
        <v>87.5</v>
      </c>
      <c r="L88" s="34">
        <f t="shared" si="38"/>
        <v>83.75</v>
      </c>
      <c r="M88" s="3">
        <f t="shared" si="39"/>
        <v>-5.44</v>
      </c>
      <c r="N88" s="3">
        <f t="shared" si="40"/>
        <v>150</v>
      </c>
      <c r="O88" s="3"/>
      <c r="P88" s="3">
        <f t="shared" si="41"/>
        <v>68.61482834645669</v>
      </c>
      <c r="Q88" s="3">
        <f t="shared" si="42"/>
        <v>109.8176</v>
      </c>
      <c r="R88" s="3">
        <f>vd(DataTable[[#This Row],[Sentido]],DataTable[[#This Row],[Valor]])</f>
        <v>75.368503937007873</v>
      </c>
      <c r="S88" s="3">
        <f>IF(DataTable[[#This Row],[Valor]]&gt;1,1,1)</f>
        <v>1</v>
      </c>
      <c r="T88" s="3">
        <f>IF(DataTable[[#This Row],[Valor]]&gt;1,1,1)</f>
        <v>1</v>
      </c>
      <c r="U88" s="3">
        <f>angr(DataTable[[#This Row],[Sentido]],DataTable[[#This Row],[Valor]])</f>
        <v>56.757480314960631</v>
      </c>
      <c r="V88" s="3">
        <f>ANGI(DataTable[[#This Row],[Sentido]],DataTable[[#This Row],[Valor]])</f>
        <v>57.828346456692913</v>
      </c>
      <c r="W88" s="3">
        <f t="shared" si="43"/>
        <v>2</v>
      </c>
      <c r="X88" s="3">
        <f>IF(DataTable[[#This Row],[Valor]]&gt;1,1,1)</f>
        <v>1</v>
      </c>
      <c r="Y88" s="3">
        <f t="shared" si="44"/>
        <v>2</v>
      </c>
      <c r="Z88" s="3">
        <f>IF(AND(DataTable[[#This Row],[Sentido]]="URUGUAI para BRASIL",DataTable[[#This Row],[Valor]]&gt;350),1,0)</f>
        <v>0</v>
      </c>
      <c r="AA88" s="3">
        <f>IF(DataTable[[#This Row],[Valor]]&gt;1,0,0)</f>
        <v>0</v>
      </c>
    </row>
    <row r="89" spans="1:27" x14ac:dyDescent="0.25">
      <c r="A89" s="2" t="s">
        <v>21</v>
      </c>
      <c r="B89" s="2">
        <v>137</v>
      </c>
      <c r="C89" s="3">
        <f t="shared" si="30"/>
        <v>81.25</v>
      </c>
      <c r="D89" s="3">
        <f t="shared" si="31"/>
        <v>87.5</v>
      </c>
      <c r="E89" s="3">
        <f t="shared" si="32"/>
        <v>83.75</v>
      </c>
      <c r="F89" s="3">
        <f t="shared" si="33"/>
        <v>54.04</v>
      </c>
      <c r="G89" s="3">
        <f t="shared" si="34"/>
        <v>128.56</v>
      </c>
      <c r="H89" s="3">
        <f t="shared" si="35"/>
        <v>128.56</v>
      </c>
      <c r="I89" s="3"/>
      <c r="J89" s="3">
        <f t="shared" si="36"/>
        <v>73.56</v>
      </c>
      <c r="K89" s="3">
        <f t="shared" si="37"/>
        <v>87.5</v>
      </c>
      <c r="L89" s="34">
        <f t="shared" si="38"/>
        <v>83.75</v>
      </c>
      <c r="M89" s="3">
        <f t="shared" si="39"/>
        <v>-5.48</v>
      </c>
      <c r="N89" s="3">
        <f t="shared" si="40"/>
        <v>150</v>
      </c>
      <c r="O89" s="3"/>
      <c r="P89" s="3">
        <f t="shared" si="41"/>
        <v>68.953631496062997</v>
      </c>
      <c r="Q89" s="3">
        <f t="shared" si="42"/>
        <v>109.8176</v>
      </c>
      <c r="R89" s="3">
        <f>vd(DataTable[[#This Row],[Sentido]],DataTable[[#This Row],[Valor]])</f>
        <v>75.809448818897636</v>
      </c>
      <c r="S89" s="3">
        <f>IF(DataTable[[#This Row],[Valor]]&gt;1,1,1)</f>
        <v>1</v>
      </c>
      <c r="T89" s="3">
        <f>IF(DataTable[[#This Row],[Valor]]&gt;1,1,1)</f>
        <v>1</v>
      </c>
      <c r="U89" s="3">
        <f>angr(DataTable[[#This Row],[Sentido]],DataTable[[#This Row],[Valor]])</f>
        <v>56.552755905511809</v>
      </c>
      <c r="V89" s="3">
        <f>ANGI(DataTable[[#This Row],[Sentido]],DataTable[[#This Row],[Valor]])</f>
        <v>57.631496062992127</v>
      </c>
      <c r="W89" s="3">
        <f t="shared" si="43"/>
        <v>2</v>
      </c>
      <c r="X89" s="3">
        <f>IF(DataTable[[#This Row],[Valor]]&gt;1,1,1)</f>
        <v>1</v>
      </c>
      <c r="Y89" s="3">
        <f t="shared" si="44"/>
        <v>2</v>
      </c>
      <c r="Z89" s="3">
        <f>IF(AND(DataTable[[#This Row],[Sentido]]="URUGUAI para BRASIL",DataTable[[#This Row],[Valor]]&gt;350),1,0)</f>
        <v>0</v>
      </c>
      <c r="AA89" s="3">
        <f>IF(DataTable[[#This Row],[Valor]]&gt;1,0,0)</f>
        <v>0</v>
      </c>
    </row>
    <row r="90" spans="1:27" x14ac:dyDescent="0.25">
      <c r="A90" s="2" t="s">
        <v>21</v>
      </c>
      <c r="B90" s="2">
        <v>138</v>
      </c>
      <c r="C90" s="3">
        <f t="shared" si="30"/>
        <v>81.25</v>
      </c>
      <c r="D90" s="3">
        <f t="shared" si="31"/>
        <v>87.5</v>
      </c>
      <c r="E90" s="3">
        <f t="shared" si="32"/>
        <v>83.75</v>
      </c>
      <c r="F90" s="3">
        <f t="shared" si="33"/>
        <v>53.96</v>
      </c>
      <c r="G90" s="3">
        <f t="shared" si="34"/>
        <v>128.44</v>
      </c>
      <c r="H90" s="3">
        <f t="shared" si="35"/>
        <v>128.44</v>
      </c>
      <c r="I90" s="3"/>
      <c r="J90" s="3">
        <f t="shared" si="36"/>
        <v>73.56</v>
      </c>
      <c r="K90" s="3">
        <f t="shared" si="37"/>
        <v>87.5</v>
      </c>
      <c r="L90" s="34">
        <f t="shared" si="38"/>
        <v>83.75</v>
      </c>
      <c r="M90" s="3">
        <f t="shared" si="39"/>
        <v>-5.5200000000000005</v>
      </c>
      <c r="N90" s="3">
        <f t="shared" si="40"/>
        <v>150</v>
      </c>
      <c r="O90" s="3"/>
      <c r="P90" s="3">
        <f t="shared" si="41"/>
        <v>69.292434645669303</v>
      </c>
      <c r="Q90" s="3">
        <f t="shared" si="42"/>
        <v>109.8176</v>
      </c>
      <c r="R90" s="3">
        <f>vd(DataTable[[#This Row],[Sentido]],DataTable[[#This Row],[Valor]])</f>
        <v>76.250393700787413</v>
      </c>
      <c r="S90" s="3">
        <f>IF(DataTable[[#This Row],[Valor]]&gt;1,1,1)</f>
        <v>1</v>
      </c>
      <c r="T90" s="3">
        <f>IF(DataTable[[#This Row],[Valor]]&gt;1,1,1)</f>
        <v>1</v>
      </c>
      <c r="U90" s="3">
        <f>angr(DataTable[[#This Row],[Sentido]],DataTable[[#This Row],[Valor]])</f>
        <v>56.348031496062994</v>
      </c>
      <c r="V90" s="3">
        <f>ANGI(DataTable[[#This Row],[Sentido]],DataTable[[#This Row],[Valor]])</f>
        <v>57.434645669291342</v>
      </c>
      <c r="W90" s="3">
        <f t="shared" si="43"/>
        <v>2</v>
      </c>
      <c r="X90" s="3">
        <f>IF(DataTable[[#This Row],[Valor]]&gt;1,1,1)</f>
        <v>1</v>
      </c>
      <c r="Y90" s="3">
        <f t="shared" si="44"/>
        <v>2</v>
      </c>
      <c r="Z90" s="3">
        <f>IF(AND(DataTable[[#This Row],[Sentido]]="URUGUAI para BRASIL",DataTable[[#This Row],[Valor]]&gt;350),1,0)</f>
        <v>0</v>
      </c>
      <c r="AA90" s="3">
        <f>IF(DataTable[[#This Row],[Valor]]&gt;1,0,0)</f>
        <v>0</v>
      </c>
    </row>
    <row r="91" spans="1:27" x14ac:dyDescent="0.25">
      <c r="A91" s="2" t="s">
        <v>21</v>
      </c>
      <c r="B91" s="2">
        <v>139</v>
      </c>
      <c r="C91" s="3">
        <f t="shared" si="30"/>
        <v>81.25</v>
      </c>
      <c r="D91" s="3">
        <f t="shared" si="31"/>
        <v>87.5</v>
      </c>
      <c r="E91" s="3">
        <f t="shared" si="32"/>
        <v>83.75</v>
      </c>
      <c r="F91" s="3">
        <f t="shared" si="33"/>
        <v>53.879999999999995</v>
      </c>
      <c r="G91" s="3">
        <f t="shared" si="34"/>
        <v>128.32</v>
      </c>
      <c r="H91" s="3">
        <f t="shared" si="35"/>
        <v>128.32</v>
      </c>
      <c r="I91" s="3"/>
      <c r="J91" s="3">
        <f t="shared" si="36"/>
        <v>73.56</v>
      </c>
      <c r="K91" s="3">
        <f t="shared" si="37"/>
        <v>87.5</v>
      </c>
      <c r="L91" s="34">
        <f t="shared" si="38"/>
        <v>83.75</v>
      </c>
      <c r="M91" s="3">
        <f t="shared" si="39"/>
        <v>-5.5600000000000005</v>
      </c>
      <c r="N91" s="3">
        <f t="shared" si="40"/>
        <v>150</v>
      </c>
      <c r="O91" s="3"/>
      <c r="P91" s="3">
        <f t="shared" si="41"/>
        <v>69.631237795275595</v>
      </c>
      <c r="Q91" s="3">
        <f t="shared" si="42"/>
        <v>109.8176</v>
      </c>
      <c r="R91" s="3">
        <f>vd(DataTable[[#This Row],[Sentido]],DataTable[[#This Row],[Valor]])</f>
        <v>76.691338582677162</v>
      </c>
      <c r="S91" s="3">
        <f>IF(DataTable[[#This Row],[Valor]]&gt;1,1,1)</f>
        <v>1</v>
      </c>
      <c r="T91" s="3">
        <f>IF(DataTable[[#This Row],[Valor]]&gt;1,1,1)</f>
        <v>1</v>
      </c>
      <c r="U91" s="3">
        <f>angr(DataTable[[#This Row],[Sentido]],DataTable[[#This Row],[Valor]])</f>
        <v>56.143307086614172</v>
      </c>
      <c r="V91" s="3">
        <f>ANGI(DataTable[[#This Row],[Sentido]],DataTable[[#This Row],[Valor]])</f>
        <v>57.237795275590557</v>
      </c>
      <c r="W91" s="3">
        <f t="shared" si="43"/>
        <v>2</v>
      </c>
      <c r="X91" s="3">
        <f>IF(DataTable[[#This Row],[Valor]]&gt;1,1,1)</f>
        <v>1</v>
      </c>
      <c r="Y91" s="3">
        <f t="shared" si="44"/>
        <v>2</v>
      </c>
      <c r="Z91" s="3">
        <f>IF(AND(DataTable[[#This Row],[Sentido]]="URUGUAI para BRASIL",DataTable[[#This Row],[Valor]]&gt;350),1,0)</f>
        <v>0</v>
      </c>
      <c r="AA91" s="3">
        <f>IF(DataTable[[#This Row],[Valor]]&gt;1,0,0)</f>
        <v>0</v>
      </c>
    </row>
    <row r="92" spans="1:27" x14ac:dyDescent="0.25">
      <c r="A92" s="2" t="s">
        <v>21</v>
      </c>
      <c r="B92" s="2">
        <v>140</v>
      </c>
      <c r="C92" s="3">
        <f t="shared" si="30"/>
        <v>81.25</v>
      </c>
      <c r="D92" s="3">
        <f t="shared" si="31"/>
        <v>87.5</v>
      </c>
      <c r="E92" s="3">
        <f t="shared" si="32"/>
        <v>83.75</v>
      </c>
      <c r="F92" s="3">
        <f t="shared" si="33"/>
        <v>53.8</v>
      </c>
      <c r="G92" s="3">
        <f t="shared" si="34"/>
        <v>128.19999999999999</v>
      </c>
      <c r="H92" s="3">
        <f t="shared" si="35"/>
        <v>128.19999999999999</v>
      </c>
      <c r="I92" s="3"/>
      <c r="J92" s="3">
        <f t="shared" si="36"/>
        <v>73.56</v>
      </c>
      <c r="K92" s="3">
        <f t="shared" si="37"/>
        <v>87.5</v>
      </c>
      <c r="L92" s="34">
        <f t="shared" si="38"/>
        <v>83.75</v>
      </c>
      <c r="M92" s="3">
        <f t="shared" si="39"/>
        <v>-5.6000000000000005</v>
      </c>
      <c r="N92" s="3">
        <f t="shared" si="40"/>
        <v>150</v>
      </c>
      <c r="O92" s="3"/>
      <c r="P92" s="3">
        <f t="shared" si="41"/>
        <v>69.970040944881902</v>
      </c>
      <c r="Q92" s="3">
        <f t="shared" si="42"/>
        <v>109.8176</v>
      </c>
      <c r="R92" s="3">
        <f>vd(DataTable[[#This Row],[Sentido]],DataTable[[#This Row],[Valor]])</f>
        <v>77.132283464566925</v>
      </c>
      <c r="S92" s="3">
        <f>IF(DataTable[[#This Row],[Valor]]&gt;1,1,1)</f>
        <v>1</v>
      </c>
      <c r="T92" s="3">
        <f>IF(DataTable[[#This Row],[Valor]]&gt;1,1,1)</f>
        <v>1</v>
      </c>
      <c r="U92" s="3">
        <f>angr(DataTable[[#This Row],[Sentido]],DataTable[[#This Row],[Valor]])</f>
        <v>55.938582677165357</v>
      </c>
      <c r="V92" s="3">
        <f>ANGI(DataTable[[#This Row],[Sentido]],DataTable[[#This Row],[Valor]])</f>
        <v>57.040944881889764</v>
      </c>
      <c r="W92" s="3">
        <f t="shared" si="43"/>
        <v>2</v>
      </c>
      <c r="X92" s="3">
        <f>IF(DataTable[[#This Row],[Valor]]&gt;1,1,1)</f>
        <v>1</v>
      </c>
      <c r="Y92" s="3">
        <f t="shared" si="44"/>
        <v>2</v>
      </c>
      <c r="Z92" s="3">
        <f>IF(AND(DataTable[[#This Row],[Sentido]]="URUGUAI para BRASIL",DataTable[[#This Row],[Valor]]&gt;350),1,0)</f>
        <v>0</v>
      </c>
      <c r="AA92" s="3">
        <f>IF(DataTable[[#This Row],[Valor]]&gt;1,0,0)</f>
        <v>0</v>
      </c>
    </row>
    <row r="93" spans="1:27" x14ac:dyDescent="0.25">
      <c r="A93" s="2" t="s">
        <v>21</v>
      </c>
      <c r="B93" s="2">
        <v>141</v>
      </c>
      <c r="C93" s="3">
        <f t="shared" si="30"/>
        <v>81.25</v>
      </c>
      <c r="D93" s="3">
        <f t="shared" si="31"/>
        <v>87.5</v>
      </c>
      <c r="E93" s="3">
        <f t="shared" si="32"/>
        <v>83.75</v>
      </c>
      <c r="F93" s="3">
        <f t="shared" si="33"/>
        <v>53.72</v>
      </c>
      <c r="G93" s="3">
        <f t="shared" si="34"/>
        <v>128.07999999999998</v>
      </c>
      <c r="H93" s="3">
        <f t="shared" si="35"/>
        <v>128.07999999999998</v>
      </c>
      <c r="I93" s="3"/>
      <c r="J93" s="3">
        <f t="shared" si="36"/>
        <v>73.56</v>
      </c>
      <c r="K93" s="3">
        <f t="shared" si="37"/>
        <v>87.5</v>
      </c>
      <c r="L93" s="34">
        <f t="shared" si="38"/>
        <v>83.75</v>
      </c>
      <c r="M93" s="3">
        <f t="shared" si="39"/>
        <v>-5.64</v>
      </c>
      <c r="N93" s="3">
        <f t="shared" si="40"/>
        <v>150</v>
      </c>
      <c r="O93" s="3"/>
      <c r="P93" s="3">
        <f t="shared" si="41"/>
        <v>70.308844094488194</v>
      </c>
      <c r="Q93" s="3">
        <f t="shared" si="42"/>
        <v>109.8176</v>
      </c>
      <c r="R93" s="3">
        <f>vd(DataTable[[#This Row],[Sentido]],DataTable[[#This Row],[Valor]])</f>
        <v>77.573228346456688</v>
      </c>
      <c r="S93" s="3">
        <f>IF(DataTable[[#This Row],[Valor]]&gt;1,1,1)</f>
        <v>1</v>
      </c>
      <c r="T93" s="3">
        <f>IF(DataTable[[#This Row],[Valor]]&gt;1,1,1)</f>
        <v>1</v>
      </c>
      <c r="U93" s="3">
        <f>angr(DataTable[[#This Row],[Sentido]],DataTable[[#This Row],[Valor]])</f>
        <v>55.733858267716535</v>
      </c>
      <c r="V93" s="3">
        <f>ANGI(DataTable[[#This Row],[Sentido]],DataTable[[#This Row],[Valor]])</f>
        <v>56.844094488188979</v>
      </c>
      <c r="W93" s="3">
        <f t="shared" si="43"/>
        <v>2</v>
      </c>
      <c r="X93" s="3">
        <f>IF(DataTable[[#This Row],[Valor]]&gt;1,1,1)</f>
        <v>1</v>
      </c>
      <c r="Y93" s="3">
        <f t="shared" si="44"/>
        <v>2</v>
      </c>
      <c r="Z93" s="3">
        <f>IF(AND(DataTable[[#This Row],[Sentido]]="URUGUAI para BRASIL",DataTable[[#This Row],[Valor]]&gt;350),1,0)</f>
        <v>0</v>
      </c>
      <c r="AA93" s="3">
        <f>IF(DataTable[[#This Row],[Valor]]&gt;1,0,0)</f>
        <v>0</v>
      </c>
    </row>
    <row r="94" spans="1:27" x14ac:dyDescent="0.25">
      <c r="A94" s="2" t="s">
        <v>21</v>
      </c>
      <c r="B94" s="2">
        <v>142</v>
      </c>
      <c r="C94" s="3">
        <f t="shared" si="30"/>
        <v>81.25</v>
      </c>
      <c r="D94" s="3">
        <f t="shared" si="31"/>
        <v>87.5</v>
      </c>
      <c r="E94" s="3">
        <f t="shared" si="32"/>
        <v>83.75</v>
      </c>
      <c r="F94" s="3">
        <f t="shared" si="33"/>
        <v>53.64</v>
      </c>
      <c r="G94" s="3">
        <f t="shared" si="34"/>
        <v>127.96000000000001</v>
      </c>
      <c r="H94" s="3">
        <f t="shared" si="35"/>
        <v>127.96000000000001</v>
      </c>
      <c r="I94" s="3"/>
      <c r="J94" s="3">
        <f t="shared" si="36"/>
        <v>73.56</v>
      </c>
      <c r="K94" s="3">
        <f t="shared" si="37"/>
        <v>87.5</v>
      </c>
      <c r="L94" s="34">
        <f t="shared" si="38"/>
        <v>83.75</v>
      </c>
      <c r="M94" s="3">
        <f t="shared" si="39"/>
        <v>-5.68</v>
      </c>
      <c r="N94" s="3">
        <f t="shared" si="40"/>
        <v>150</v>
      </c>
      <c r="O94" s="3"/>
      <c r="P94" s="3">
        <f t="shared" si="41"/>
        <v>70.647647244094486</v>
      </c>
      <c r="Q94" s="3">
        <f t="shared" si="42"/>
        <v>109.8176</v>
      </c>
      <c r="R94" s="3">
        <f>vd(DataTable[[#This Row],[Sentido]],DataTable[[#This Row],[Valor]])</f>
        <v>78.014173228346451</v>
      </c>
      <c r="S94" s="3">
        <f>IF(DataTable[[#This Row],[Valor]]&gt;1,1,1)</f>
        <v>1</v>
      </c>
      <c r="T94" s="3">
        <f>IF(DataTable[[#This Row],[Valor]]&gt;1,1,1)</f>
        <v>1</v>
      </c>
      <c r="U94" s="3">
        <f>angr(DataTable[[#This Row],[Sentido]],DataTable[[#This Row],[Valor]])</f>
        <v>55.529133858267713</v>
      </c>
      <c r="V94" s="3">
        <f>ANGI(DataTable[[#This Row],[Sentido]],DataTable[[#This Row],[Valor]])</f>
        <v>56.647244094488187</v>
      </c>
      <c r="W94" s="3">
        <f t="shared" si="43"/>
        <v>2</v>
      </c>
      <c r="X94" s="3">
        <f>IF(DataTable[[#This Row],[Valor]]&gt;1,1,1)</f>
        <v>1</v>
      </c>
      <c r="Y94" s="3">
        <f t="shared" si="44"/>
        <v>2</v>
      </c>
      <c r="Z94" s="3">
        <f>IF(AND(DataTable[[#This Row],[Sentido]]="URUGUAI para BRASIL",DataTable[[#This Row],[Valor]]&gt;350),1,0)</f>
        <v>0</v>
      </c>
      <c r="AA94" s="3">
        <f>IF(DataTable[[#This Row],[Valor]]&gt;1,0,0)</f>
        <v>0</v>
      </c>
    </row>
    <row r="95" spans="1:27" x14ac:dyDescent="0.25">
      <c r="A95" s="2" t="s">
        <v>21</v>
      </c>
      <c r="B95" s="2">
        <v>143</v>
      </c>
      <c r="C95" s="3">
        <f t="shared" si="30"/>
        <v>81.25</v>
      </c>
      <c r="D95" s="3">
        <f t="shared" si="31"/>
        <v>87.5</v>
      </c>
      <c r="E95" s="3">
        <f t="shared" si="32"/>
        <v>83.75</v>
      </c>
      <c r="F95" s="3">
        <f t="shared" si="33"/>
        <v>53.56</v>
      </c>
      <c r="G95" s="3">
        <f t="shared" si="34"/>
        <v>127.84</v>
      </c>
      <c r="H95" s="3">
        <f t="shared" si="35"/>
        <v>127.84</v>
      </c>
      <c r="I95" s="3"/>
      <c r="J95" s="3">
        <f t="shared" si="36"/>
        <v>73.56</v>
      </c>
      <c r="K95" s="3">
        <f t="shared" si="37"/>
        <v>87.5</v>
      </c>
      <c r="L95" s="34">
        <f t="shared" si="38"/>
        <v>83.75</v>
      </c>
      <c r="M95" s="3">
        <f t="shared" si="39"/>
        <v>-5.72</v>
      </c>
      <c r="N95" s="3">
        <f t="shared" si="40"/>
        <v>150</v>
      </c>
      <c r="O95" s="3"/>
      <c r="P95" s="3">
        <f t="shared" si="41"/>
        <v>70.986450393700792</v>
      </c>
      <c r="Q95" s="3">
        <f t="shared" si="42"/>
        <v>109.8176</v>
      </c>
      <c r="R95" s="3">
        <f>vd(DataTable[[#This Row],[Sentido]],DataTable[[#This Row],[Valor]])</f>
        <v>78.455118110236228</v>
      </c>
      <c r="S95" s="3">
        <f>IF(DataTable[[#This Row],[Valor]]&gt;1,1,1)</f>
        <v>1</v>
      </c>
      <c r="T95" s="3">
        <f>IF(DataTable[[#This Row],[Valor]]&gt;1,1,1)</f>
        <v>1</v>
      </c>
      <c r="U95" s="3">
        <f>angr(DataTable[[#This Row],[Sentido]],DataTable[[#This Row],[Valor]])</f>
        <v>55.324409448818898</v>
      </c>
      <c r="V95" s="3">
        <f>ANGI(DataTable[[#This Row],[Sentido]],DataTable[[#This Row],[Valor]])</f>
        <v>56.450393700787401</v>
      </c>
      <c r="W95" s="3">
        <f t="shared" si="43"/>
        <v>2</v>
      </c>
      <c r="X95" s="3">
        <f>IF(DataTable[[#This Row],[Valor]]&gt;1,1,1)</f>
        <v>1</v>
      </c>
      <c r="Y95" s="3">
        <f t="shared" si="44"/>
        <v>2</v>
      </c>
      <c r="Z95" s="3">
        <f>IF(AND(DataTable[[#This Row],[Sentido]]="URUGUAI para BRASIL",DataTable[[#This Row],[Valor]]&gt;350),1,0)</f>
        <v>0</v>
      </c>
      <c r="AA95" s="3">
        <f>IF(DataTable[[#This Row],[Valor]]&gt;1,0,0)</f>
        <v>0</v>
      </c>
    </row>
    <row r="96" spans="1:27" x14ac:dyDescent="0.25">
      <c r="A96" s="2" t="s">
        <v>21</v>
      </c>
      <c r="B96" s="2">
        <v>144</v>
      </c>
      <c r="C96" s="3">
        <f t="shared" si="30"/>
        <v>81.25</v>
      </c>
      <c r="D96" s="3">
        <f t="shared" si="31"/>
        <v>87.5</v>
      </c>
      <c r="E96" s="3">
        <f t="shared" si="32"/>
        <v>83.75</v>
      </c>
      <c r="F96" s="3">
        <f t="shared" si="33"/>
        <v>53.480000000000004</v>
      </c>
      <c r="G96" s="3">
        <f t="shared" si="34"/>
        <v>127.72</v>
      </c>
      <c r="H96" s="3">
        <f t="shared" si="35"/>
        <v>127.72</v>
      </c>
      <c r="I96" s="3"/>
      <c r="J96" s="3">
        <f t="shared" si="36"/>
        <v>73.56</v>
      </c>
      <c r="K96" s="3">
        <f t="shared" si="37"/>
        <v>87.5</v>
      </c>
      <c r="L96" s="34">
        <f t="shared" si="38"/>
        <v>83.75</v>
      </c>
      <c r="M96" s="3">
        <f t="shared" si="39"/>
        <v>-5.76</v>
      </c>
      <c r="N96" s="3">
        <f t="shared" si="40"/>
        <v>150</v>
      </c>
      <c r="O96" s="3"/>
      <c r="P96" s="3">
        <f t="shared" si="41"/>
        <v>71.325253543307085</v>
      </c>
      <c r="Q96" s="3">
        <f t="shared" si="42"/>
        <v>109.8176</v>
      </c>
      <c r="R96" s="3">
        <f>vd(DataTable[[#This Row],[Sentido]],DataTable[[#This Row],[Valor]])</f>
        <v>78.896062992125977</v>
      </c>
      <c r="S96" s="3">
        <f>IF(DataTable[[#This Row],[Valor]]&gt;1,1,1)</f>
        <v>1</v>
      </c>
      <c r="T96" s="3">
        <f>IF(DataTable[[#This Row],[Valor]]&gt;1,1,1)</f>
        <v>1</v>
      </c>
      <c r="U96" s="3">
        <f>angr(DataTable[[#This Row],[Sentido]],DataTable[[#This Row],[Valor]])</f>
        <v>55.119685039370076</v>
      </c>
      <c r="V96" s="3">
        <f>ANGI(DataTable[[#This Row],[Sentido]],DataTable[[#This Row],[Valor]])</f>
        <v>56.253543307086616</v>
      </c>
      <c r="W96" s="3">
        <f t="shared" si="43"/>
        <v>2</v>
      </c>
      <c r="X96" s="3">
        <f>IF(DataTable[[#This Row],[Valor]]&gt;1,1,1)</f>
        <v>1</v>
      </c>
      <c r="Y96" s="3">
        <f t="shared" si="44"/>
        <v>2</v>
      </c>
      <c r="Z96" s="3">
        <f>IF(AND(DataTable[[#This Row],[Sentido]]="URUGUAI para BRASIL",DataTable[[#This Row],[Valor]]&gt;350),1,0)</f>
        <v>0</v>
      </c>
      <c r="AA96" s="3">
        <f>IF(DataTable[[#This Row],[Valor]]&gt;1,0,0)</f>
        <v>0</v>
      </c>
    </row>
    <row r="97" spans="1:27" x14ac:dyDescent="0.25">
      <c r="A97" s="2" t="s">
        <v>21</v>
      </c>
      <c r="B97" s="2">
        <v>145</v>
      </c>
      <c r="C97" s="3">
        <f t="shared" si="30"/>
        <v>81.25</v>
      </c>
      <c r="D97" s="3">
        <f t="shared" si="31"/>
        <v>87.5</v>
      </c>
      <c r="E97" s="3">
        <f t="shared" si="32"/>
        <v>83.75</v>
      </c>
      <c r="F97" s="3">
        <f t="shared" si="33"/>
        <v>53.4</v>
      </c>
      <c r="G97" s="3">
        <f t="shared" si="34"/>
        <v>127.6</v>
      </c>
      <c r="H97" s="3">
        <f t="shared" si="35"/>
        <v>127.6</v>
      </c>
      <c r="I97" s="3"/>
      <c r="J97" s="3">
        <f t="shared" si="36"/>
        <v>73.56</v>
      </c>
      <c r="K97" s="3">
        <f t="shared" si="37"/>
        <v>87.5</v>
      </c>
      <c r="L97" s="34">
        <f t="shared" si="38"/>
        <v>83.75</v>
      </c>
      <c r="M97" s="3">
        <f t="shared" si="39"/>
        <v>-5.8</v>
      </c>
      <c r="N97" s="3">
        <f t="shared" si="40"/>
        <v>150</v>
      </c>
      <c r="O97" s="3"/>
      <c r="P97" s="3">
        <f t="shared" si="41"/>
        <v>71.664056692913391</v>
      </c>
      <c r="Q97" s="3">
        <f t="shared" si="42"/>
        <v>109.8176</v>
      </c>
      <c r="R97" s="3">
        <f>vd(DataTable[[#This Row],[Sentido]],DataTable[[#This Row],[Valor]])</f>
        <v>79.337007874015754</v>
      </c>
      <c r="S97" s="3">
        <f>IF(DataTable[[#This Row],[Valor]]&gt;1,1,1)</f>
        <v>1</v>
      </c>
      <c r="T97" s="3">
        <f>IF(DataTable[[#This Row],[Valor]]&gt;1,1,1)</f>
        <v>1</v>
      </c>
      <c r="U97" s="3">
        <f>angr(DataTable[[#This Row],[Sentido]],DataTable[[#This Row],[Valor]])</f>
        <v>54.914960629921261</v>
      </c>
      <c r="V97" s="3">
        <f>ANGI(DataTable[[#This Row],[Sentido]],DataTable[[#This Row],[Valor]])</f>
        <v>56.056692913385831</v>
      </c>
      <c r="W97" s="3">
        <f t="shared" si="43"/>
        <v>2</v>
      </c>
      <c r="X97" s="3">
        <f>IF(DataTable[[#This Row],[Valor]]&gt;1,1,1)</f>
        <v>1</v>
      </c>
      <c r="Y97" s="3">
        <f t="shared" si="44"/>
        <v>2</v>
      </c>
      <c r="Z97" s="3">
        <f>IF(AND(DataTable[[#This Row],[Sentido]]="URUGUAI para BRASIL",DataTable[[#This Row],[Valor]]&gt;350),1,0)</f>
        <v>0</v>
      </c>
      <c r="AA97" s="3">
        <f>IF(DataTable[[#This Row],[Valor]]&gt;1,0,0)</f>
        <v>0</v>
      </c>
    </row>
    <row r="98" spans="1:27" x14ac:dyDescent="0.25">
      <c r="A98" s="2" t="s">
        <v>21</v>
      </c>
      <c r="B98" s="2">
        <v>146</v>
      </c>
      <c r="C98" s="3">
        <f t="shared" si="30"/>
        <v>81.25</v>
      </c>
      <c r="D98" s="3">
        <f t="shared" si="31"/>
        <v>87.5</v>
      </c>
      <c r="E98" s="3">
        <f t="shared" si="32"/>
        <v>83.75</v>
      </c>
      <c r="F98" s="3">
        <f t="shared" si="33"/>
        <v>53.32</v>
      </c>
      <c r="G98" s="3">
        <f t="shared" si="34"/>
        <v>127.48</v>
      </c>
      <c r="H98" s="3">
        <f t="shared" si="35"/>
        <v>127.48</v>
      </c>
      <c r="I98" s="3"/>
      <c r="J98" s="3">
        <f t="shared" si="36"/>
        <v>73.56</v>
      </c>
      <c r="K98" s="3">
        <f t="shared" si="37"/>
        <v>87.5</v>
      </c>
      <c r="L98" s="34">
        <f t="shared" si="38"/>
        <v>83.75</v>
      </c>
      <c r="M98" s="3">
        <f t="shared" si="39"/>
        <v>-5.84</v>
      </c>
      <c r="N98" s="3">
        <f t="shared" si="40"/>
        <v>150</v>
      </c>
      <c r="O98" s="3"/>
      <c r="P98" s="3">
        <f t="shared" si="41"/>
        <v>72.002859842519683</v>
      </c>
      <c r="Q98" s="3">
        <f t="shared" si="42"/>
        <v>109.8176</v>
      </c>
      <c r="R98" s="3">
        <f>vd(DataTable[[#This Row],[Sentido]],DataTable[[#This Row],[Valor]])</f>
        <v>79.777952755905503</v>
      </c>
      <c r="S98" s="3">
        <f>IF(DataTable[[#This Row],[Valor]]&gt;1,1,1)</f>
        <v>1</v>
      </c>
      <c r="T98" s="3">
        <f>IF(DataTable[[#This Row],[Valor]]&gt;1,1,1)</f>
        <v>1</v>
      </c>
      <c r="U98" s="3">
        <f>angr(DataTable[[#This Row],[Sentido]],DataTable[[#This Row],[Valor]])</f>
        <v>54.710236220472439</v>
      </c>
      <c r="V98" s="3">
        <f>ANGI(DataTable[[#This Row],[Sentido]],DataTable[[#This Row],[Valor]])</f>
        <v>55.859842519685046</v>
      </c>
      <c r="W98" s="3">
        <f t="shared" si="43"/>
        <v>2</v>
      </c>
      <c r="X98" s="3">
        <f>IF(DataTable[[#This Row],[Valor]]&gt;1,1,1)</f>
        <v>1</v>
      </c>
      <c r="Y98" s="3">
        <f t="shared" si="44"/>
        <v>2</v>
      </c>
      <c r="Z98" s="3">
        <f>IF(AND(DataTable[[#This Row],[Sentido]]="URUGUAI para BRASIL",DataTable[[#This Row],[Valor]]&gt;350),1,0)</f>
        <v>0</v>
      </c>
      <c r="AA98" s="3">
        <f>IF(DataTable[[#This Row],[Valor]]&gt;1,0,0)</f>
        <v>0</v>
      </c>
    </row>
    <row r="99" spans="1:27" x14ac:dyDescent="0.25">
      <c r="A99" s="2" t="s">
        <v>21</v>
      </c>
      <c r="B99" s="2">
        <v>147</v>
      </c>
      <c r="C99" s="3">
        <f t="shared" si="30"/>
        <v>81.25</v>
      </c>
      <c r="D99" s="3">
        <f t="shared" si="31"/>
        <v>87.5</v>
      </c>
      <c r="E99" s="3">
        <f t="shared" si="32"/>
        <v>83.75</v>
      </c>
      <c r="F99" s="3">
        <f t="shared" si="33"/>
        <v>53.24</v>
      </c>
      <c r="G99" s="3">
        <f t="shared" si="34"/>
        <v>127.36</v>
      </c>
      <c r="H99" s="3">
        <f t="shared" si="35"/>
        <v>127.36</v>
      </c>
      <c r="I99" s="3"/>
      <c r="J99" s="3">
        <f t="shared" si="36"/>
        <v>73.56</v>
      </c>
      <c r="K99" s="3">
        <f t="shared" si="37"/>
        <v>87.5</v>
      </c>
      <c r="L99" s="34">
        <f t="shared" si="38"/>
        <v>83.75</v>
      </c>
      <c r="M99" s="3">
        <f t="shared" si="39"/>
        <v>-5.88</v>
      </c>
      <c r="N99" s="3">
        <f t="shared" si="40"/>
        <v>150</v>
      </c>
      <c r="O99" s="3"/>
      <c r="P99" s="3">
        <f t="shared" si="41"/>
        <v>72.34166299212599</v>
      </c>
      <c r="Q99" s="3">
        <f t="shared" si="42"/>
        <v>109.8176</v>
      </c>
      <c r="R99" s="3">
        <f>vd(DataTable[[#This Row],[Sentido]],DataTable[[#This Row],[Valor]])</f>
        <v>80.218897637795266</v>
      </c>
      <c r="S99" s="3">
        <f>IF(DataTable[[#This Row],[Valor]]&gt;1,1,1)</f>
        <v>1</v>
      </c>
      <c r="T99" s="3">
        <f>IF(DataTable[[#This Row],[Valor]]&gt;1,1,1)</f>
        <v>1</v>
      </c>
      <c r="U99" s="3">
        <f>angr(DataTable[[#This Row],[Sentido]],DataTable[[#This Row],[Valor]])</f>
        <v>54.505511811023624</v>
      </c>
      <c r="V99" s="3">
        <f>ANGI(DataTable[[#This Row],[Sentido]],DataTable[[#This Row],[Valor]])</f>
        <v>55.662992125984253</v>
      </c>
      <c r="W99" s="3">
        <f t="shared" si="43"/>
        <v>2</v>
      </c>
      <c r="X99" s="3">
        <f>IF(DataTable[[#This Row],[Valor]]&gt;1,1,1)</f>
        <v>1</v>
      </c>
      <c r="Y99" s="3">
        <f t="shared" si="44"/>
        <v>2</v>
      </c>
      <c r="Z99" s="3">
        <f>IF(AND(DataTable[[#This Row],[Sentido]]="URUGUAI para BRASIL",DataTable[[#This Row],[Valor]]&gt;350),1,0)</f>
        <v>0</v>
      </c>
      <c r="AA99" s="3">
        <f>IF(DataTable[[#This Row],[Valor]]&gt;1,0,0)</f>
        <v>0</v>
      </c>
    </row>
    <row r="100" spans="1:27" x14ac:dyDescent="0.25">
      <c r="A100" s="2" t="s">
        <v>21</v>
      </c>
      <c r="B100" s="2">
        <v>148</v>
      </c>
      <c r="C100" s="3">
        <f t="shared" si="30"/>
        <v>81.25</v>
      </c>
      <c r="D100" s="3">
        <f t="shared" si="31"/>
        <v>87.5</v>
      </c>
      <c r="E100" s="3">
        <f t="shared" si="32"/>
        <v>83.75</v>
      </c>
      <c r="F100" s="3">
        <f t="shared" si="33"/>
        <v>53.16</v>
      </c>
      <c r="G100" s="3">
        <f t="shared" si="34"/>
        <v>127.24000000000001</v>
      </c>
      <c r="H100" s="3">
        <f t="shared" si="35"/>
        <v>127.24000000000001</v>
      </c>
      <c r="I100" s="3"/>
      <c r="J100" s="3">
        <f t="shared" si="36"/>
        <v>73.56</v>
      </c>
      <c r="K100" s="3">
        <f t="shared" si="37"/>
        <v>87.5</v>
      </c>
      <c r="L100" s="34">
        <f t="shared" si="38"/>
        <v>83.75</v>
      </c>
      <c r="M100" s="3">
        <f t="shared" si="39"/>
        <v>-5.92</v>
      </c>
      <c r="N100" s="3">
        <f t="shared" si="40"/>
        <v>150</v>
      </c>
      <c r="O100" s="3"/>
      <c r="P100" s="3">
        <f t="shared" si="41"/>
        <v>72.680466141732296</v>
      </c>
      <c r="Q100" s="3">
        <f t="shared" si="42"/>
        <v>109.8176</v>
      </c>
      <c r="R100" s="3">
        <f>vd(DataTable[[#This Row],[Sentido]],DataTable[[#This Row],[Valor]])</f>
        <v>80.659842519685043</v>
      </c>
      <c r="S100" s="3">
        <f>IF(DataTable[[#This Row],[Valor]]&gt;1,1,1)</f>
        <v>1</v>
      </c>
      <c r="T100" s="3">
        <f>IF(DataTable[[#This Row],[Valor]]&gt;1,1,1)</f>
        <v>1</v>
      </c>
      <c r="U100" s="3">
        <f>angr(DataTable[[#This Row],[Sentido]],DataTable[[#This Row],[Valor]])</f>
        <v>54.300787401574802</v>
      </c>
      <c r="V100" s="3">
        <f>ANGI(DataTable[[#This Row],[Sentido]],DataTable[[#This Row],[Valor]])</f>
        <v>55.466141732283461</v>
      </c>
      <c r="W100" s="3">
        <f t="shared" si="43"/>
        <v>2</v>
      </c>
      <c r="X100" s="3">
        <f>IF(DataTable[[#This Row],[Valor]]&gt;1,1,1)</f>
        <v>1</v>
      </c>
      <c r="Y100" s="3">
        <f t="shared" si="44"/>
        <v>2</v>
      </c>
      <c r="Z100" s="3">
        <f>IF(AND(DataTable[[#This Row],[Sentido]]="URUGUAI para BRASIL",DataTable[[#This Row],[Valor]]&gt;350),1,0)</f>
        <v>0</v>
      </c>
      <c r="AA100" s="3">
        <f>IF(DataTable[[#This Row],[Valor]]&gt;1,0,0)</f>
        <v>0</v>
      </c>
    </row>
    <row r="101" spans="1:27" x14ac:dyDescent="0.25">
      <c r="A101" s="2" t="s">
        <v>21</v>
      </c>
      <c r="B101" s="2">
        <v>149</v>
      </c>
      <c r="C101" s="3">
        <f t="shared" si="30"/>
        <v>81.25</v>
      </c>
      <c r="D101" s="3">
        <f t="shared" si="31"/>
        <v>87.5</v>
      </c>
      <c r="E101" s="3">
        <f t="shared" si="32"/>
        <v>83.75</v>
      </c>
      <c r="F101" s="3">
        <f t="shared" si="33"/>
        <v>53.08</v>
      </c>
      <c r="G101" s="3">
        <f t="shared" si="34"/>
        <v>127.12</v>
      </c>
      <c r="H101" s="3">
        <f t="shared" si="35"/>
        <v>127.12</v>
      </c>
      <c r="I101" s="3"/>
      <c r="J101" s="3">
        <f t="shared" si="36"/>
        <v>73.56</v>
      </c>
      <c r="K101" s="3">
        <f t="shared" si="37"/>
        <v>87.5</v>
      </c>
      <c r="L101" s="34">
        <f t="shared" si="38"/>
        <v>83.75</v>
      </c>
      <c r="M101" s="3">
        <f t="shared" si="39"/>
        <v>-5.96</v>
      </c>
      <c r="N101" s="3">
        <f t="shared" si="40"/>
        <v>150</v>
      </c>
      <c r="O101" s="3"/>
      <c r="P101" s="3">
        <f t="shared" si="41"/>
        <v>73.019269291338588</v>
      </c>
      <c r="Q101" s="3">
        <f t="shared" si="42"/>
        <v>109.8176</v>
      </c>
      <c r="R101" s="3">
        <f>vd(DataTable[[#This Row],[Sentido]],DataTable[[#This Row],[Valor]])</f>
        <v>81.100787401574792</v>
      </c>
      <c r="S101" s="3">
        <f>IF(DataTable[[#This Row],[Valor]]&gt;1,1,1)</f>
        <v>1</v>
      </c>
      <c r="T101" s="3">
        <f>IF(DataTable[[#This Row],[Valor]]&gt;1,1,1)</f>
        <v>1</v>
      </c>
      <c r="U101" s="3">
        <f>angr(DataTable[[#This Row],[Sentido]],DataTable[[#This Row],[Valor]])</f>
        <v>54.096062992125987</v>
      </c>
      <c r="V101" s="3">
        <f>ANGI(DataTable[[#This Row],[Sentido]],DataTable[[#This Row],[Valor]])</f>
        <v>55.269291338582676</v>
      </c>
      <c r="W101" s="3">
        <f t="shared" si="43"/>
        <v>2</v>
      </c>
      <c r="X101" s="3">
        <f>IF(DataTable[[#This Row],[Valor]]&gt;1,1,1)</f>
        <v>1</v>
      </c>
      <c r="Y101" s="3">
        <f t="shared" si="44"/>
        <v>2</v>
      </c>
      <c r="Z101" s="3">
        <f>IF(AND(DataTable[[#This Row],[Sentido]]="URUGUAI para BRASIL",DataTable[[#This Row],[Valor]]&gt;350),1,0)</f>
        <v>0</v>
      </c>
      <c r="AA101" s="3">
        <f>IF(DataTable[[#This Row],[Valor]]&gt;1,0,0)</f>
        <v>0</v>
      </c>
    </row>
    <row r="102" spans="1:27" x14ac:dyDescent="0.25">
      <c r="A102" s="2" t="s">
        <v>21</v>
      </c>
      <c r="B102" s="2">
        <v>150</v>
      </c>
      <c r="C102" s="3">
        <f t="shared" si="30"/>
        <v>81.25</v>
      </c>
      <c r="D102" s="3">
        <f t="shared" si="31"/>
        <v>87.5</v>
      </c>
      <c r="E102" s="3">
        <f t="shared" si="32"/>
        <v>83.75</v>
      </c>
      <c r="F102" s="3">
        <f t="shared" si="33"/>
        <v>53</v>
      </c>
      <c r="G102" s="3">
        <f t="shared" si="34"/>
        <v>127</v>
      </c>
      <c r="H102" s="3">
        <f t="shared" si="35"/>
        <v>127</v>
      </c>
      <c r="I102" s="3"/>
      <c r="J102" s="3">
        <f t="shared" si="36"/>
        <v>73.56</v>
      </c>
      <c r="K102" s="3">
        <f t="shared" si="37"/>
        <v>87.5</v>
      </c>
      <c r="L102" s="34">
        <f t="shared" si="38"/>
        <v>83.75</v>
      </c>
      <c r="M102" s="3">
        <f t="shared" si="39"/>
        <v>-6</v>
      </c>
      <c r="N102" s="3">
        <f t="shared" si="40"/>
        <v>150</v>
      </c>
      <c r="O102" s="3"/>
      <c r="P102" s="3">
        <f t="shared" si="41"/>
        <v>73.358072440944881</v>
      </c>
      <c r="Q102" s="3">
        <f t="shared" si="42"/>
        <v>109.8176</v>
      </c>
      <c r="R102" s="3">
        <f>vd(DataTable[[#This Row],[Sentido]],DataTable[[#This Row],[Valor]])</f>
        <v>81.541732283464569</v>
      </c>
      <c r="S102" s="3">
        <f>IF(DataTable[[#This Row],[Valor]]&gt;1,1,1)</f>
        <v>1</v>
      </c>
      <c r="T102" s="3">
        <f>IF(DataTable[[#This Row],[Valor]]&gt;1,1,1)</f>
        <v>1</v>
      </c>
      <c r="U102" s="3">
        <f>angr(DataTable[[#This Row],[Sentido]],DataTable[[#This Row],[Valor]])</f>
        <v>53.891338582677164</v>
      </c>
      <c r="V102" s="3">
        <f>ANGI(DataTable[[#This Row],[Sentido]],DataTable[[#This Row],[Valor]])</f>
        <v>55.07244094488189</v>
      </c>
      <c r="W102" s="3">
        <f t="shared" si="43"/>
        <v>2</v>
      </c>
      <c r="X102" s="3">
        <f>IF(DataTable[[#This Row],[Valor]]&gt;1,1,1)</f>
        <v>1</v>
      </c>
      <c r="Y102" s="3">
        <f t="shared" si="44"/>
        <v>2</v>
      </c>
      <c r="Z102" s="3">
        <f>IF(AND(DataTable[[#This Row],[Sentido]]="URUGUAI para BRASIL",DataTable[[#This Row],[Valor]]&gt;350),1,0)</f>
        <v>0</v>
      </c>
      <c r="AA102" s="3">
        <f>IF(DataTable[[#This Row],[Valor]]&gt;1,0,0)</f>
        <v>0</v>
      </c>
    </row>
    <row r="103" spans="1:27" x14ac:dyDescent="0.25">
      <c r="A103" s="2" t="s">
        <v>21</v>
      </c>
      <c r="B103" s="2">
        <v>151</v>
      </c>
      <c r="C103" s="3">
        <f t="shared" si="30"/>
        <v>81.25</v>
      </c>
      <c r="D103" s="3">
        <f t="shared" si="31"/>
        <v>87.5</v>
      </c>
      <c r="E103" s="3">
        <f t="shared" si="32"/>
        <v>83.75</v>
      </c>
      <c r="F103" s="3">
        <f t="shared" si="33"/>
        <v>52.92</v>
      </c>
      <c r="G103" s="3">
        <f t="shared" si="34"/>
        <v>126.88</v>
      </c>
      <c r="H103" s="3">
        <f t="shared" si="35"/>
        <v>126.88</v>
      </c>
      <c r="I103" s="3"/>
      <c r="J103" s="3">
        <f t="shared" si="36"/>
        <v>73.56</v>
      </c>
      <c r="K103" s="3">
        <f t="shared" si="37"/>
        <v>87.5</v>
      </c>
      <c r="L103" s="34">
        <f t="shared" si="38"/>
        <v>83.75</v>
      </c>
      <c r="M103" s="3">
        <f t="shared" si="39"/>
        <v>-6.04</v>
      </c>
      <c r="N103" s="3">
        <f t="shared" si="40"/>
        <v>150</v>
      </c>
      <c r="O103" s="3"/>
      <c r="P103" s="3">
        <f t="shared" si="41"/>
        <v>73.696875590551187</v>
      </c>
      <c r="Q103" s="3">
        <f t="shared" si="42"/>
        <v>109.8176</v>
      </c>
      <c r="R103" s="3">
        <f>vd(DataTable[[#This Row],[Sentido]],DataTable[[#This Row],[Valor]])</f>
        <v>81.982677165354318</v>
      </c>
      <c r="S103" s="3">
        <f>IF(DataTable[[#This Row],[Valor]]&gt;1,1,1)</f>
        <v>1</v>
      </c>
      <c r="T103" s="3">
        <f>IF(DataTable[[#This Row],[Valor]]&gt;1,1,1)</f>
        <v>1</v>
      </c>
      <c r="U103" s="3">
        <f>angr(DataTable[[#This Row],[Sentido]],DataTable[[#This Row],[Valor]])</f>
        <v>53.68661417322835</v>
      </c>
      <c r="V103" s="3">
        <f>ANGI(DataTable[[#This Row],[Sentido]],DataTable[[#This Row],[Valor]])</f>
        <v>54.875590551181105</v>
      </c>
      <c r="W103" s="3">
        <f t="shared" si="43"/>
        <v>2</v>
      </c>
      <c r="X103" s="3">
        <f>IF(DataTable[[#This Row],[Valor]]&gt;1,1,1)</f>
        <v>1</v>
      </c>
      <c r="Y103" s="3">
        <f t="shared" si="44"/>
        <v>2</v>
      </c>
      <c r="Z103" s="3">
        <f>IF(AND(DataTable[[#This Row],[Sentido]]="URUGUAI para BRASIL",DataTable[[#This Row],[Valor]]&gt;350),1,0)</f>
        <v>0</v>
      </c>
      <c r="AA103" s="3">
        <f>IF(DataTable[[#This Row],[Valor]]&gt;1,0,0)</f>
        <v>0</v>
      </c>
    </row>
    <row r="104" spans="1:27" x14ac:dyDescent="0.25">
      <c r="A104" s="2" t="s">
        <v>21</v>
      </c>
      <c r="B104" s="2">
        <v>152</v>
      </c>
      <c r="C104" s="3">
        <f t="shared" si="30"/>
        <v>81.25</v>
      </c>
      <c r="D104" s="3">
        <f t="shared" si="31"/>
        <v>87.5</v>
      </c>
      <c r="E104" s="3">
        <f t="shared" si="32"/>
        <v>83.75</v>
      </c>
      <c r="F104" s="3">
        <f t="shared" si="33"/>
        <v>52.84</v>
      </c>
      <c r="G104" s="3">
        <f t="shared" si="34"/>
        <v>126.75999999999999</v>
      </c>
      <c r="H104" s="3">
        <f t="shared" si="35"/>
        <v>126.75999999999999</v>
      </c>
      <c r="I104" s="3"/>
      <c r="J104" s="3">
        <f t="shared" si="36"/>
        <v>73.56</v>
      </c>
      <c r="K104" s="3">
        <f t="shared" si="37"/>
        <v>87.5</v>
      </c>
      <c r="L104" s="34">
        <f t="shared" si="38"/>
        <v>83.75</v>
      </c>
      <c r="M104" s="3">
        <f t="shared" si="39"/>
        <v>-6.08</v>
      </c>
      <c r="N104" s="3">
        <f t="shared" si="40"/>
        <v>150</v>
      </c>
      <c r="O104" s="3"/>
      <c r="P104" s="3">
        <f t="shared" si="41"/>
        <v>74.035678740157479</v>
      </c>
      <c r="Q104" s="3">
        <f t="shared" si="42"/>
        <v>109.8176</v>
      </c>
      <c r="R104" s="3">
        <f>vd(DataTable[[#This Row],[Sentido]],DataTable[[#This Row],[Valor]])</f>
        <v>82.423622047244095</v>
      </c>
      <c r="S104" s="3">
        <f>IF(DataTable[[#This Row],[Valor]]&gt;1,1,1)</f>
        <v>1</v>
      </c>
      <c r="T104" s="3">
        <f>IF(DataTable[[#This Row],[Valor]]&gt;1,1,1)</f>
        <v>1</v>
      </c>
      <c r="U104" s="3">
        <f>angr(DataTable[[#This Row],[Sentido]],DataTable[[#This Row],[Valor]])</f>
        <v>53.481889763779527</v>
      </c>
      <c r="V104" s="3">
        <f>ANGI(DataTable[[#This Row],[Sentido]],DataTable[[#This Row],[Valor]])</f>
        <v>54.67874015748032</v>
      </c>
      <c r="W104" s="3">
        <f t="shared" si="43"/>
        <v>2</v>
      </c>
      <c r="X104" s="3">
        <f>IF(DataTable[[#This Row],[Valor]]&gt;1,1,1)</f>
        <v>1</v>
      </c>
      <c r="Y104" s="3">
        <f t="shared" si="44"/>
        <v>2</v>
      </c>
      <c r="Z104" s="3">
        <f>IF(AND(DataTable[[#This Row],[Sentido]]="URUGUAI para BRASIL",DataTable[[#This Row],[Valor]]&gt;350),1,0)</f>
        <v>0</v>
      </c>
      <c r="AA104" s="3">
        <f>IF(DataTable[[#This Row],[Valor]]&gt;1,0,0)</f>
        <v>0</v>
      </c>
    </row>
    <row r="105" spans="1:27" x14ac:dyDescent="0.25">
      <c r="A105" s="2" t="s">
        <v>21</v>
      </c>
      <c r="B105" s="2">
        <v>153</v>
      </c>
      <c r="C105" s="3">
        <f t="shared" si="30"/>
        <v>81.25</v>
      </c>
      <c r="D105" s="3">
        <f t="shared" si="31"/>
        <v>87.5</v>
      </c>
      <c r="E105" s="3">
        <f t="shared" si="32"/>
        <v>83.75</v>
      </c>
      <c r="F105" s="3">
        <f t="shared" si="33"/>
        <v>52.76</v>
      </c>
      <c r="G105" s="3">
        <f t="shared" si="34"/>
        <v>126.64</v>
      </c>
      <c r="H105" s="3">
        <f t="shared" si="35"/>
        <v>126.64</v>
      </c>
      <c r="I105" s="3"/>
      <c r="J105" s="3">
        <f t="shared" si="36"/>
        <v>73.56</v>
      </c>
      <c r="K105" s="3">
        <f t="shared" si="37"/>
        <v>87.5</v>
      </c>
      <c r="L105" s="34">
        <f t="shared" si="38"/>
        <v>83.75</v>
      </c>
      <c r="M105" s="3">
        <f t="shared" si="39"/>
        <v>-6.12</v>
      </c>
      <c r="N105" s="3">
        <f t="shared" si="40"/>
        <v>150</v>
      </c>
      <c r="O105" s="3"/>
      <c r="P105" s="3">
        <f t="shared" si="41"/>
        <v>74.374481889763786</v>
      </c>
      <c r="Q105" s="3">
        <f t="shared" si="42"/>
        <v>109.8176</v>
      </c>
      <c r="R105" s="3">
        <f>vd(DataTable[[#This Row],[Sentido]],DataTable[[#This Row],[Valor]])</f>
        <v>82.826771653543304</v>
      </c>
      <c r="S105" s="3">
        <f>IF(DataTable[[#This Row],[Valor]]&gt;1,1,1)</f>
        <v>1</v>
      </c>
      <c r="T105" s="3">
        <f>IF(DataTable[[#This Row],[Valor]]&gt;1,1,1)</f>
        <v>1</v>
      </c>
      <c r="U105" s="3">
        <f>angr(DataTable[[#This Row],[Sentido]],DataTable[[#This Row],[Valor]])</f>
        <v>53.286614173228344</v>
      </c>
      <c r="V105" s="3">
        <f>ANGI(DataTable[[#This Row],[Sentido]],DataTable[[#This Row],[Valor]])</f>
        <v>54.491338582677166</v>
      </c>
      <c r="W105" s="3">
        <f t="shared" si="43"/>
        <v>2</v>
      </c>
      <c r="X105" s="3">
        <f>IF(DataTable[[#This Row],[Valor]]&gt;1,1,1)</f>
        <v>1</v>
      </c>
      <c r="Y105" s="3">
        <f t="shared" si="44"/>
        <v>2</v>
      </c>
      <c r="Z105" s="3">
        <f>IF(AND(DataTable[[#This Row],[Sentido]]="URUGUAI para BRASIL",DataTable[[#This Row],[Valor]]&gt;350),1,0)</f>
        <v>0</v>
      </c>
      <c r="AA105" s="3">
        <f>IF(DataTable[[#This Row],[Valor]]&gt;1,0,0)</f>
        <v>0</v>
      </c>
    </row>
    <row r="106" spans="1:27" x14ac:dyDescent="0.25">
      <c r="A106" s="2" t="s">
        <v>21</v>
      </c>
      <c r="B106" s="2">
        <v>154</v>
      </c>
      <c r="C106" s="3">
        <f t="shared" si="30"/>
        <v>81.25</v>
      </c>
      <c r="D106" s="3">
        <f t="shared" si="31"/>
        <v>87.5</v>
      </c>
      <c r="E106" s="3">
        <f t="shared" si="32"/>
        <v>83.75</v>
      </c>
      <c r="F106" s="3">
        <f t="shared" si="33"/>
        <v>52.68</v>
      </c>
      <c r="G106" s="3">
        <f t="shared" si="34"/>
        <v>126.52000000000001</v>
      </c>
      <c r="H106" s="3">
        <f t="shared" si="35"/>
        <v>126.52000000000001</v>
      </c>
      <c r="I106" s="3"/>
      <c r="J106" s="3">
        <f t="shared" si="36"/>
        <v>73.56</v>
      </c>
      <c r="K106" s="3">
        <f t="shared" si="37"/>
        <v>87.5</v>
      </c>
      <c r="L106" s="34">
        <f t="shared" si="38"/>
        <v>83.75</v>
      </c>
      <c r="M106" s="3">
        <f t="shared" si="39"/>
        <v>-6.16</v>
      </c>
      <c r="N106" s="3">
        <f t="shared" si="40"/>
        <v>150</v>
      </c>
      <c r="O106" s="3"/>
      <c r="P106" s="3">
        <f t="shared" si="41"/>
        <v>74.713285039370078</v>
      </c>
      <c r="Q106" s="3">
        <f t="shared" si="42"/>
        <v>109.8176</v>
      </c>
      <c r="R106" s="3">
        <f>vd(DataTable[[#This Row],[Sentido]],DataTable[[#This Row],[Valor]])</f>
        <v>83.204724409448815</v>
      </c>
      <c r="S106" s="3">
        <f>IF(DataTable[[#This Row],[Valor]]&gt;1,1,1)</f>
        <v>1</v>
      </c>
      <c r="T106" s="3">
        <f>IF(DataTable[[#This Row],[Valor]]&gt;1,1,1)</f>
        <v>1</v>
      </c>
      <c r="U106" s="3">
        <f>angr(DataTable[[#This Row],[Sentido]],DataTable[[#This Row],[Valor]])</f>
        <v>53.097637795275588</v>
      </c>
      <c r="V106" s="3">
        <f>ANGI(DataTable[[#This Row],[Sentido]],DataTable[[#This Row],[Valor]])</f>
        <v>54.31023622047244</v>
      </c>
      <c r="W106" s="3">
        <f t="shared" si="43"/>
        <v>2</v>
      </c>
      <c r="X106" s="3">
        <f>IF(DataTable[[#This Row],[Valor]]&gt;1,1,1)</f>
        <v>1</v>
      </c>
      <c r="Y106" s="3">
        <f t="shared" si="44"/>
        <v>2</v>
      </c>
      <c r="Z106" s="3">
        <f>IF(AND(DataTable[[#This Row],[Sentido]]="URUGUAI para BRASIL",DataTable[[#This Row],[Valor]]&gt;350),1,0)</f>
        <v>0</v>
      </c>
      <c r="AA106" s="3">
        <f>IF(DataTable[[#This Row],[Valor]]&gt;1,0,0)</f>
        <v>0</v>
      </c>
    </row>
    <row r="107" spans="1:27" x14ac:dyDescent="0.25">
      <c r="A107" s="2" t="s">
        <v>21</v>
      </c>
      <c r="B107" s="2">
        <v>155</v>
      </c>
      <c r="C107" s="3">
        <f t="shared" si="30"/>
        <v>81.25</v>
      </c>
      <c r="D107" s="3">
        <f t="shared" si="31"/>
        <v>87.5</v>
      </c>
      <c r="E107" s="3">
        <f t="shared" si="32"/>
        <v>83.75</v>
      </c>
      <c r="F107" s="3">
        <f t="shared" si="33"/>
        <v>52.6</v>
      </c>
      <c r="G107" s="3">
        <f t="shared" si="34"/>
        <v>126.4</v>
      </c>
      <c r="H107" s="3">
        <f t="shared" si="35"/>
        <v>126.4</v>
      </c>
      <c r="I107" s="3"/>
      <c r="J107" s="3">
        <f t="shared" si="36"/>
        <v>73.56</v>
      </c>
      <c r="K107" s="3">
        <f t="shared" si="37"/>
        <v>87.5</v>
      </c>
      <c r="L107" s="34">
        <f t="shared" si="38"/>
        <v>83.75</v>
      </c>
      <c r="M107" s="3">
        <f t="shared" si="39"/>
        <v>-6.2</v>
      </c>
      <c r="N107" s="3">
        <f t="shared" si="40"/>
        <v>150</v>
      </c>
      <c r="O107" s="3"/>
      <c r="P107" s="3">
        <f t="shared" si="41"/>
        <v>75.052088188976384</v>
      </c>
      <c r="Q107" s="3">
        <f t="shared" si="42"/>
        <v>109.8176</v>
      </c>
      <c r="R107" s="3">
        <f>vd(DataTable[[#This Row],[Sentido]],DataTable[[#This Row],[Valor]])</f>
        <v>83.582677165354326</v>
      </c>
      <c r="S107" s="3">
        <f>IF(DataTable[[#This Row],[Valor]]&gt;1,1,1)</f>
        <v>1</v>
      </c>
      <c r="T107" s="3">
        <f>IF(DataTable[[#This Row],[Valor]]&gt;1,1,1)</f>
        <v>1</v>
      </c>
      <c r="U107" s="3">
        <f>angr(DataTable[[#This Row],[Sentido]],DataTable[[#This Row],[Valor]])</f>
        <v>52.908661417322833</v>
      </c>
      <c r="V107" s="3">
        <f>ANGI(DataTable[[#This Row],[Sentido]],DataTable[[#This Row],[Valor]])</f>
        <v>54.129133858267714</v>
      </c>
      <c r="W107" s="3">
        <f t="shared" si="43"/>
        <v>2</v>
      </c>
      <c r="X107" s="3">
        <f>IF(DataTable[[#This Row],[Valor]]&gt;1,1,1)</f>
        <v>1</v>
      </c>
      <c r="Y107" s="3">
        <f t="shared" si="44"/>
        <v>2</v>
      </c>
      <c r="Z107" s="3">
        <f>IF(AND(DataTable[[#This Row],[Sentido]]="URUGUAI para BRASIL",DataTable[[#This Row],[Valor]]&gt;350),1,0)</f>
        <v>0</v>
      </c>
      <c r="AA107" s="3">
        <f>IF(DataTable[[#This Row],[Valor]]&gt;1,0,0)</f>
        <v>0</v>
      </c>
    </row>
    <row r="108" spans="1:27" x14ac:dyDescent="0.25">
      <c r="A108" s="2" t="s">
        <v>21</v>
      </c>
      <c r="B108" s="2">
        <v>156</v>
      </c>
      <c r="C108" s="3">
        <f t="shared" si="30"/>
        <v>81.25</v>
      </c>
      <c r="D108" s="3">
        <f t="shared" si="31"/>
        <v>87.5</v>
      </c>
      <c r="E108" s="3">
        <f t="shared" si="32"/>
        <v>83.75</v>
      </c>
      <c r="F108" s="3">
        <f t="shared" si="33"/>
        <v>52.519999999999996</v>
      </c>
      <c r="G108" s="3">
        <f t="shared" si="34"/>
        <v>126.28</v>
      </c>
      <c r="H108" s="3">
        <f t="shared" si="35"/>
        <v>126.28</v>
      </c>
      <c r="I108" s="3"/>
      <c r="J108" s="3">
        <f t="shared" si="36"/>
        <v>73.56</v>
      </c>
      <c r="K108" s="3">
        <f t="shared" si="37"/>
        <v>87.5</v>
      </c>
      <c r="L108" s="34">
        <f t="shared" si="38"/>
        <v>83.75</v>
      </c>
      <c r="M108" s="3">
        <f t="shared" si="39"/>
        <v>-6.24</v>
      </c>
      <c r="N108" s="3">
        <f t="shared" si="40"/>
        <v>150</v>
      </c>
      <c r="O108" s="3"/>
      <c r="P108" s="3">
        <f t="shared" si="41"/>
        <v>75.390891338582691</v>
      </c>
      <c r="Q108" s="3">
        <f t="shared" si="42"/>
        <v>109.8176</v>
      </c>
      <c r="R108" s="3">
        <f>vd(DataTable[[#This Row],[Sentido]],DataTable[[#This Row],[Valor]])</f>
        <v>83.960629921259837</v>
      </c>
      <c r="S108" s="3">
        <f>IF(DataTable[[#This Row],[Valor]]&gt;1,1,1)</f>
        <v>1</v>
      </c>
      <c r="T108" s="3">
        <f>IF(DataTable[[#This Row],[Valor]]&gt;1,1,1)</f>
        <v>1</v>
      </c>
      <c r="U108" s="3">
        <f>angr(DataTable[[#This Row],[Sentido]],DataTable[[#This Row],[Valor]])</f>
        <v>52.719685039370077</v>
      </c>
      <c r="V108" s="3">
        <f>ANGI(DataTable[[#This Row],[Sentido]],DataTable[[#This Row],[Valor]])</f>
        <v>53.948031496062995</v>
      </c>
      <c r="W108" s="3">
        <f t="shared" si="43"/>
        <v>2</v>
      </c>
      <c r="X108" s="3">
        <f>IF(DataTable[[#This Row],[Valor]]&gt;1,1,1)</f>
        <v>1</v>
      </c>
      <c r="Y108" s="3">
        <f t="shared" si="44"/>
        <v>2</v>
      </c>
      <c r="Z108" s="3">
        <f>IF(AND(DataTable[[#This Row],[Sentido]]="URUGUAI para BRASIL",DataTable[[#This Row],[Valor]]&gt;350),1,0)</f>
        <v>0</v>
      </c>
      <c r="AA108" s="3">
        <f>IF(DataTable[[#This Row],[Valor]]&gt;1,0,0)</f>
        <v>0</v>
      </c>
    </row>
    <row r="109" spans="1:27" x14ac:dyDescent="0.25">
      <c r="A109" s="2" t="s">
        <v>21</v>
      </c>
      <c r="B109" s="2">
        <v>157</v>
      </c>
      <c r="C109" s="3">
        <f t="shared" si="30"/>
        <v>81.25</v>
      </c>
      <c r="D109" s="3">
        <f t="shared" si="31"/>
        <v>87.5</v>
      </c>
      <c r="E109" s="3">
        <f t="shared" si="32"/>
        <v>83.75</v>
      </c>
      <c r="F109" s="3">
        <f t="shared" si="33"/>
        <v>52.44</v>
      </c>
      <c r="G109" s="3">
        <f t="shared" si="34"/>
        <v>126.16</v>
      </c>
      <c r="H109" s="3">
        <f t="shared" si="35"/>
        <v>126.16</v>
      </c>
      <c r="I109" s="3"/>
      <c r="J109" s="3">
        <f t="shared" si="36"/>
        <v>73.56</v>
      </c>
      <c r="K109" s="3">
        <f t="shared" si="37"/>
        <v>87.5</v>
      </c>
      <c r="L109" s="34">
        <f t="shared" si="38"/>
        <v>83.75</v>
      </c>
      <c r="M109" s="3">
        <f t="shared" si="39"/>
        <v>-6.28</v>
      </c>
      <c r="N109" s="3">
        <f t="shared" si="40"/>
        <v>150</v>
      </c>
      <c r="O109" s="3"/>
      <c r="P109" s="3">
        <f t="shared" si="41"/>
        <v>75.729694488188983</v>
      </c>
      <c r="Q109" s="3">
        <f t="shared" si="42"/>
        <v>109.8176</v>
      </c>
      <c r="R109" s="3">
        <f>vd(DataTable[[#This Row],[Sentido]],DataTable[[#This Row],[Valor]])</f>
        <v>84.338582677165348</v>
      </c>
      <c r="S109" s="3">
        <f>IF(DataTable[[#This Row],[Valor]]&gt;1,1,1)</f>
        <v>1</v>
      </c>
      <c r="T109" s="3">
        <f>IF(DataTable[[#This Row],[Valor]]&gt;1,1,1)</f>
        <v>1</v>
      </c>
      <c r="U109" s="3">
        <f>angr(DataTable[[#This Row],[Sentido]],DataTable[[#This Row],[Valor]])</f>
        <v>52.530708661417322</v>
      </c>
      <c r="V109" s="3">
        <f>ANGI(DataTable[[#This Row],[Sentido]],DataTable[[#This Row],[Valor]])</f>
        <v>53.76692913385827</v>
      </c>
      <c r="W109" s="3">
        <f t="shared" si="43"/>
        <v>2</v>
      </c>
      <c r="X109" s="3">
        <f>IF(DataTable[[#This Row],[Valor]]&gt;1,1,1)</f>
        <v>1</v>
      </c>
      <c r="Y109" s="3">
        <f t="shared" si="44"/>
        <v>2</v>
      </c>
      <c r="Z109" s="3">
        <f>IF(AND(DataTable[[#This Row],[Sentido]]="URUGUAI para BRASIL",DataTable[[#This Row],[Valor]]&gt;350),1,0)</f>
        <v>0</v>
      </c>
      <c r="AA109" s="3">
        <f>IF(DataTable[[#This Row],[Valor]]&gt;1,0,0)</f>
        <v>0</v>
      </c>
    </row>
    <row r="110" spans="1:27" x14ac:dyDescent="0.25">
      <c r="A110" s="2" t="s">
        <v>21</v>
      </c>
      <c r="B110" s="2">
        <v>158</v>
      </c>
      <c r="C110" s="3">
        <f t="shared" si="30"/>
        <v>81.25</v>
      </c>
      <c r="D110" s="3">
        <f t="shared" si="31"/>
        <v>87.5</v>
      </c>
      <c r="E110" s="3">
        <f t="shared" si="32"/>
        <v>83.75</v>
      </c>
      <c r="F110" s="3">
        <f t="shared" si="33"/>
        <v>52.36</v>
      </c>
      <c r="G110" s="3">
        <f t="shared" si="34"/>
        <v>126.03999999999999</v>
      </c>
      <c r="H110" s="3">
        <f t="shared" si="35"/>
        <v>126.03999999999999</v>
      </c>
      <c r="I110" s="3"/>
      <c r="J110" s="3">
        <f t="shared" si="36"/>
        <v>73.56</v>
      </c>
      <c r="K110" s="3">
        <f t="shared" si="37"/>
        <v>87.5</v>
      </c>
      <c r="L110" s="34">
        <f t="shared" si="38"/>
        <v>83.75</v>
      </c>
      <c r="M110" s="3">
        <f t="shared" si="39"/>
        <v>-6.32</v>
      </c>
      <c r="N110" s="3">
        <f t="shared" si="40"/>
        <v>150</v>
      </c>
      <c r="O110" s="3"/>
      <c r="P110" s="3">
        <f t="shared" si="41"/>
        <v>76.068497637795275</v>
      </c>
      <c r="Q110" s="3">
        <f t="shared" si="42"/>
        <v>109.8176</v>
      </c>
      <c r="R110" s="3">
        <f>vd(DataTable[[#This Row],[Sentido]],DataTable[[#This Row],[Valor]])</f>
        <v>84.71653543307086</v>
      </c>
      <c r="S110" s="3">
        <f>IF(DataTable[[#This Row],[Valor]]&gt;1,1,1)</f>
        <v>1</v>
      </c>
      <c r="T110" s="3">
        <f>IF(DataTable[[#This Row],[Valor]]&gt;1,1,1)</f>
        <v>1</v>
      </c>
      <c r="U110" s="3">
        <f>angr(DataTable[[#This Row],[Sentido]],DataTable[[#This Row],[Valor]])</f>
        <v>52.341732283464566</v>
      </c>
      <c r="V110" s="3">
        <f>ANGI(DataTable[[#This Row],[Sentido]],DataTable[[#This Row],[Valor]])</f>
        <v>53.585826771653544</v>
      </c>
      <c r="W110" s="3">
        <f t="shared" si="43"/>
        <v>2</v>
      </c>
      <c r="X110" s="3">
        <f>IF(DataTable[[#This Row],[Valor]]&gt;1,1,1)</f>
        <v>1</v>
      </c>
      <c r="Y110" s="3">
        <f t="shared" si="44"/>
        <v>2</v>
      </c>
      <c r="Z110" s="3">
        <f>IF(AND(DataTable[[#This Row],[Sentido]]="URUGUAI para BRASIL",DataTable[[#This Row],[Valor]]&gt;350),1,0)</f>
        <v>0</v>
      </c>
      <c r="AA110" s="3">
        <f>IF(DataTable[[#This Row],[Valor]]&gt;1,0,0)</f>
        <v>0</v>
      </c>
    </row>
    <row r="111" spans="1:27" x14ac:dyDescent="0.25">
      <c r="A111" s="2" t="s">
        <v>21</v>
      </c>
      <c r="B111" s="2">
        <v>159</v>
      </c>
      <c r="C111" s="3">
        <f t="shared" si="30"/>
        <v>81.25</v>
      </c>
      <c r="D111" s="3">
        <f t="shared" si="31"/>
        <v>87.5</v>
      </c>
      <c r="E111" s="3">
        <f t="shared" si="32"/>
        <v>83.75</v>
      </c>
      <c r="F111" s="3">
        <f t="shared" si="33"/>
        <v>52.28</v>
      </c>
      <c r="G111" s="3">
        <f t="shared" si="34"/>
        <v>125.92</v>
      </c>
      <c r="H111" s="3">
        <f t="shared" si="35"/>
        <v>125.92</v>
      </c>
      <c r="I111" s="3"/>
      <c r="J111" s="3">
        <f t="shared" si="36"/>
        <v>73.56</v>
      </c>
      <c r="K111" s="3">
        <f t="shared" si="37"/>
        <v>87.5</v>
      </c>
      <c r="L111" s="34">
        <f t="shared" si="38"/>
        <v>83.75</v>
      </c>
      <c r="M111" s="3">
        <f t="shared" si="39"/>
        <v>-6.36</v>
      </c>
      <c r="N111" s="3">
        <f t="shared" si="40"/>
        <v>150</v>
      </c>
      <c r="O111" s="3"/>
      <c r="P111" s="3">
        <f t="shared" si="41"/>
        <v>76.407300787401581</v>
      </c>
      <c r="Q111" s="3">
        <f t="shared" si="42"/>
        <v>109.8176</v>
      </c>
      <c r="R111" s="3">
        <f>vd(DataTable[[#This Row],[Sentido]],DataTable[[#This Row],[Valor]])</f>
        <v>85.094488188976371</v>
      </c>
      <c r="S111" s="3">
        <f>IF(DataTable[[#This Row],[Valor]]&gt;1,1,1)</f>
        <v>1</v>
      </c>
      <c r="T111" s="3">
        <f>IF(DataTable[[#This Row],[Valor]]&gt;1,1,1)</f>
        <v>1</v>
      </c>
      <c r="U111" s="3">
        <f>angr(DataTable[[#This Row],[Sentido]],DataTable[[#This Row],[Valor]])</f>
        <v>52.15275590551181</v>
      </c>
      <c r="V111" s="3">
        <f>ANGI(DataTable[[#This Row],[Sentido]],DataTable[[#This Row],[Valor]])</f>
        <v>53.404724409448818</v>
      </c>
      <c r="W111" s="3">
        <f t="shared" si="43"/>
        <v>2</v>
      </c>
      <c r="X111" s="3">
        <f>IF(DataTable[[#This Row],[Valor]]&gt;1,1,1)</f>
        <v>1</v>
      </c>
      <c r="Y111" s="3">
        <f t="shared" si="44"/>
        <v>2</v>
      </c>
      <c r="Z111" s="3">
        <f>IF(AND(DataTable[[#This Row],[Sentido]]="URUGUAI para BRASIL",DataTable[[#This Row],[Valor]]&gt;350),1,0)</f>
        <v>0</v>
      </c>
      <c r="AA111" s="3">
        <f>IF(DataTable[[#This Row],[Valor]]&gt;1,0,0)</f>
        <v>0</v>
      </c>
    </row>
    <row r="112" spans="1:27" x14ac:dyDescent="0.25">
      <c r="A112" s="2" t="s">
        <v>21</v>
      </c>
      <c r="B112" s="2">
        <v>160</v>
      </c>
      <c r="C112" s="3">
        <f t="shared" si="30"/>
        <v>81.25</v>
      </c>
      <c r="D112" s="3">
        <f t="shared" si="31"/>
        <v>87.5</v>
      </c>
      <c r="E112" s="3">
        <f t="shared" si="32"/>
        <v>83.75</v>
      </c>
      <c r="F112" s="3">
        <f t="shared" si="33"/>
        <v>52.2</v>
      </c>
      <c r="G112" s="3">
        <f t="shared" si="34"/>
        <v>125.8</v>
      </c>
      <c r="H112" s="3">
        <f t="shared" si="35"/>
        <v>125.8</v>
      </c>
      <c r="I112" s="3"/>
      <c r="J112" s="3">
        <f t="shared" si="36"/>
        <v>73.56</v>
      </c>
      <c r="K112" s="3">
        <f t="shared" si="37"/>
        <v>87.5</v>
      </c>
      <c r="L112" s="34">
        <f t="shared" si="38"/>
        <v>83.75</v>
      </c>
      <c r="M112" s="3">
        <f t="shared" si="39"/>
        <v>-6.4</v>
      </c>
      <c r="N112" s="3">
        <f t="shared" si="40"/>
        <v>150</v>
      </c>
      <c r="O112" s="3"/>
      <c r="P112" s="3">
        <f t="shared" si="41"/>
        <v>76.746103937007874</v>
      </c>
      <c r="Q112" s="3">
        <f t="shared" si="42"/>
        <v>109.8176</v>
      </c>
      <c r="R112" s="3">
        <f>vd(DataTable[[#This Row],[Sentido]],DataTable[[#This Row],[Valor]])</f>
        <v>85.472440944881882</v>
      </c>
      <c r="S112" s="3">
        <f>IF(DataTable[[#This Row],[Valor]]&gt;1,1,1)</f>
        <v>1</v>
      </c>
      <c r="T112" s="3">
        <f>IF(DataTable[[#This Row],[Valor]]&gt;1,1,1)</f>
        <v>1</v>
      </c>
      <c r="U112" s="3">
        <f>angr(DataTable[[#This Row],[Sentido]],DataTable[[#This Row],[Valor]])</f>
        <v>51.963779527559055</v>
      </c>
      <c r="V112" s="3">
        <f>ANGI(DataTable[[#This Row],[Sentido]],DataTable[[#This Row],[Valor]])</f>
        <v>53.223622047244092</v>
      </c>
      <c r="W112" s="3">
        <f t="shared" si="43"/>
        <v>2</v>
      </c>
      <c r="X112" s="3">
        <f>IF(DataTable[[#This Row],[Valor]]&gt;1,1,1)</f>
        <v>1</v>
      </c>
      <c r="Y112" s="3">
        <f t="shared" si="44"/>
        <v>2</v>
      </c>
      <c r="Z112" s="3">
        <f>IF(AND(DataTable[[#This Row],[Sentido]]="URUGUAI para BRASIL",DataTable[[#This Row],[Valor]]&gt;350),1,0)</f>
        <v>0</v>
      </c>
      <c r="AA112" s="3">
        <f>IF(DataTable[[#This Row],[Valor]]&gt;1,0,0)</f>
        <v>0</v>
      </c>
    </row>
    <row r="113" spans="1:27" x14ac:dyDescent="0.25">
      <c r="A113" s="2" t="s">
        <v>21</v>
      </c>
      <c r="B113" s="2">
        <v>161</v>
      </c>
      <c r="C113" s="3">
        <f t="shared" si="30"/>
        <v>81.25</v>
      </c>
      <c r="D113" s="3">
        <f t="shared" si="31"/>
        <v>87.5</v>
      </c>
      <c r="E113" s="3">
        <f t="shared" si="32"/>
        <v>83.75</v>
      </c>
      <c r="F113" s="3">
        <f t="shared" si="33"/>
        <v>52.12</v>
      </c>
      <c r="G113" s="3">
        <f t="shared" si="34"/>
        <v>125.68</v>
      </c>
      <c r="H113" s="3">
        <f t="shared" si="35"/>
        <v>125.68</v>
      </c>
      <c r="I113" s="3"/>
      <c r="J113" s="3">
        <f t="shared" si="36"/>
        <v>73.56</v>
      </c>
      <c r="K113" s="3">
        <f t="shared" si="37"/>
        <v>87.5</v>
      </c>
      <c r="L113" s="34">
        <f t="shared" si="38"/>
        <v>83.75</v>
      </c>
      <c r="M113" s="3">
        <f t="shared" si="39"/>
        <v>-6.44</v>
      </c>
      <c r="N113" s="3">
        <f t="shared" si="40"/>
        <v>150</v>
      </c>
      <c r="O113" s="3"/>
      <c r="P113" s="3">
        <f t="shared" si="41"/>
        <v>77.08490708661418</v>
      </c>
      <c r="Q113" s="3">
        <f t="shared" si="42"/>
        <v>109.8176</v>
      </c>
      <c r="R113" s="3">
        <f>vd(DataTable[[#This Row],[Sentido]],DataTable[[#This Row],[Valor]])</f>
        <v>85.850393700787393</v>
      </c>
      <c r="S113" s="3">
        <f>IF(DataTable[[#This Row],[Valor]]&gt;1,1,1)</f>
        <v>1</v>
      </c>
      <c r="T113" s="3">
        <f>IF(DataTable[[#This Row],[Valor]]&gt;1,1,1)</f>
        <v>1</v>
      </c>
      <c r="U113" s="3">
        <f>angr(DataTable[[#This Row],[Sentido]],DataTable[[#This Row],[Valor]])</f>
        <v>51.774803149606299</v>
      </c>
      <c r="V113" s="3">
        <f>ANGI(DataTable[[#This Row],[Sentido]],DataTable[[#This Row],[Valor]])</f>
        <v>53.042519685039373</v>
      </c>
      <c r="W113" s="3">
        <f t="shared" si="43"/>
        <v>2</v>
      </c>
      <c r="X113" s="3">
        <f>IF(DataTable[[#This Row],[Valor]]&gt;1,1,1)</f>
        <v>1</v>
      </c>
      <c r="Y113" s="3">
        <f t="shared" si="44"/>
        <v>2</v>
      </c>
      <c r="Z113" s="3">
        <f>IF(AND(DataTable[[#This Row],[Sentido]]="URUGUAI para BRASIL",DataTable[[#This Row],[Valor]]&gt;350),1,0)</f>
        <v>0</v>
      </c>
      <c r="AA113" s="3">
        <f>IF(DataTable[[#This Row],[Valor]]&gt;1,0,0)</f>
        <v>0</v>
      </c>
    </row>
    <row r="114" spans="1:27" x14ac:dyDescent="0.25">
      <c r="A114" s="2" t="s">
        <v>21</v>
      </c>
      <c r="B114" s="2">
        <v>162</v>
      </c>
      <c r="C114" s="3">
        <f t="shared" si="30"/>
        <v>81.25</v>
      </c>
      <c r="D114" s="3">
        <f t="shared" si="31"/>
        <v>87.5</v>
      </c>
      <c r="E114" s="3">
        <f t="shared" si="32"/>
        <v>83.75</v>
      </c>
      <c r="F114" s="3">
        <f t="shared" si="33"/>
        <v>52.04</v>
      </c>
      <c r="G114" s="3">
        <f t="shared" si="34"/>
        <v>125.56</v>
      </c>
      <c r="H114" s="3">
        <f t="shared" si="35"/>
        <v>125.56</v>
      </c>
      <c r="I114" s="3"/>
      <c r="J114" s="3">
        <f t="shared" si="36"/>
        <v>73.56</v>
      </c>
      <c r="K114" s="3">
        <f t="shared" si="37"/>
        <v>87.5</v>
      </c>
      <c r="L114" s="34">
        <f t="shared" si="38"/>
        <v>83.75</v>
      </c>
      <c r="M114" s="3">
        <f t="shared" si="39"/>
        <v>-6.48</v>
      </c>
      <c r="N114" s="3">
        <f t="shared" si="40"/>
        <v>150</v>
      </c>
      <c r="O114" s="3"/>
      <c r="P114" s="3">
        <f t="shared" si="41"/>
        <v>77.423710236220487</v>
      </c>
      <c r="Q114" s="3">
        <f t="shared" si="42"/>
        <v>109.8176</v>
      </c>
      <c r="R114" s="3">
        <f>vd(DataTable[[#This Row],[Sentido]],DataTable[[#This Row],[Valor]])</f>
        <v>86.228346456692918</v>
      </c>
      <c r="S114" s="3">
        <f>IF(DataTable[[#This Row],[Valor]]&gt;1,1,1)</f>
        <v>1</v>
      </c>
      <c r="T114" s="3">
        <f>IF(DataTable[[#This Row],[Valor]]&gt;1,1,1)</f>
        <v>1</v>
      </c>
      <c r="U114" s="3">
        <f>angr(DataTable[[#This Row],[Sentido]],DataTable[[#This Row],[Valor]])</f>
        <v>51.585826771653544</v>
      </c>
      <c r="V114" s="3">
        <f>ANGI(DataTable[[#This Row],[Sentido]],DataTable[[#This Row],[Valor]])</f>
        <v>52.861417322834647</v>
      </c>
      <c r="W114" s="3">
        <f t="shared" si="43"/>
        <v>2</v>
      </c>
      <c r="X114" s="3">
        <f>IF(DataTable[[#This Row],[Valor]]&gt;1,1,1)</f>
        <v>1</v>
      </c>
      <c r="Y114" s="3">
        <f t="shared" si="44"/>
        <v>2</v>
      </c>
      <c r="Z114" s="3">
        <f>IF(AND(DataTable[[#This Row],[Sentido]]="URUGUAI para BRASIL",DataTable[[#This Row],[Valor]]&gt;350),1,0)</f>
        <v>0</v>
      </c>
      <c r="AA114" s="3">
        <f>IF(DataTable[[#This Row],[Valor]]&gt;1,0,0)</f>
        <v>0</v>
      </c>
    </row>
    <row r="115" spans="1:27" x14ac:dyDescent="0.25">
      <c r="A115" s="2" t="s">
        <v>21</v>
      </c>
      <c r="B115" s="2">
        <v>163</v>
      </c>
      <c r="C115" s="3">
        <f t="shared" si="30"/>
        <v>81.25</v>
      </c>
      <c r="D115" s="3">
        <f t="shared" si="31"/>
        <v>87.5</v>
      </c>
      <c r="E115" s="3">
        <f t="shared" si="32"/>
        <v>83.75</v>
      </c>
      <c r="F115" s="3">
        <f t="shared" si="33"/>
        <v>51.96</v>
      </c>
      <c r="G115" s="3">
        <f t="shared" si="34"/>
        <v>125.44</v>
      </c>
      <c r="H115" s="3">
        <f t="shared" si="35"/>
        <v>125.44</v>
      </c>
      <c r="I115" s="3"/>
      <c r="J115" s="3">
        <f t="shared" si="36"/>
        <v>73.56</v>
      </c>
      <c r="K115" s="3">
        <f t="shared" si="37"/>
        <v>87.5</v>
      </c>
      <c r="L115" s="34">
        <f t="shared" si="38"/>
        <v>83.75</v>
      </c>
      <c r="M115" s="3">
        <f t="shared" si="39"/>
        <v>-6.5200000000000005</v>
      </c>
      <c r="N115" s="3">
        <f t="shared" si="40"/>
        <v>150</v>
      </c>
      <c r="O115" s="3"/>
      <c r="P115" s="3">
        <f t="shared" si="41"/>
        <v>77.762513385826779</v>
      </c>
      <c r="Q115" s="3">
        <f t="shared" si="42"/>
        <v>109.8176</v>
      </c>
      <c r="R115" s="3">
        <f>vd(DataTable[[#This Row],[Sentido]],DataTable[[#This Row],[Valor]])</f>
        <v>86.606299212598429</v>
      </c>
      <c r="S115" s="3">
        <f>IF(DataTable[[#This Row],[Valor]]&gt;1,1,1)</f>
        <v>1</v>
      </c>
      <c r="T115" s="3">
        <f>IF(DataTable[[#This Row],[Valor]]&gt;1,1,1)</f>
        <v>1</v>
      </c>
      <c r="U115" s="3">
        <f>angr(DataTable[[#This Row],[Sentido]],DataTable[[#This Row],[Valor]])</f>
        <v>51.396850393700788</v>
      </c>
      <c r="V115" s="3">
        <f>ANGI(DataTable[[#This Row],[Sentido]],DataTable[[#This Row],[Valor]])</f>
        <v>52.680314960629921</v>
      </c>
      <c r="W115" s="3">
        <f t="shared" si="43"/>
        <v>2</v>
      </c>
      <c r="X115" s="3">
        <f>IF(DataTable[[#This Row],[Valor]]&gt;1,1,1)</f>
        <v>1</v>
      </c>
      <c r="Y115" s="3">
        <f t="shared" si="44"/>
        <v>2</v>
      </c>
      <c r="Z115" s="3">
        <f>IF(AND(DataTable[[#This Row],[Sentido]]="URUGUAI para BRASIL",DataTable[[#This Row],[Valor]]&gt;350),1,0)</f>
        <v>0</v>
      </c>
      <c r="AA115" s="3">
        <f>IF(DataTable[[#This Row],[Valor]]&gt;1,0,0)</f>
        <v>0</v>
      </c>
    </row>
    <row r="116" spans="1:27" x14ac:dyDescent="0.25">
      <c r="A116" s="2" t="s">
        <v>21</v>
      </c>
      <c r="B116" s="2">
        <v>164</v>
      </c>
      <c r="C116" s="3">
        <f t="shared" si="30"/>
        <v>81.25</v>
      </c>
      <c r="D116" s="3">
        <f t="shared" si="31"/>
        <v>87.5</v>
      </c>
      <c r="E116" s="3">
        <f t="shared" si="32"/>
        <v>83.75</v>
      </c>
      <c r="F116" s="3">
        <f t="shared" si="33"/>
        <v>51.879999999999995</v>
      </c>
      <c r="G116" s="3">
        <f t="shared" si="34"/>
        <v>125.32</v>
      </c>
      <c r="H116" s="3">
        <f t="shared" si="35"/>
        <v>125.32</v>
      </c>
      <c r="I116" s="3"/>
      <c r="J116" s="3">
        <f t="shared" si="36"/>
        <v>73.56</v>
      </c>
      <c r="K116" s="3">
        <f t="shared" si="37"/>
        <v>87.5</v>
      </c>
      <c r="L116" s="34">
        <f t="shared" si="38"/>
        <v>83.75</v>
      </c>
      <c r="M116" s="3">
        <f t="shared" si="39"/>
        <v>-6.5600000000000005</v>
      </c>
      <c r="N116" s="3">
        <f t="shared" si="40"/>
        <v>150</v>
      </c>
      <c r="O116" s="3"/>
      <c r="P116" s="3">
        <f t="shared" si="41"/>
        <v>78.101316535433085</v>
      </c>
      <c r="Q116" s="3">
        <f t="shared" si="42"/>
        <v>109.8176</v>
      </c>
      <c r="R116" s="3">
        <f>vd(DataTable[[#This Row],[Sentido]],DataTable[[#This Row],[Valor]])</f>
        <v>86.984251968503941</v>
      </c>
      <c r="S116" s="3">
        <f>IF(DataTable[[#This Row],[Valor]]&gt;1,1,1)</f>
        <v>1</v>
      </c>
      <c r="T116" s="3">
        <f>IF(DataTable[[#This Row],[Valor]]&gt;1,1,1)</f>
        <v>1</v>
      </c>
      <c r="U116" s="3">
        <f>angr(DataTable[[#This Row],[Sentido]],DataTable[[#This Row],[Valor]])</f>
        <v>51.207874015748033</v>
      </c>
      <c r="V116" s="3">
        <f>ANGI(DataTable[[#This Row],[Sentido]],DataTable[[#This Row],[Valor]])</f>
        <v>52.499212598425196</v>
      </c>
      <c r="W116" s="3">
        <f t="shared" si="43"/>
        <v>2</v>
      </c>
      <c r="X116" s="3">
        <f>IF(DataTable[[#This Row],[Valor]]&gt;1,1,1)</f>
        <v>1</v>
      </c>
      <c r="Y116" s="3">
        <f t="shared" si="44"/>
        <v>2</v>
      </c>
      <c r="Z116" s="3">
        <f>IF(AND(DataTable[[#This Row],[Sentido]]="URUGUAI para BRASIL",DataTable[[#This Row],[Valor]]&gt;350),1,0)</f>
        <v>0</v>
      </c>
      <c r="AA116" s="3">
        <f>IF(DataTable[[#This Row],[Valor]]&gt;1,0,0)</f>
        <v>0</v>
      </c>
    </row>
    <row r="117" spans="1:27" x14ac:dyDescent="0.25">
      <c r="A117" s="2" t="s">
        <v>21</v>
      </c>
      <c r="B117" s="2">
        <v>165</v>
      </c>
      <c r="C117" s="3">
        <f t="shared" si="30"/>
        <v>81.25</v>
      </c>
      <c r="D117" s="3">
        <f t="shared" si="31"/>
        <v>87.5</v>
      </c>
      <c r="E117" s="3">
        <f t="shared" si="32"/>
        <v>83.75</v>
      </c>
      <c r="F117" s="3">
        <f t="shared" si="33"/>
        <v>51.8</v>
      </c>
      <c r="G117" s="3">
        <f t="shared" si="34"/>
        <v>125.2</v>
      </c>
      <c r="H117" s="3">
        <f t="shared" si="35"/>
        <v>125.2</v>
      </c>
      <c r="I117" s="3"/>
      <c r="J117" s="3">
        <f t="shared" si="36"/>
        <v>73.56</v>
      </c>
      <c r="K117" s="3">
        <f t="shared" si="37"/>
        <v>87.5</v>
      </c>
      <c r="L117" s="34">
        <f t="shared" si="38"/>
        <v>83.75</v>
      </c>
      <c r="M117" s="3">
        <f t="shared" si="39"/>
        <v>-6.6000000000000005</v>
      </c>
      <c r="N117" s="3">
        <f t="shared" si="40"/>
        <v>150</v>
      </c>
      <c r="O117" s="3"/>
      <c r="P117" s="3">
        <f t="shared" si="41"/>
        <v>78.440119685039377</v>
      </c>
      <c r="Q117" s="3">
        <f t="shared" si="42"/>
        <v>109.8176</v>
      </c>
      <c r="R117" s="3">
        <f>vd(DataTable[[#This Row],[Sentido]],DataTable[[#This Row],[Valor]])</f>
        <v>87.362204724409438</v>
      </c>
      <c r="S117" s="3">
        <f>IF(DataTable[[#This Row],[Valor]]&gt;1,1,1)</f>
        <v>1</v>
      </c>
      <c r="T117" s="3">
        <f>IF(DataTable[[#This Row],[Valor]]&gt;1,1,1)</f>
        <v>1</v>
      </c>
      <c r="U117" s="3">
        <f>angr(DataTable[[#This Row],[Sentido]],DataTable[[#This Row],[Valor]])</f>
        <v>51.018897637795277</v>
      </c>
      <c r="V117" s="3">
        <f>ANGI(DataTable[[#This Row],[Sentido]],DataTable[[#This Row],[Valor]])</f>
        <v>52.318110236220477</v>
      </c>
      <c r="W117" s="3">
        <f t="shared" si="43"/>
        <v>2</v>
      </c>
      <c r="X117" s="3">
        <f>IF(DataTable[[#This Row],[Valor]]&gt;1,1,1)</f>
        <v>1</v>
      </c>
      <c r="Y117" s="3">
        <f t="shared" si="44"/>
        <v>2</v>
      </c>
      <c r="Z117" s="3">
        <f>IF(AND(DataTable[[#This Row],[Sentido]]="URUGUAI para BRASIL",DataTable[[#This Row],[Valor]]&gt;350),1,0)</f>
        <v>0</v>
      </c>
      <c r="AA117" s="3">
        <f>IF(DataTable[[#This Row],[Valor]]&gt;1,0,0)</f>
        <v>0</v>
      </c>
    </row>
    <row r="118" spans="1:27" x14ac:dyDescent="0.25">
      <c r="A118" s="2" t="s">
        <v>21</v>
      </c>
      <c r="B118" s="2">
        <v>166</v>
      </c>
      <c r="C118" s="3">
        <f t="shared" si="30"/>
        <v>81.25</v>
      </c>
      <c r="D118" s="3">
        <f t="shared" si="31"/>
        <v>87.5</v>
      </c>
      <c r="E118" s="3">
        <f t="shared" si="32"/>
        <v>83.75</v>
      </c>
      <c r="F118" s="3">
        <f t="shared" si="33"/>
        <v>51.72</v>
      </c>
      <c r="G118" s="3">
        <f t="shared" si="34"/>
        <v>125.08</v>
      </c>
      <c r="H118" s="3">
        <f t="shared" si="35"/>
        <v>125.08</v>
      </c>
      <c r="I118" s="3"/>
      <c r="J118" s="3">
        <f t="shared" si="36"/>
        <v>73.56</v>
      </c>
      <c r="K118" s="3">
        <f t="shared" si="37"/>
        <v>87.5</v>
      </c>
      <c r="L118" s="34">
        <f t="shared" si="38"/>
        <v>83.75</v>
      </c>
      <c r="M118" s="3">
        <f t="shared" si="39"/>
        <v>-6.6400000000000006</v>
      </c>
      <c r="N118" s="3">
        <f t="shared" si="40"/>
        <v>150</v>
      </c>
      <c r="O118" s="3"/>
      <c r="P118" s="3">
        <f t="shared" si="41"/>
        <v>78.77892283464567</v>
      </c>
      <c r="Q118" s="3">
        <f t="shared" si="42"/>
        <v>109.8176</v>
      </c>
      <c r="R118" s="3">
        <f>vd(DataTable[[#This Row],[Sentido]],DataTable[[#This Row],[Valor]])</f>
        <v>87.740157480314963</v>
      </c>
      <c r="S118" s="3">
        <f>IF(DataTable[[#This Row],[Valor]]&gt;1,1,1)</f>
        <v>1</v>
      </c>
      <c r="T118" s="3">
        <f>IF(DataTable[[#This Row],[Valor]]&gt;1,1,1)</f>
        <v>1</v>
      </c>
      <c r="U118" s="3">
        <f>angr(DataTable[[#This Row],[Sentido]],DataTable[[#This Row],[Valor]])</f>
        <v>50.829921259842514</v>
      </c>
      <c r="V118" s="3">
        <f>ANGI(DataTable[[#This Row],[Sentido]],DataTable[[#This Row],[Valor]])</f>
        <v>52.137007874015744</v>
      </c>
      <c r="W118" s="3">
        <f t="shared" si="43"/>
        <v>2</v>
      </c>
      <c r="X118" s="3">
        <f>IF(DataTable[[#This Row],[Valor]]&gt;1,1,1)</f>
        <v>1</v>
      </c>
      <c r="Y118" s="3">
        <f t="shared" si="44"/>
        <v>2</v>
      </c>
      <c r="Z118" s="3">
        <f>IF(AND(DataTable[[#This Row],[Sentido]]="URUGUAI para BRASIL",DataTable[[#This Row],[Valor]]&gt;350),1,0)</f>
        <v>0</v>
      </c>
      <c r="AA118" s="3">
        <f>IF(DataTable[[#This Row],[Valor]]&gt;1,0,0)</f>
        <v>0</v>
      </c>
    </row>
    <row r="119" spans="1:27" x14ac:dyDescent="0.25">
      <c r="A119" s="2" t="s">
        <v>21</v>
      </c>
      <c r="B119" s="2">
        <v>167</v>
      </c>
      <c r="C119" s="3">
        <f t="shared" si="30"/>
        <v>81.25</v>
      </c>
      <c r="D119" s="3">
        <f t="shared" si="31"/>
        <v>87.5</v>
      </c>
      <c r="E119" s="3">
        <f t="shared" si="32"/>
        <v>83.75</v>
      </c>
      <c r="F119" s="3">
        <f t="shared" si="33"/>
        <v>51.64</v>
      </c>
      <c r="G119" s="3">
        <f t="shared" si="34"/>
        <v>124.96000000000001</v>
      </c>
      <c r="H119" s="3">
        <f t="shared" si="35"/>
        <v>124.96000000000001</v>
      </c>
      <c r="I119" s="3"/>
      <c r="J119" s="3">
        <f t="shared" si="36"/>
        <v>73.56</v>
      </c>
      <c r="K119" s="3">
        <f t="shared" si="37"/>
        <v>87.5</v>
      </c>
      <c r="L119" s="34">
        <f t="shared" si="38"/>
        <v>83.75</v>
      </c>
      <c r="M119" s="3">
        <f t="shared" si="39"/>
        <v>-6.68</v>
      </c>
      <c r="N119" s="3">
        <f t="shared" si="40"/>
        <v>150</v>
      </c>
      <c r="O119" s="3"/>
      <c r="P119" s="3">
        <f t="shared" si="41"/>
        <v>79.117725984251976</v>
      </c>
      <c r="Q119" s="3">
        <f t="shared" si="42"/>
        <v>109.8176</v>
      </c>
      <c r="R119" s="3">
        <f>vd(DataTable[[#This Row],[Sentido]],DataTable[[#This Row],[Valor]])</f>
        <v>88.118110236220474</v>
      </c>
      <c r="S119" s="3">
        <f>IF(DataTable[[#This Row],[Valor]]&gt;1,1,1)</f>
        <v>1</v>
      </c>
      <c r="T119" s="3">
        <f>IF(DataTable[[#This Row],[Valor]]&gt;1,1,1)</f>
        <v>1</v>
      </c>
      <c r="U119" s="3">
        <f>angr(DataTable[[#This Row],[Sentido]],DataTable[[#This Row],[Valor]])</f>
        <v>50.640944881889766</v>
      </c>
      <c r="V119" s="3">
        <f>ANGI(DataTable[[#This Row],[Sentido]],DataTable[[#This Row],[Valor]])</f>
        <v>51.955905511811025</v>
      </c>
      <c r="W119" s="3">
        <f t="shared" si="43"/>
        <v>2</v>
      </c>
      <c r="X119" s="3">
        <f>IF(DataTable[[#This Row],[Valor]]&gt;1,1,1)</f>
        <v>1</v>
      </c>
      <c r="Y119" s="3">
        <f t="shared" si="44"/>
        <v>2</v>
      </c>
      <c r="Z119" s="3">
        <f>IF(AND(DataTable[[#This Row],[Sentido]]="URUGUAI para BRASIL",DataTable[[#This Row],[Valor]]&gt;350),1,0)</f>
        <v>0</v>
      </c>
      <c r="AA119" s="3">
        <f>IF(DataTable[[#This Row],[Valor]]&gt;1,0,0)</f>
        <v>0</v>
      </c>
    </row>
    <row r="120" spans="1:27" x14ac:dyDescent="0.25">
      <c r="A120" s="2" t="s">
        <v>21</v>
      </c>
      <c r="B120" s="2">
        <v>168</v>
      </c>
      <c r="C120" s="3">
        <f t="shared" si="30"/>
        <v>81.25</v>
      </c>
      <c r="D120" s="3">
        <f t="shared" si="31"/>
        <v>87.5</v>
      </c>
      <c r="E120" s="3">
        <f t="shared" si="32"/>
        <v>83.75</v>
      </c>
      <c r="F120" s="3">
        <f t="shared" si="33"/>
        <v>51.56</v>
      </c>
      <c r="G120" s="3">
        <f t="shared" si="34"/>
        <v>124.84</v>
      </c>
      <c r="H120" s="3">
        <f t="shared" si="35"/>
        <v>124.84</v>
      </c>
      <c r="I120" s="3"/>
      <c r="J120" s="3">
        <f t="shared" si="36"/>
        <v>73.56</v>
      </c>
      <c r="K120" s="3">
        <f t="shared" si="37"/>
        <v>87.5</v>
      </c>
      <c r="L120" s="34">
        <f t="shared" si="38"/>
        <v>83.75</v>
      </c>
      <c r="M120" s="3">
        <f t="shared" si="39"/>
        <v>-6.72</v>
      </c>
      <c r="N120" s="3">
        <f t="shared" si="40"/>
        <v>150</v>
      </c>
      <c r="O120" s="3"/>
      <c r="P120" s="3">
        <f t="shared" si="41"/>
        <v>79.456529133858268</v>
      </c>
      <c r="Q120" s="3">
        <f t="shared" si="42"/>
        <v>109.8176</v>
      </c>
      <c r="R120" s="3">
        <f>vd(DataTable[[#This Row],[Sentido]],DataTable[[#This Row],[Valor]])</f>
        <v>88.496062992125985</v>
      </c>
      <c r="S120" s="3">
        <f>IF(DataTable[[#This Row],[Valor]]&gt;1,1,1)</f>
        <v>1</v>
      </c>
      <c r="T120" s="3">
        <f>IF(DataTable[[#This Row],[Valor]]&gt;1,1,1)</f>
        <v>1</v>
      </c>
      <c r="U120" s="3">
        <f>angr(DataTable[[#This Row],[Sentido]],DataTable[[#This Row],[Valor]])</f>
        <v>50.45196850393701</v>
      </c>
      <c r="V120" s="3">
        <f>ANGI(DataTable[[#This Row],[Sentido]],DataTable[[#This Row],[Valor]])</f>
        <v>51.774803149606299</v>
      </c>
      <c r="W120" s="3">
        <f t="shared" si="43"/>
        <v>2</v>
      </c>
      <c r="X120" s="3">
        <f>IF(DataTable[[#This Row],[Valor]]&gt;1,1,1)</f>
        <v>1</v>
      </c>
      <c r="Y120" s="3">
        <f t="shared" si="44"/>
        <v>2</v>
      </c>
      <c r="Z120" s="3">
        <f>IF(AND(DataTable[[#This Row],[Sentido]]="URUGUAI para BRASIL",DataTable[[#This Row],[Valor]]&gt;350),1,0)</f>
        <v>0</v>
      </c>
      <c r="AA120" s="3">
        <f>IF(DataTable[[#This Row],[Valor]]&gt;1,0,0)</f>
        <v>0</v>
      </c>
    </row>
    <row r="121" spans="1:27" x14ac:dyDescent="0.25">
      <c r="A121" s="2" t="s">
        <v>21</v>
      </c>
      <c r="B121" s="2">
        <v>169</v>
      </c>
      <c r="C121" s="3">
        <f t="shared" si="30"/>
        <v>81.25</v>
      </c>
      <c r="D121" s="3">
        <f t="shared" si="31"/>
        <v>87.5</v>
      </c>
      <c r="E121" s="3">
        <f t="shared" si="32"/>
        <v>83.75</v>
      </c>
      <c r="F121" s="3">
        <f t="shared" si="33"/>
        <v>51.480000000000004</v>
      </c>
      <c r="G121" s="3">
        <f t="shared" si="34"/>
        <v>124.72</v>
      </c>
      <c r="H121" s="3">
        <f t="shared" si="35"/>
        <v>124.72</v>
      </c>
      <c r="I121" s="3"/>
      <c r="J121" s="3">
        <f t="shared" si="36"/>
        <v>73.56</v>
      </c>
      <c r="K121" s="3">
        <f t="shared" si="37"/>
        <v>87.5</v>
      </c>
      <c r="L121" s="34">
        <f t="shared" si="38"/>
        <v>83.75</v>
      </c>
      <c r="M121" s="3">
        <f t="shared" si="39"/>
        <v>-6.76</v>
      </c>
      <c r="N121" s="3">
        <f t="shared" si="40"/>
        <v>150</v>
      </c>
      <c r="O121" s="3"/>
      <c r="P121" s="3">
        <f t="shared" si="41"/>
        <v>79.795332283464575</v>
      </c>
      <c r="Q121" s="3">
        <f t="shared" si="42"/>
        <v>109.8176</v>
      </c>
      <c r="R121" s="3">
        <f>vd(DataTable[[#This Row],[Sentido]],DataTable[[#This Row],[Valor]])</f>
        <v>88.874015748031496</v>
      </c>
      <c r="S121" s="3">
        <f>IF(DataTable[[#This Row],[Valor]]&gt;1,1,1)</f>
        <v>1</v>
      </c>
      <c r="T121" s="3">
        <f>IF(DataTable[[#This Row],[Valor]]&gt;1,1,1)</f>
        <v>1</v>
      </c>
      <c r="U121" s="3">
        <f>angr(DataTable[[#This Row],[Sentido]],DataTable[[#This Row],[Valor]])</f>
        <v>50.262992125984248</v>
      </c>
      <c r="V121" s="3">
        <f>ANGI(DataTable[[#This Row],[Sentido]],DataTable[[#This Row],[Valor]])</f>
        <v>51.593700787401573</v>
      </c>
      <c r="W121" s="3">
        <f t="shared" si="43"/>
        <v>2</v>
      </c>
      <c r="X121" s="3">
        <f>IF(DataTable[[#This Row],[Valor]]&gt;1,1,1)</f>
        <v>1</v>
      </c>
      <c r="Y121" s="3">
        <f t="shared" si="44"/>
        <v>2</v>
      </c>
      <c r="Z121" s="3">
        <f>IF(AND(DataTable[[#This Row],[Sentido]]="URUGUAI para BRASIL",DataTable[[#This Row],[Valor]]&gt;350),1,0)</f>
        <v>0</v>
      </c>
      <c r="AA121" s="3">
        <f>IF(DataTable[[#This Row],[Valor]]&gt;1,0,0)</f>
        <v>0</v>
      </c>
    </row>
    <row r="122" spans="1:27" x14ac:dyDescent="0.25">
      <c r="A122" s="2" t="s">
        <v>21</v>
      </c>
      <c r="B122" s="2">
        <v>170</v>
      </c>
      <c r="C122" s="3">
        <f t="shared" si="30"/>
        <v>81.25</v>
      </c>
      <c r="D122" s="3">
        <f t="shared" si="31"/>
        <v>87.5</v>
      </c>
      <c r="E122" s="3">
        <f t="shared" si="32"/>
        <v>83.75</v>
      </c>
      <c r="F122" s="3">
        <f t="shared" si="33"/>
        <v>51.4</v>
      </c>
      <c r="G122" s="3">
        <f t="shared" si="34"/>
        <v>124.6</v>
      </c>
      <c r="H122" s="3">
        <f t="shared" si="35"/>
        <v>124.6</v>
      </c>
      <c r="I122" s="3"/>
      <c r="J122" s="3">
        <f t="shared" si="36"/>
        <v>73.56</v>
      </c>
      <c r="K122" s="3">
        <f t="shared" si="37"/>
        <v>87.5</v>
      </c>
      <c r="L122" s="34">
        <f t="shared" si="38"/>
        <v>83.75</v>
      </c>
      <c r="M122" s="3">
        <f t="shared" si="39"/>
        <v>-6.8</v>
      </c>
      <c r="N122" s="3">
        <f t="shared" si="40"/>
        <v>150</v>
      </c>
      <c r="O122" s="3"/>
      <c r="P122" s="3">
        <f t="shared" si="41"/>
        <v>80.134135433070881</v>
      </c>
      <c r="Q122" s="3">
        <f t="shared" si="42"/>
        <v>109.8176</v>
      </c>
      <c r="R122" s="3">
        <f>vd(DataTable[[#This Row],[Sentido]],DataTable[[#This Row],[Valor]])</f>
        <v>89.251968503937007</v>
      </c>
      <c r="S122" s="3">
        <f>IF(DataTable[[#This Row],[Valor]]&gt;1,1,1)</f>
        <v>1</v>
      </c>
      <c r="T122" s="3">
        <f>IF(DataTable[[#This Row],[Valor]]&gt;1,1,1)</f>
        <v>1</v>
      </c>
      <c r="U122" s="3">
        <f>angr(DataTable[[#This Row],[Sentido]],DataTable[[#This Row],[Valor]])</f>
        <v>50.074015748031499</v>
      </c>
      <c r="V122" s="3">
        <f>ANGI(DataTable[[#This Row],[Sentido]],DataTable[[#This Row],[Valor]])</f>
        <v>51.412598425196848</v>
      </c>
      <c r="W122" s="3">
        <f t="shared" si="43"/>
        <v>2</v>
      </c>
      <c r="X122" s="3">
        <f>IF(DataTable[[#This Row],[Valor]]&gt;1,1,1)</f>
        <v>1</v>
      </c>
      <c r="Y122" s="3">
        <f t="shared" si="44"/>
        <v>2</v>
      </c>
      <c r="Z122" s="3">
        <f>IF(AND(DataTable[[#This Row],[Sentido]]="URUGUAI para BRASIL",DataTable[[#This Row],[Valor]]&gt;350),1,0)</f>
        <v>0</v>
      </c>
      <c r="AA122" s="3">
        <f>IF(DataTable[[#This Row],[Valor]]&gt;1,0,0)</f>
        <v>0</v>
      </c>
    </row>
    <row r="123" spans="1:27" x14ac:dyDescent="0.25">
      <c r="A123" s="2" t="s">
        <v>21</v>
      </c>
      <c r="B123" s="2">
        <v>171</v>
      </c>
      <c r="C123" s="3">
        <f t="shared" si="30"/>
        <v>81.25</v>
      </c>
      <c r="D123" s="3">
        <f t="shared" si="31"/>
        <v>87.5</v>
      </c>
      <c r="E123" s="3">
        <f t="shared" si="32"/>
        <v>83.75</v>
      </c>
      <c r="F123" s="3">
        <f t="shared" si="33"/>
        <v>51.32</v>
      </c>
      <c r="G123" s="3">
        <f t="shared" si="34"/>
        <v>124.48</v>
      </c>
      <c r="H123" s="3">
        <f t="shared" si="35"/>
        <v>124.48</v>
      </c>
      <c r="I123" s="3"/>
      <c r="J123" s="3">
        <f t="shared" si="36"/>
        <v>73.56</v>
      </c>
      <c r="K123" s="3">
        <f t="shared" si="37"/>
        <v>87.5</v>
      </c>
      <c r="L123" s="34">
        <f t="shared" si="38"/>
        <v>83.75</v>
      </c>
      <c r="M123" s="3">
        <f t="shared" si="39"/>
        <v>-6.84</v>
      </c>
      <c r="N123" s="3">
        <f t="shared" si="40"/>
        <v>150</v>
      </c>
      <c r="O123" s="3"/>
      <c r="P123" s="3">
        <f t="shared" si="41"/>
        <v>80.472938582677173</v>
      </c>
      <c r="Q123" s="3">
        <f t="shared" si="42"/>
        <v>109.8176</v>
      </c>
      <c r="R123" s="3">
        <f>vd(DataTable[[#This Row],[Sentido]],DataTable[[#This Row],[Valor]])</f>
        <v>89.629921259842519</v>
      </c>
      <c r="S123" s="3">
        <f>IF(DataTable[[#This Row],[Valor]]&gt;1,1,1)</f>
        <v>1</v>
      </c>
      <c r="T123" s="3">
        <f>IF(DataTable[[#This Row],[Valor]]&gt;1,1,1)</f>
        <v>1</v>
      </c>
      <c r="U123" s="3">
        <f>angr(DataTable[[#This Row],[Sentido]],DataTable[[#This Row],[Valor]])</f>
        <v>49.885039370078744</v>
      </c>
      <c r="V123" s="3">
        <f>ANGI(DataTable[[#This Row],[Sentido]],DataTable[[#This Row],[Valor]])</f>
        <v>51.231496062992129</v>
      </c>
      <c r="W123" s="3">
        <f t="shared" si="43"/>
        <v>2</v>
      </c>
      <c r="X123" s="3">
        <f>IF(DataTable[[#This Row],[Valor]]&gt;1,1,1)</f>
        <v>1</v>
      </c>
      <c r="Y123" s="3">
        <f t="shared" si="44"/>
        <v>2</v>
      </c>
      <c r="Z123" s="3">
        <f>IF(AND(DataTable[[#This Row],[Sentido]]="URUGUAI para BRASIL",DataTable[[#This Row],[Valor]]&gt;350),1,0)</f>
        <v>0</v>
      </c>
      <c r="AA123" s="3">
        <f>IF(DataTable[[#This Row],[Valor]]&gt;1,0,0)</f>
        <v>0</v>
      </c>
    </row>
    <row r="124" spans="1:27" x14ac:dyDescent="0.25">
      <c r="A124" s="2" t="s">
        <v>21</v>
      </c>
      <c r="B124" s="2">
        <v>172</v>
      </c>
      <c r="C124" s="3">
        <f t="shared" si="30"/>
        <v>81.25</v>
      </c>
      <c r="D124" s="3">
        <f t="shared" si="31"/>
        <v>87.5</v>
      </c>
      <c r="E124" s="3">
        <f t="shared" si="32"/>
        <v>83.75</v>
      </c>
      <c r="F124" s="3">
        <f t="shared" si="33"/>
        <v>51.24</v>
      </c>
      <c r="G124" s="3">
        <f t="shared" si="34"/>
        <v>124.36</v>
      </c>
      <c r="H124" s="3">
        <f t="shared" si="35"/>
        <v>124.36</v>
      </c>
      <c r="I124" s="3"/>
      <c r="J124" s="3">
        <f t="shared" si="36"/>
        <v>73.56</v>
      </c>
      <c r="K124" s="3">
        <f t="shared" si="37"/>
        <v>87.5</v>
      </c>
      <c r="L124" s="34">
        <f t="shared" si="38"/>
        <v>83.75</v>
      </c>
      <c r="M124" s="3">
        <f t="shared" si="39"/>
        <v>-6.88</v>
      </c>
      <c r="N124" s="3">
        <f t="shared" si="40"/>
        <v>150</v>
      </c>
      <c r="O124" s="3"/>
      <c r="P124" s="3">
        <f t="shared" si="41"/>
        <v>80.811741732283465</v>
      </c>
      <c r="Q124" s="3">
        <f t="shared" si="42"/>
        <v>109.8176</v>
      </c>
      <c r="R124" s="3">
        <f>vd(DataTable[[#This Row],[Sentido]],DataTable[[#This Row],[Valor]])</f>
        <v>90.00787401574803</v>
      </c>
      <c r="S124" s="3">
        <f>IF(DataTable[[#This Row],[Valor]]&gt;1,1,1)</f>
        <v>1</v>
      </c>
      <c r="T124" s="3">
        <f>IF(DataTable[[#This Row],[Valor]]&gt;1,1,1)</f>
        <v>1</v>
      </c>
      <c r="U124" s="3">
        <f>angr(DataTable[[#This Row],[Sentido]],DataTable[[#This Row],[Valor]])</f>
        <v>49.696062992125988</v>
      </c>
      <c r="V124" s="3">
        <f>ANGI(DataTable[[#This Row],[Sentido]],DataTable[[#This Row],[Valor]])</f>
        <v>51.050393700787403</v>
      </c>
      <c r="W124" s="3">
        <f t="shared" si="43"/>
        <v>2</v>
      </c>
      <c r="X124" s="3">
        <f>IF(DataTable[[#This Row],[Valor]]&gt;1,1,1)</f>
        <v>1</v>
      </c>
      <c r="Y124" s="3">
        <f t="shared" si="44"/>
        <v>2</v>
      </c>
      <c r="Z124" s="3">
        <f>IF(AND(DataTable[[#This Row],[Sentido]]="URUGUAI para BRASIL",DataTable[[#This Row],[Valor]]&gt;350),1,0)</f>
        <v>0</v>
      </c>
      <c r="AA124" s="3">
        <f>IF(DataTable[[#This Row],[Valor]]&gt;1,0,0)</f>
        <v>0</v>
      </c>
    </row>
    <row r="125" spans="1:27" x14ac:dyDescent="0.25">
      <c r="A125" s="2" t="s">
        <v>21</v>
      </c>
      <c r="B125" s="2">
        <v>173</v>
      </c>
      <c r="C125" s="3">
        <f t="shared" si="30"/>
        <v>81.25</v>
      </c>
      <c r="D125" s="3">
        <f t="shared" si="31"/>
        <v>87.5</v>
      </c>
      <c r="E125" s="3">
        <f t="shared" si="32"/>
        <v>83.75</v>
      </c>
      <c r="F125" s="3">
        <f t="shared" si="33"/>
        <v>51.16</v>
      </c>
      <c r="G125" s="3">
        <f t="shared" si="34"/>
        <v>124.24000000000001</v>
      </c>
      <c r="H125" s="3">
        <f t="shared" si="35"/>
        <v>124.24000000000001</v>
      </c>
      <c r="I125" s="3"/>
      <c r="J125" s="3">
        <f t="shared" si="36"/>
        <v>73.56</v>
      </c>
      <c r="K125" s="3">
        <f t="shared" si="37"/>
        <v>87.5</v>
      </c>
      <c r="L125" s="34">
        <f t="shared" si="38"/>
        <v>83.75</v>
      </c>
      <c r="M125" s="3">
        <f t="shared" si="39"/>
        <v>-6.92</v>
      </c>
      <c r="N125" s="3">
        <f t="shared" si="40"/>
        <v>150</v>
      </c>
      <c r="O125" s="3"/>
      <c r="P125" s="3">
        <f t="shared" si="41"/>
        <v>81.150544881889772</v>
      </c>
      <c r="Q125" s="3">
        <f t="shared" si="42"/>
        <v>109.8176</v>
      </c>
      <c r="R125" s="3">
        <f>vd(DataTable[[#This Row],[Sentido]],DataTable[[#This Row],[Valor]])</f>
        <v>90.385826771653541</v>
      </c>
      <c r="S125" s="3">
        <f>IF(DataTable[[#This Row],[Valor]]&gt;1,1,1)</f>
        <v>1</v>
      </c>
      <c r="T125" s="3">
        <f>IF(DataTable[[#This Row],[Valor]]&gt;1,1,1)</f>
        <v>1</v>
      </c>
      <c r="U125" s="3">
        <f>angr(DataTable[[#This Row],[Sentido]],DataTable[[#This Row],[Valor]])</f>
        <v>49.507086614173225</v>
      </c>
      <c r="V125" s="3">
        <f>ANGI(DataTable[[#This Row],[Sentido]],DataTable[[#This Row],[Valor]])</f>
        <v>50.869291338582677</v>
      </c>
      <c r="W125" s="3">
        <f t="shared" si="43"/>
        <v>2</v>
      </c>
      <c r="X125" s="3">
        <f>IF(DataTable[[#This Row],[Valor]]&gt;1,1,1)</f>
        <v>1</v>
      </c>
      <c r="Y125" s="3">
        <f t="shared" si="44"/>
        <v>2</v>
      </c>
      <c r="Z125" s="3">
        <f>IF(AND(DataTable[[#This Row],[Sentido]]="URUGUAI para BRASIL",DataTable[[#This Row],[Valor]]&gt;350),1,0)</f>
        <v>0</v>
      </c>
      <c r="AA125" s="3">
        <f>IF(DataTable[[#This Row],[Valor]]&gt;1,0,0)</f>
        <v>0</v>
      </c>
    </row>
    <row r="126" spans="1:27" x14ac:dyDescent="0.25">
      <c r="A126" s="2" t="s">
        <v>21</v>
      </c>
      <c r="B126" s="2">
        <v>174</v>
      </c>
      <c r="C126" s="3">
        <f t="shared" si="30"/>
        <v>81.25</v>
      </c>
      <c r="D126" s="3">
        <f t="shared" si="31"/>
        <v>87.5</v>
      </c>
      <c r="E126" s="3">
        <f t="shared" si="32"/>
        <v>83.75</v>
      </c>
      <c r="F126" s="3">
        <f t="shared" si="33"/>
        <v>51.08</v>
      </c>
      <c r="G126" s="3">
        <f t="shared" si="34"/>
        <v>124.12</v>
      </c>
      <c r="H126" s="3">
        <f t="shared" si="35"/>
        <v>124.12</v>
      </c>
      <c r="I126" s="3"/>
      <c r="J126" s="3">
        <f t="shared" si="36"/>
        <v>73.56</v>
      </c>
      <c r="K126" s="3">
        <f t="shared" si="37"/>
        <v>87.5</v>
      </c>
      <c r="L126" s="34">
        <f t="shared" si="38"/>
        <v>83.75</v>
      </c>
      <c r="M126" s="3">
        <f t="shared" si="39"/>
        <v>-6.96</v>
      </c>
      <c r="N126" s="3">
        <f t="shared" si="40"/>
        <v>150</v>
      </c>
      <c r="O126" s="3"/>
      <c r="P126" s="3">
        <f t="shared" si="41"/>
        <v>81.489348031496064</v>
      </c>
      <c r="Q126" s="3">
        <f t="shared" si="42"/>
        <v>109.8176</v>
      </c>
      <c r="R126" s="3">
        <f>vd(DataTable[[#This Row],[Sentido]],DataTable[[#This Row],[Valor]])</f>
        <v>90.763779527559052</v>
      </c>
      <c r="S126" s="3">
        <f>IF(DataTable[[#This Row],[Valor]]&gt;1,1,1)</f>
        <v>1</v>
      </c>
      <c r="T126" s="3">
        <f>IF(DataTable[[#This Row],[Valor]]&gt;1,1,1)</f>
        <v>1</v>
      </c>
      <c r="U126" s="3">
        <f>angr(DataTable[[#This Row],[Sentido]],DataTable[[#This Row],[Valor]])</f>
        <v>49.318110236220477</v>
      </c>
      <c r="V126" s="3">
        <f>ANGI(DataTable[[#This Row],[Sentido]],DataTable[[#This Row],[Valor]])</f>
        <v>50.688188976377951</v>
      </c>
      <c r="W126" s="3">
        <f t="shared" si="43"/>
        <v>2</v>
      </c>
      <c r="X126" s="3">
        <f>IF(DataTable[[#This Row],[Valor]]&gt;1,1,1)</f>
        <v>1</v>
      </c>
      <c r="Y126" s="3">
        <f t="shared" si="44"/>
        <v>2</v>
      </c>
      <c r="Z126" s="3">
        <f>IF(AND(DataTable[[#This Row],[Sentido]]="URUGUAI para BRASIL",DataTable[[#This Row],[Valor]]&gt;350),1,0)</f>
        <v>0</v>
      </c>
      <c r="AA126" s="3">
        <f>IF(DataTable[[#This Row],[Valor]]&gt;1,0,0)</f>
        <v>0</v>
      </c>
    </row>
    <row r="127" spans="1:27" x14ac:dyDescent="0.25">
      <c r="A127" s="2" t="s">
        <v>21</v>
      </c>
      <c r="B127" s="2">
        <v>175</v>
      </c>
      <c r="C127" s="3">
        <f t="shared" si="30"/>
        <v>81.25</v>
      </c>
      <c r="D127" s="3">
        <f t="shared" si="31"/>
        <v>87.5</v>
      </c>
      <c r="E127" s="3">
        <f t="shared" si="32"/>
        <v>83.75</v>
      </c>
      <c r="F127" s="3">
        <f t="shared" si="33"/>
        <v>51</v>
      </c>
      <c r="G127" s="3">
        <f t="shared" si="34"/>
        <v>124</v>
      </c>
      <c r="H127" s="3">
        <f t="shared" si="35"/>
        <v>124</v>
      </c>
      <c r="I127" s="3"/>
      <c r="J127" s="3">
        <f t="shared" si="36"/>
        <v>73.56</v>
      </c>
      <c r="K127" s="3">
        <f t="shared" si="37"/>
        <v>87.5</v>
      </c>
      <c r="L127" s="34">
        <f t="shared" si="38"/>
        <v>83.75</v>
      </c>
      <c r="M127" s="3">
        <f t="shared" si="39"/>
        <v>-7</v>
      </c>
      <c r="N127" s="3">
        <f t="shared" si="40"/>
        <v>150</v>
      </c>
      <c r="O127" s="3"/>
      <c r="P127" s="3">
        <f t="shared" si="41"/>
        <v>81.828151181102356</v>
      </c>
      <c r="Q127" s="3">
        <f t="shared" si="42"/>
        <v>109.8176</v>
      </c>
      <c r="R127" s="3">
        <f>vd(DataTable[[#This Row],[Sentido]],DataTable[[#This Row],[Valor]])</f>
        <v>91.141732283464563</v>
      </c>
      <c r="S127" s="3">
        <f>IF(DataTable[[#This Row],[Valor]]&gt;1,1,1)</f>
        <v>1</v>
      </c>
      <c r="T127" s="3">
        <f>IF(DataTable[[#This Row],[Valor]]&gt;1,1,1)</f>
        <v>1</v>
      </c>
      <c r="U127" s="3">
        <f>angr(DataTable[[#This Row],[Sentido]],DataTable[[#This Row],[Valor]])</f>
        <v>49.129133858267721</v>
      </c>
      <c r="V127" s="3">
        <f>ANGI(DataTable[[#This Row],[Sentido]],DataTable[[#This Row],[Valor]])</f>
        <v>50.507086614173232</v>
      </c>
      <c r="W127" s="3">
        <f t="shared" si="43"/>
        <v>2</v>
      </c>
      <c r="X127" s="3">
        <f>IF(DataTable[[#This Row],[Valor]]&gt;1,1,1)</f>
        <v>1</v>
      </c>
      <c r="Y127" s="3">
        <f t="shared" si="44"/>
        <v>2</v>
      </c>
      <c r="Z127" s="3">
        <f>IF(AND(DataTable[[#This Row],[Sentido]]="URUGUAI para BRASIL",DataTable[[#This Row],[Valor]]&gt;350),1,0)</f>
        <v>0</v>
      </c>
      <c r="AA127" s="3">
        <f>IF(DataTable[[#This Row],[Valor]]&gt;1,0,0)</f>
        <v>0</v>
      </c>
    </row>
    <row r="128" spans="1:27" x14ac:dyDescent="0.25">
      <c r="A128" s="2" t="s">
        <v>21</v>
      </c>
      <c r="B128" s="2">
        <v>176</v>
      </c>
      <c r="C128" s="3">
        <f t="shared" si="30"/>
        <v>81.25</v>
      </c>
      <c r="D128" s="3">
        <f t="shared" si="31"/>
        <v>87.5</v>
      </c>
      <c r="E128" s="3">
        <f t="shared" si="32"/>
        <v>83.75</v>
      </c>
      <c r="F128" s="3">
        <f t="shared" si="33"/>
        <v>50.92</v>
      </c>
      <c r="G128" s="3">
        <f t="shared" si="34"/>
        <v>123.88</v>
      </c>
      <c r="H128" s="3">
        <f t="shared" si="35"/>
        <v>123.88</v>
      </c>
      <c r="I128" s="3"/>
      <c r="J128" s="3">
        <f t="shared" si="36"/>
        <v>73.56</v>
      </c>
      <c r="K128" s="3">
        <f t="shared" si="37"/>
        <v>87.5</v>
      </c>
      <c r="L128" s="34">
        <f t="shared" si="38"/>
        <v>83.75</v>
      </c>
      <c r="M128" s="3">
        <f t="shared" si="39"/>
        <v>-7.04</v>
      </c>
      <c r="N128" s="3">
        <f t="shared" si="40"/>
        <v>150</v>
      </c>
      <c r="O128" s="3"/>
      <c r="P128" s="3">
        <f t="shared" si="41"/>
        <v>82.166954330708677</v>
      </c>
      <c r="Q128" s="3">
        <f t="shared" si="42"/>
        <v>109.8176</v>
      </c>
      <c r="R128" s="3">
        <f>vd(DataTable[[#This Row],[Sentido]],DataTable[[#This Row],[Valor]])</f>
        <v>91.519685039370088</v>
      </c>
      <c r="S128" s="3">
        <f>IF(DataTable[[#This Row],[Valor]]&gt;1,1,1)</f>
        <v>1</v>
      </c>
      <c r="T128" s="3">
        <f>IF(DataTable[[#This Row],[Valor]]&gt;1,1,1)</f>
        <v>1</v>
      </c>
      <c r="U128" s="3">
        <f>angr(DataTable[[#This Row],[Sentido]],DataTable[[#This Row],[Valor]])</f>
        <v>48.940157480314959</v>
      </c>
      <c r="V128" s="3">
        <f>ANGI(DataTable[[#This Row],[Sentido]],DataTable[[#This Row],[Valor]])</f>
        <v>50.325984251968499</v>
      </c>
      <c r="W128" s="3">
        <f t="shared" si="43"/>
        <v>2</v>
      </c>
      <c r="X128" s="3">
        <f>IF(DataTable[[#This Row],[Valor]]&gt;1,1,1)</f>
        <v>1</v>
      </c>
      <c r="Y128" s="3">
        <f t="shared" si="44"/>
        <v>2</v>
      </c>
      <c r="Z128" s="3">
        <f>IF(AND(DataTable[[#This Row],[Sentido]]="URUGUAI para BRASIL",DataTable[[#This Row],[Valor]]&gt;350),1,0)</f>
        <v>0</v>
      </c>
      <c r="AA128" s="3">
        <f>IF(DataTable[[#This Row],[Valor]]&gt;1,0,0)</f>
        <v>0</v>
      </c>
    </row>
    <row r="129" spans="1:27" x14ac:dyDescent="0.25">
      <c r="A129" s="2" t="s">
        <v>21</v>
      </c>
      <c r="B129" s="2">
        <v>177</v>
      </c>
      <c r="C129" s="3">
        <f t="shared" si="30"/>
        <v>81.25</v>
      </c>
      <c r="D129" s="3">
        <f t="shared" si="31"/>
        <v>87.5</v>
      </c>
      <c r="E129" s="3">
        <f t="shared" si="32"/>
        <v>83.75</v>
      </c>
      <c r="F129" s="3">
        <f t="shared" si="33"/>
        <v>50.84</v>
      </c>
      <c r="G129" s="3">
        <f t="shared" si="34"/>
        <v>123.75999999999999</v>
      </c>
      <c r="H129" s="3">
        <f t="shared" si="35"/>
        <v>123.75999999999999</v>
      </c>
      <c r="I129" s="3"/>
      <c r="J129" s="3">
        <f t="shared" si="36"/>
        <v>73.56</v>
      </c>
      <c r="K129" s="3">
        <f t="shared" si="37"/>
        <v>87.5</v>
      </c>
      <c r="L129" s="34">
        <f t="shared" si="38"/>
        <v>83.75</v>
      </c>
      <c r="M129" s="3">
        <f t="shared" si="39"/>
        <v>-7.08</v>
      </c>
      <c r="N129" s="3">
        <f t="shared" si="40"/>
        <v>150</v>
      </c>
      <c r="O129" s="3"/>
      <c r="P129" s="3">
        <f t="shared" si="41"/>
        <v>82.505757480314969</v>
      </c>
      <c r="Q129" s="3">
        <f t="shared" si="42"/>
        <v>109.8176</v>
      </c>
      <c r="R129" s="3">
        <f>vd(DataTable[[#This Row],[Sentido]],DataTable[[#This Row],[Valor]])</f>
        <v>91.8976377952756</v>
      </c>
      <c r="S129" s="3">
        <f>IF(DataTable[[#This Row],[Valor]]&gt;1,1,1)</f>
        <v>1</v>
      </c>
      <c r="T129" s="3">
        <f>IF(DataTable[[#This Row],[Valor]]&gt;1,1,1)</f>
        <v>1</v>
      </c>
      <c r="U129" s="3">
        <f>angr(DataTable[[#This Row],[Sentido]],DataTable[[#This Row],[Valor]])</f>
        <v>48.751181102362203</v>
      </c>
      <c r="V129" s="3">
        <f>ANGI(DataTable[[#This Row],[Sentido]],DataTable[[#This Row],[Valor]])</f>
        <v>50.144881889763781</v>
      </c>
      <c r="W129" s="3">
        <f t="shared" si="43"/>
        <v>2</v>
      </c>
      <c r="X129" s="3">
        <f>IF(DataTable[[#This Row],[Valor]]&gt;1,1,1)</f>
        <v>1</v>
      </c>
      <c r="Y129" s="3">
        <f t="shared" si="44"/>
        <v>2</v>
      </c>
      <c r="Z129" s="3">
        <f>IF(AND(DataTable[[#This Row],[Sentido]]="URUGUAI para BRASIL",DataTable[[#This Row],[Valor]]&gt;350),1,0)</f>
        <v>0</v>
      </c>
      <c r="AA129" s="3">
        <f>IF(DataTable[[#This Row],[Valor]]&gt;1,0,0)</f>
        <v>0</v>
      </c>
    </row>
    <row r="130" spans="1:27" x14ac:dyDescent="0.25">
      <c r="A130" s="2" t="s">
        <v>21</v>
      </c>
      <c r="B130" s="2">
        <v>178</v>
      </c>
      <c r="C130" s="3">
        <f t="shared" si="30"/>
        <v>81.25</v>
      </c>
      <c r="D130" s="3">
        <f t="shared" si="31"/>
        <v>87.5</v>
      </c>
      <c r="E130" s="3">
        <f t="shared" si="32"/>
        <v>83.75</v>
      </c>
      <c r="F130" s="3">
        <f t="shared" si="33"/>
        <v>50.76</v>
      </c>
      <c r="G130" s="3">
        <f t="shared" si="34"/>
        <v>123.64</v>
      </c>
      <c r="H130" s="3">
        <f t="shared" si="35"/>
        <v>123.64</v>
      </c>
      <c r="I130" s="3"/>
      <c r="J130" s="3">
        <f t="shared" si="36"/>
        <v>73.56</v>
      </c>
      <c r="K130" s="3">
        <f t="shared" si="37"/>
        <v>87.5</v>
      </c>
      <c r="L130" s="34">
        <f t="shared" si="38"/>
        <v>83.75</v>
      </c>
      <c r="M130" s="3">
        <f t="shared" si="39"/>
        <v>-7.12</v>
      </c>
      <c r="N130" s="3">
        <f t="shared" si="40"/>
        <v>150</v>
      </c>
      <c r="O130" s="3"/>
      <c r="P130" s="3">
        <f t="shared" si="41"/>
        <v>82.844560629921261</v>
      </c>
      <c r="Q130" s="3">
        <f t="shared" si="42"/>
        <v>109.8176</v>
      </c>
      <c r="R130" s="3">
        <f>vd(DataTable[[#This Row],[Sentido]],DataTable[[#This Row],[Valor]])</f>
        <v>92.269291338582676</v>
      </c>
      <c r="S130" s="3">
        <f>IF(DataTable[[#This Row],[Valor]]&gt;1,1,1)</f>
        <v>1</v>
      </c>
      <c r="T130" s="3">
        <f>IF(DataTable[[#This Row],[Valor]]&gt;1,1,1)</f>
        <v>1</v>
      </c>
      <c r="U130" s="3">
        <f>angr(DataTable[[#This Row],[Sentido]],DataTable[[#This Row],[Valor]])</f>
        <v>48.562204724409455</v>
      </c>
      <c r="V130" s="3">
        <f>ANGI(DataTable[[#This Row],[Sentido]],DataTable[[#This Row],[Valor]])</f>
        <v>49.964566929133859</v>
      </c>
      <c r="W130" s="3">
        <f t="shared" si="43"/>
        <v>2</v>
      </c>
      <c r="X130" s="3">
        <f>IF(DataTable[[#This Row],[Valor]]&gt;1,1,1)</f>
        <v>1</v>
      </c>
      <c r="Y130" s="3">
        <f t="shared" si="44"/>
        <v>2</v>
      </c>
      <c r="Z130" s="3">
        <f>IF(AND(DataTable[[#This Row],[Sentido]]="URUGUAI para BRASIL",DataTable[[#This Row],[Valor]]&gt;350),1,0)</f>
        <v>0</v>
      </c>
      <c r="AA130" s="3">
        <f>IF(DataTable[[#This Row],[Valor]]&gt;1,0,0)</f>
        <v>0</v>
      </c>
    </row>
    <row r="131" spans="1:27" x14ac:dyDescent="0.25">
      <c r="A131" s="2" t="s">
        <v>21</v>
      </c>
      <c r="B131" s="2">
        <v>179</v>
      </c>
      <c r="C131" s="3">
        <f t="shared" si="30"/>
        <v>81.25</v>
      </c>
      <c r="D131" s="3">
        <f t="shared" si="31"/>
        <v>87.5</v>
      </c>
      <c r="E131" s="3">
        <f t="shared" si="32"/>
        <v>83.75</v>
      </c>
      <c r="F131" s="3">
        <f t="shared" si="33"/>
        <v>50.68</v>
      </c>
      <c r="G131" s="3">
        <f t="shared" si="34"/>
        <v>123.52000000000001</v>
      </c>
      <c r="H131" s="3">
        <f t="shared" si="35"/>
        <v>123.52000000000001</v>
      </c>
      <c r="I131" s="3"/>
      <c r="J131" s="3">
        <f t="shared" si="36"/>
        <v>73.56</v>
      </c>
      <c r="K131" s="3">
        <f t="shared" si="37"/>
        <v>87.5</v>
      </c>
      <c r="L131" s="34">
        <f t="shared" si="38"/>
        <v>83.75</v>
      </c>
      <c r="M131" s="3">
        <f t="shared" si="39"/>
        <v>-7.16</v>
      </c>
      <c r="N131" s="3">
        <f t="shared" si="40"/>
        <v>150</v>
      </c>
      <c r="O131" s="3"/>
      <c r="P131" s="3">
        <f t="shared" si="41"/>
        <v>83.183363779527568</v>
      </c>
      <c r="Q131" s="3">
        <f t="shared" si="42"/>
        <v>109.8176</v>
      </c>
      <c r="R131" s="3">
        <f>vd(DataTable[[#This Row],[Sentido]],DataTable[[#This Row],[Valor]])</f>
        <v>92.615748031496068</v>
      </c>
      <c r="S131" s="3">
        <f>IF(DataTable[[#This Row],[Valor]]&gt;1,1,1)</f>
        <v>1</v>
      </c>
      <c r="T131" s="3">
        <f>IF(DataTable[[#This Row],[Valor]]&gt;1,1,1)</f>
        <v>1</v>
      </c>
      <c r="U131" s="3">
        <f>angr(DataTable[[#This Row],[Sentido]],DataTable[[#This Row],[Valor]])</f>
        <v>48.373228346456692</v>
      </c>
      <c r="V131" s="3">
        <f>ANGI(DataTable[[#This Row],[Sentido]],DataTable[[#This Row],[Valor]])</f>
        <v>49.787401574803148</v>
      </c>
      <c r="W131" s="3">
        <f t="shared" si="43"/>
        <v>2</v>
      </c>
      <c r="X131" s="3">
        <f>IF(DataTable[[#This Row],[Valor]]&gt;1,1,1)</f>
        <v>1</v>
      </c>
      <c r="Y131" s="3">
        <f t="shared" si="44"/>
        <v>2</v>
      </c>
      <c r="Z131" s="3">
        <f>IF(AND(DataTable[[#This Row],[Sentido]]="URUGUAI para BRASIL",DataTable[[#This Row],[Valor]]&gt;350),1,0)</f>
        <v>0</v>
      </c>
      <c r="AA131" s="3">
        <f>IF(DataTable[[#This Row],[Valor]]&gt;1,0,0)</f>
        <v>0</v>
      </c>
    </row>
    <row r="132" spans="1:27" x14ac:dyDescent="0.25">
      <c r="A132" s="2" t="s">
        <v>21</v>
      </c>
      <c r="B132" s="2">
        <v>180</v>
      </c>
      <c r="C132" s="3">
        <f t="shared" si="30"/>
        <v>81.25</v>
      </c>
      <c r="D132" s="3">
        <f t="shared" si="31"/>
        <v>87.5</v>
      </c>
      <c r="E132" s="3">
        <f t="shared" si="32"/>
        <v>83.75</v>
      </c>
      <c r="F132" s="3">
        <f t="shared" si="33"/>
        <v>50.6</v>
      </c>
      <c r="G132" s="3">
        <f t="shared" si="34"/>
        <v>123.4</v>
      </c>
      <c r="H132" s="3">
        <f t="shared" si="35"/>
        <v>123.4</v>
      </c>
      <c r="I132" s="3"/>
      <c r="J132" s="3">
        <f t="shared" si="36"/>
        <v>73.56</v>
      </c>
      <c r="K132" s="3">
        <f t="shared" si="37"/>
        <v>87.5</v>
      </c>
      <c r="L132" s="34">
        <f t="shared" si="38"/>
        <v>83.75</v>
      </c>
      <c r="M132" s="3">
        <f t="shared" si="39"/>
        <v>-7.2</v>
      </c>
      <c r="N132" s="3">
        <f t="shared" si="40"/>
        <v>150</v>
      </c>
      <c r="O132" s="3"/>
      <c r="P132" s="3">
        <f t="shared" si="41"/>
        <v>83.522166929133874</v>
      </c>
      <c r="Q132" s="3">
        <f t="shared" si="42"/>
        <v>109.8176</v>
      </c>
      <c r="R132" s="3">
        <f>vd(DataTable[[#This Row],[Sentido]],DataTable[[#This Row],[Valor]])</f>
        <v>92.96220472440946</v>
      </c>
      <c r="S132" s="3">
        <f>IF(DataTable[[#This Row],[Valor]]&gt;1,1,1)</f>
        <v>1</v>
      </c>
      <c r="T132" s="3">
        <f>IF(DataTable[[#This Row],[Valor]]&gt;1,1,1)</f>
        <v>1</v>
      </c>
      <c r="U132" s="3">
        <f>angr(DataTable[[#This Row],[Sentido]],DataTable[[#This Row],[Valor]])</f>
        <v>48.184251968503936</v>
      </c>
      <c r="V132" s="3">
        <f>ANGI(DataTable[[#This Row],[Sentido]],DataTable[[#This Row],[Valor]])</f>
        <v>49.610236220472437</v>
      </c>
      <c r="W132" s="3">
        <f t="shared" si="43"/>
        <v>2</v>
      </c>
      <c r="X132" s="3">
        <f>IF(DataTable[[#This Row],[Valor]]&gt;1,1,1)</f>
        <v>1</v>
      </c>
      <c r="Y132" s="3">
        <f t="shared" si="44"/>
        <v>2</v>
      </c>
      <c r="Z132" s="3">
        <f>IF(AND(DataTable[[#This Row],[Sentido]]="URUGUAI para BRASIL",DataTable[[#This Row],[Valor]]&gt;350),1,0)</f>
        <v>0</v>
      </c>
      <c r="AA132" s="3">
        <f>IF(DataTable[[#This Row],[Valor]]&gt;1,0,0)</f>
        <v>0</v>
      </c>
    </row>
    <row r="133" spans="1:27" x14ac:dyDescent="0.25">
      <c r="A133" s="2" t="s">
        <v>21</v>
      </c>
      <c r="B133" s="2">
        <v>181</v>
      </c>
      <c r="C133" s="3">
        <f t="shared" ref="C133:C196" si="45">MiniVWVB(A133,B133,E133)</f>
        <v>81.25</v>
      </c>
      <c r="D133" s="3">
        <f t="shared" ref="D133:D196" si="46">MaxVWV(A133,B133)</f>
        <v>87.5</v>
      </c>
      <c r="E133" s="3">
        <f t="shared" ref="E133:E196" si="47">RatedVWV(B133)</f>
        <v>83.75</v>
      </c>
      <c r="F133" s="3">
        <f t="shared" ref="F133:F196" si="48">MinQB(A133,B133)</f>
        <v>50.519999999999996</v>
      </c>
      <c r="G133" s="3">
        <f t="shared" ref="G133:G196" si="49">MaxQB3F(A133,B133)</f>
        <v>123.28</v>
      </c>
      <c r="H133" s="3">
        <f t="shared" ref="H133:H196" si="50">MaxQB4F(A133,B133)</f>
        <v>123.28</v>
      </c>
      <c r="I133" s="3"/>
      <c r="J133" s="3">
        <f t="shared" ref="J133:J196" si="51">MiniVWVU(A133,B133,L133)</f>
        <v>73.56</v>
      </c>
      <c r="K133" s="3">
        <f t="shared" ref="K133:K196" si="52">MaxVWV(A133,B133)</f>
        <v>87.5</v>
      </c>
      <c r="L133" s="34">
        <f t="shared" ref="L133:L196" si="53">RatedVWV(B133)</f>
        <v>83.75</v>
      </c>
      <c r="M133" s="3">
        <f t="shared" ref="M133:M196" si="54">MinQU(A133,B133)</f>
        <v>-7.24</v>
      </c>
      <c r="N133" s="3">
        <f t="shared" ref="N133:N196" si="55">MaxQU(A133,B133)</f>
        <v>150</v>
      </c>
      <c r="O133" s="3"/>
      <c r="P133" s="3">
        <f t="shared" ref="P133:P196" si="56">MiniUpper(A133,B133)</f>
        <v>83.860970078740166</v>
      </c>
      <c r="Q133" s="3">
        <f t="shared" ref="Q133:Q196" si="57">MaxUpper(A133,B133)</f>
        <v>109.8176</v>
      </c>
      <c r="R133" s="3">
        <f>vd(DataTable[[#This Row],[Sentido]],DataTable[[#This Row],[Valor]])</f>
        <v>93.308661417322838</v>
      </c>
      <c r="S133" s="3">
        <f>IF(DataTable[[#This Row],[Valor]]&gt;1,1,1)</f>
        <v>1</v>
      </c>
      <c r="T133" s="3">
        <f>IF(DataTable[[#This Row],[Valor]]&gt;1,1,1)</f>
        <v>1</v>
      </c>
      <c r="U133" s="3">
        <f>angr(DataTable[[#This Row],[Sentido]],DataTable[[#This Row],[Valor]])</f>
        <v>47.995275590551181</v>
      </c>
      <c r="V133" s="3">
        <f>ANGI(DataTable[[#This Row],[Sentido]],DataTable[[#This Row],[Valor]])</f>
        <v>49.433070866141733</v>
      </c>
      <c r="W133" s="3">
        <f t="shared" ref="W133:W196" si="58">IF(A134="URUGUAI para BRASIL",IF(B133&gt;119,IF(B133&gt;240,3,2),1),IF(B133&gt;120,IF(B133&gt;240,3,2),1))</f>
        <v>2</v>
      </c>
      <c r="X133" s="3">
        <f>IF(DataTable[[#This Row],[Valor]]&gt;1,1,1)</f>
        <v>1</v>
      </c>
      <c r="Y133" s="3">
        <f t="shared" ref="Y133:Y196" si="59">IF(A134="URUGUAI para BRASIL",IF(B133&gt;119,IF(B133&gt;240,3,2),1),IF(B133&gt;120,IF(B133&gt;240,3,2),1))</f>
        <v>2</v>
      </c>
      <c r="Z133" s="3">
        <f>IF(AND(DataTable[[#This Row],[Sentido]]="URUGUAI para BRASIL",DataTable[[#This Row],[Valor]]&gt;350),1,0)</f>
        <v>0</v>
      </c>
      <c r="AA133" s="3">
        <f>IF(DataTable[[#This Row],[Valor]]&gt;1,0,0)</f>
        <v>0</v>
      </c>
    </row>
    <row r="134" spans="1:27" x14ac:dyDescent="0.25">
      <c r="A134" s="2" t="s">
        <v>21</v>
      </c>
      <c r="B134" s="2">
        <v>182</v>
      </c>
      <c r="C134" s="3">
        <f t="shared" si="45"/>
        <v>81.25</v>
      </c>
      <c r="D134" s="3">
        <f t="shared" si="46"/>
        <v>87.5</v>
      </c>
      <c r="E134" s="3">
        <f t="shared" si="47"/>
        <v>83.75</v>
      </c>
      <c r="F134" s="3">
        <f t="shared" si="48"/>
        <v>50.44</v>
      </c>
      <c r="G134" s="3">
        <f t="shared" si="49"/>
        <v>123.16</v>
      </c>
      <c r="H134" s="3">
        <f t="shared" si="50"/>
        <v>123.16</v>
      </c>
      <c r="I134" s="3"/>
      <c r="J134" s="3">
        <f t="shared" si="51"/>
        <v>73.56</v>
      </c>
      <c r="K134" s="3">
        <f t="shared" si="52"/>
        <v>87.5</v>
      </c>
      <c r="L134" s="34">
        <f t="shared" si="53"/>
        <v>83.75</v>
      </c>
      <c r="M134" s="3">
        <f t="shared" si="54"/>
        <v>-7.28</v>
      </c>
      <c r="N134" s="3">
        <f t="shared" si="55"/>
        <v>150</v>
      </c>
      <c r="O134" s="3"/>
      <c r="P134" s="3">
        <f t="shared" si="56"/>
        <v>84.199773228346459</v>
      </c>
      <c r="Q134" s="3">
        <f t="shared" si="57"/>
        <v>109.8176</v>
      </c>
      <c r="R134" s="3">
        <f>vd(DataTable[[#This Row],[Sentido]],DataTable[[#This Row],[Valor]])</f>
        <v>93.655118110236216</v>
      </c>
      <c r="S134" s="3">
        <f>IF(DataTable[[#This Row],[Valor]]&gt;1,1,1)</f>
        <v>1</v>
      </c>
      <c r="T134" s="3">
        <f>IF(DataTable[[#This Row],[Valor]]&gt;1,1,1)</f>
        <v>1</v>
      </c>
      <c r="U134" s="3">
        <f>angr(DataTable[[#This Row],[Sentido]],DataTable[[#This Row],[Valor]])</f>
        <v>47.806299212598432</v>
      </c>
      <c r="V134" s="3">
        <f>ANGI(DataTable[[#This Row],[Sentido]],DataTable[[#This Row],[Valor]])</f>
        <v>49.255905511811029</v>
      </c>
      <c r="W134" s="3">
        <f t="shared" si="58"/>
        <v>2</v>
      </c>
      <c r="X134" s="3">
        <f>IF(DataTable[[#This Row],[Valor]]&gt;1,1,1)</f>
        <v>1</v>
      </c>
      <c r="Y134" s="3">
        <f t="shared" si="59"/>
        <v>2</v>
      </c>
      <c r="Z134" s="3">
        <f>IF(AND(DataTable[[#This Row],[Sentido]]="URUGUAI para BRASIL",DataTable[[#This Row],[Valor]]&gt;350),1,0)</f>
        <v>0</v>
      </c>
      <c r="AA134" s="3">
        <f>IF(DataTable[[#This Row],[Valor]]&gt;1,0,0)</f>
        <v>0</v>
      </c>
    </row>
    <row r="135" spans="1:27" x14ac:dyDescent="0.25">
      <c r="A135" s="2" t="s">
        <v>21</v>
      </c>
      <c r="B135" s="2">
        <v>183</v>
      </c>
      <c r="C135" s="3">
        <f t="shared" si="45"/>
        <v>81.25</v>
      </c>
      <c r="D135" s="3">
        <f t="shared" si="46"/>
        <v>87.5</v>
      </c>
      <c r="E135" s="3">
        <f t="shared" si="47"/>
        <v>83.75</v>
      </c>
      <c r="F135" s="3">
        <f t="shared" si="48"/>
        <v>50.36</v>
      </c>
      <c r="G135" s="3">
        <f t="shared" si="49"/>
        <v>123.03999999999999</v>
      </c>
      <c r="H135" s="3">
        <f t="shared" si="50"/>
        <v>123.03999999999999</v>
      </c>
      <c r="I135" s="3"/>
      <c r="J135" s="3">
        <f t="shared" si="51"/>
        <v>73.56</v>
      </c>
      <c r="K135" s="3">
        <f t="shared" si="52"/>
        <v>87.5</v>
      </c>
      <c r="L135" s="34">
        <f t="shared" si="53"/>
        <v>83.75</v>
      </c>
      <c r="M135" s="3">
        <f t="shared" si="54"/>
        <v>-7.32</v>
      </c>
      <c r="N135" s="3">
        <f t="shared" si="55"/>
        <v>150</v>
      </c>
      <c r="O135" s="3"/>
      <c r="P135" s="3">
        <f t="shared" si="56"/>
        <v>84.538576377952765</v>
      </c>
      <c r="Q135" s="3">
        <f t="shared" si="57"/>
        <v>109.8176</v>
      </c>
      <c r="R135" s="3">
        <f>vd(DataTable[[#This Row],[Sentido]],DataTable[[#This Row],[Valor]])</f>
        <v>94.001574803149609</v>
      </c>
      <c r="S135" s="3">
        <f>IF(DataTable[[#This Row],[Valor]]&gt;1,1,1)</f>
        <v>1</v>
      </c>
      <c r="T135" s="3">
        <f>IF(DataTable[[#This Row],[Valor]]&gt;1,1,1)</f>
        <v>1</v>
      </c>
      <c r="U135" s="3">
        <f>angr(DataTable[[#This Row],[Sentido]],DataTable[[#This Row],[Valor]])</f>
        <v>47.61732283464567</v>
      </c>
      <c r="V135" s="3">
        <f>ANGI(DataTable[[#This Row],[Sentido]],DataTable[[#This Row],[Valor]])</f>
        <v>49.078740157480311</v>
      </c>
      <c r="W135" s="3">
        <f t="shared" si="58"/>
        <v>2</v>
      </c>
      <c r="X135" s="3">
        <f>IF(DataTable[[#This Row],[Valor]]&gt;1,1,1)</f>
        <v>1</v>
      </c>
      <c r="Y135" s="3">
        <f t="shared" si="59"/>
        <v>2</v>
      </c>
      <c r="Z135" s="3">
        <f>IF(AND(DataTable[[#This Row],[Sentido]]="URUGUAI para BRASIL",DataTable[[#This Row],[Valor]]&gt;350),1,0)</f>
        <v>0</v>
      </c>
      <c r="AA135" s="3">
        <f>IF(DataTable[[#This Row],[Valor]]&gt;1,0,0)</f>
        <v>0</v>
      </c>
    </row>
    <row r="136" spans="1:27" x14ac:dyDescent="0.25">
      <c r="A136" s="2" t="s">
        <v>21</v>
      </c>
      <c r="B136" s="2">
        <v>184</v>
      </c>
      <c r="C136" s="3">
        <f t="shared" si="45"/>
        <v>81.25</v>
      </c>
      <c r="D136" s="3">
        <f t="shared" si="46"/>
        <v>87.5</v>
      </c>
      <c r="E136" s="3">
        <f t="shared" si="47"/>
        <v>83.75</v>
      </c>
      <c r="F136" s="3">
        <f t="shared" si="48"/>
        <v>50.28</v>
      </c>
      <c r="G136" s="3">
        <f t="shared" si="49"/>
        <v>122.92</v>
      </c>
      <c r="H136" s="3">
        <f t="shared" si="50"/>
        <v>122.92</v>
      </c>
      <c r="I136" s="3"/>
      <c r="J136" s="3">
        <f t="shared" si="51"/>
        <v>73.56</v>
      </c>
      <c r="K136" s="3">
        <f t="shared" si="52"/>
        <v>87.5</v>
      </c>
      <c r="L136" s="34">
        <f t="shared" si="53"/>
        <v>83.75</v>
      </c>
      <c r="M136" s="3">
        <f t="shared" si="54"/>
        <v>-7.36</v>
      </c>
      <c r="N136" s="3">
        <f t="shared" si="55"/>
        <v>150</v>
      </c>
      <c r="O136" s="3"/>
      <c r="P136" s="3">
        <f t="shared" si="56"/>
        <v>84.877379527559057</v>
      </c>
      <c r="Q136" s="3">
        <f t="shared" si="57"/>
        <v>109.8176</v>
      </c>
      <c r="R136" s="3">
        <f>vd(DataTable[[#This Row],[Sentido]],DataTable[[#This Row],[Valor]])</f>
        <v>94.348031496062987</v>
      </c>
      <c r="S136" s="3">
        <f>IF(DataTable[[#This Row],[Valor]]&gt;1,1,1)</f>
        <v>1</v>
      </c>
      <c r="T136" s="3">
        <f>IF(DataTable[[#This Row],[Valor]]&gt;1,1,1)</f>
        <v>1</v>
      </c>
      <c r="U136" s="3">
        <f>angr(DataTable[[#This Row],[Sentido]],DataTable[[#This Row],[Valor]])</f>
        <v>47.428346456692914</v>
      </c>
      <c r="V136" s="3">
        <f>ANGI(DataTable[[#This Row],[Sentido]],DataTable[[#This Row],[Valor]])</f>
        <v>48.901574803149607</v>
      </c>
      <c r="W136" s="3">
        <f t="shared" si="58"/>
        <v>2</v>
      </c>
      <c r="X136" s="3">
        <f>IF(DataTable[[#This Row],[Valor]]&gt;1,1,1)</f>
        <v>1</v>
      </c>
      <c r="Y136" s="3">
        <f t="shared" si="59"/>
        <v>2</v>
      </c>
      <c r="Z136" s="3">
        <f>IF(AND(DataTable[[#This Row],[Sentido]]="URUGUAI para BRASIL",DataTable[[#This Row],[Valor]]&gt;350),1,0)</f>
        <v>0</v>
      </c>
      <c r="AA136" s="3">
        <f>IF(DataTable[[#This Row],[Valor]]&gt;1,0,0)</f>
        <v>0</v>
      </c>
    </row>
    <row r="137" spans="1:27" x14ac:dyDescent="0.25">
      <c r="A137" s="2" t="s">
        <v>21</v>
      </c>
      <c r="B137" s="2">
        <v>185</v>
      </c>
      <c r="C137" s="3">
        <f t="shared" si="45"/>
        <v>81.25</v>
      </c>
      <c r="D137" s="3">
        <f t="shared" si="46"/>
        <v>87.5</v>
      </c>
      <c r="E137" s="3">
        <f t="shared" si="47"/>
        <v>83.75</v>
      </c>
      <c r="F137" s="3">
        <f t="shared" si="48"/>
        <v>50.2</v>
      </c>
      <c r="G137" s="3">
        <f t="shared" si="49"/>
        <v>122.80000000000001</v>
      </c>
      <c r="H137" s="3">
        <f t="shared" si="50"/>
        <v>122.80000000000001</v>
      </c>
      <c r="I137" s="3"/>
      <c r="J137" s="3">
        <f t="shared" si="51"/>
        <v>73.56</v>
      </c>
      <c r="K137" s="3">
        <f t="shared" si="52"/>
        <v>87.5</v>
      </c>
      <c r="L137" s="34">
        <f t="shared" si="53"/>
        <v>83.75</v>
      </c>
      <c r="M137" s="3">
        <f t="shared" si="54"/>
        <v>-7.4</v>
      </c>
      <c r="N137" s="3">
        <f t="shared" si="55"/>
        <v>150</v>
      </c>
      <c r="O137" s="3"/>
      <c r="P137" s="3">
        <f t="shared" si="56"/>
        <v>85.216182677165349</v>
      </c>
      <c r="Q137" s="3">
        <f t="shared" si="57"/>
        <v>109.8176</v>
      </c>
      <c r="R137" s="3">
        <f>vd(DataTable[[#This Row],[Sentido]],DataTable[[#This Row],[Valor]])</f>
        <v>94.694488188976379</v>
      </c>
      <c r="S137" s="3">
        <f>IF(DataTable[[#This Row],[Valor]]&gt;1,1,1)</f>
        <v>1</v>
      </c>
      <c r="T137" s="3">
        <f>IF(DataTable[[#This Row],[Valor]]&gt;1,1,1)</f>
        <v>1</v>
      </c>
      <c r="U137" s="3">
        <f>angr(DataTable[[#This Row],[Sentido]],DataTable[[#This Row],[Valor]])</f>
        <v>47.239370078740158</v>
      </c>
      <c r="V137" s="3">
        <f>ANGI(DataTable[[#This Row],[Sentido]],DataTable[[#This Row],[Valor]])</f>
        <v>48.724409448818903</v>
      </c>
      <c r="W137" s="3">
        <f t="shared" si="58"/>
        <v>2</v>
      </c>
      <c r="X137" s="3">
        <f>IF(DataTable[[#This Row],[Valor]]&gt;1,1,1)</f>
        <v>1</v>
      </c>
      <c r="Y137" s="3">
        <f t="shared" si="59"/>
        <v>2</v>
      </c>
      <c r="Z137" s="3">
        <f>IF(AND(DataTable[[#This Row],[Sentido]]="URUGUAI para BRASIL",DataTable[[#This Row],[Valor]]&gt;350),1,0)</f>
        <v>0</v>
      </c>
      <c r="AA137" s="3">
        <f>IF(DataTable[[#This Row],[Valor]]&gt;1,0,0)</f>
        <v>0</v>
      </c>
    </row>
    <row r="138" spans="1:27" x14ac:dyDescent="0.25">
      <c r="A138" s="2" t="s">
        <v>21</v>
      </c>
      <c r="B138" s="2">
        <v>186</v>
      </c>
      <c r="C138" s="3">
        <f t="shared" si="45"/>
        <v>81.25</v>
      </c>
      <c r="D138" s="3">
        <f t="shared" si="46"/>
        <v>87.5</v>
      </c>
      <c r="E138" s="3">
        <f t="shared" si="47"/>
        <v>83.75</v>
      </c>
      <c r="F138" s="3">
        <f t="shared" si="48"/>
        <v>50.12</v>
      </c>
      <c r="G138" s="3">
        <f t="shared" si="49"/>
        <v>122.68</v>
      </c>
      <c r="H138" s="3">
        <f t="shared" si="50"/>
        <v>122.68</v>
      </c>
      <c r="I138" s="3"/>
      <c r="J138" s="3">
        <f t="shared" si="51"/>
        <v>73.56</v>
      </c>
      <c r="K138" s="3">
        <f t="shared" si="52"/>
        <v>87.5</v>
      </c>
      <c r="L138" s="34">
        <f t="shared" si="53"/>
        <v>83.75</v>
      </c>
      <c r="M138" s="3">
        <f t="shared" si="54"/>
        <v>-7.44</v>
      </c>
      <c r="N138" s="3">
        <f t="shared" si="55"/>
        <v>150</v>
      </c>
      <c r="O138" s="3"/>
      <c r="P138" s="3">
        <f t="shared" si="56"/>
        <v>85.55498582677167</v>
      </c>
      <c r="Q138" s="3">
        <f t="shared" si="57"/>
        <v>109.8176</v>
      </c>
      <c r="R138" s="3">
        <f>vd(DataTable[[#This Row],[Sentido]],DataTable[[#This Row],[Valor]])</f>
        <v>95.040944881889772</v>
      </c>
      <c r="S138" s="3">
        <f>IF(DataTable[[#This Row],[Valor]]&gt;1,1,1)</f>
        <v>1</v>
      </c>
      <c r="T138" s="3">
        <f>IF(DataTable[[#This Row],[Valor]]&gt;1,1,1)</f>
        <v>1</v>
      </c>
      <c r="U138" s="3">
        <f>angr(DataTable[[#This Row],[Sentido]],DataTable[[#This Row],[Valor]])</f>
        <v>47.050393700787396</v>
      </c>
      <c r="V138" s="3">
        <f>ANGI(DataTable[[#This Row],[Sentido]],DataTable[[#This Row],[Valor]])</f>
        <v>48.547244094488185</v>
      </c>
      <c r="W138" s="3">
        <f t="shared" si="58"/>
        <v>2</v>
      </c>
      <c r="X138" s="3">
        <f>IF(DataTable[[#This Row],[Valor]]&gt;1,1,1)</f>
        <v>1</v>
      </c>
      <c r="Y138" s="3">
        <f t="shared" si="59"/>
        <v>2</v>
      </c>
      <c r="Z138" s="3">
        <f>IF(AND(DataTable[[#This Row],[Sentido]]="URUGUAI para BRASIL",DataTable[[#This Row],[Valor]]&gt;350),1,0)</f>
        <v>0</v>
      </c>
      <c r="AA138" s="3">
        <f>IF(DataTable[[#This Row],[Valor]]&gt;1,0,0)</f>
        <v>0</v>
      </c>
    </row>
    <row r="139" spans="1:27" x14ac:dyDescent="0.25">
      <c r="A139" s="2" t="s">
        <v>21</v>
      </c>
      <c r="B139" s="2">
        <v>187</v>
      </c>
      <c r="C139" s="3">
        <f t="shared" si="45"/>
        <v>81.25</v>
      </c>
      <c r="D139" s="3">
        <f t="shared" si="46"/>
        <v>87.5</v>
      </c>
      <c r="E139" s="3">
        <f t="shared" si="47"/>
        <v>83.75</v>
      </c>
      <c r="F139" s="3">
        <f t="shared" si="48"/>
        <v>50.04</v>
      </c>
      <c r="G139" s="3">
        <f t="shared" si="49"/>
        <v>122.56</v>
      </c>
      <c r="H139" s="3">
        <f t="shared" si="50"/>
        <v>122.56</v>
      </c>
      <c r="I139" s="3"/>
      <c r="J139" s="3">
        <f t="shared" si="51"/>
        <v>73.56</v>
      </c>
      <c r="K139" s="3">
        <f t="shared" si="52"/>
        <v>87.5</v>
      </c>
      <c r="L139" s="34">
        <f t="shared" si="53"/>
        <v>83.75</v>
      </c>
      <c r="M139" s="3">
        <f t="shared" si="54"/>
        <v>-7.48</v>
      </c>
      <c r="N139" s="3">
        <f t="shared" si="55"/>
        <v>150</v>
      </c>
      <c r="O139" s="3"/>
      <c r="P139" s="3">
        <f t="shared" si="56"/>
        <v>85.893788976377962</v>
      </c>
      <c r="Q139" s="3">
        <f t="shared" si="57"/>
        <v>109.8176</v>
      </c>
      <c r="R139" s="3">
        <f>vd(DataTable[[#This Row],[Sentido]],DataTable[[#This Row],[Valor]])</f>
        <v>95.38740157480315</v>
      </c>
      <c r="S139" s="3">
        <f>IF(DataTable[[#This Row],[Valor]]&gt;1,1,1)</f>
        <v>1</v>
      </c>
      <c r="T139" s="3">
        <f>IF(DataTable[[#This Row],[Valor]]&gt;1,1,1)</f>
        <v>1</v>
      </c>
      <c r="U139" s="3">
        <f>angr(DataTable[[#This Row],[Sentido]],DataTable[[#This Row],[Valor]])</f>
        <v>46.861417322834647</v>
      </c>
      <c r="V139" s="3">
        <f>ANGI(DataTable[[#This Row],[Sentido]],DataTable[[#This Row],[Valor]])</f>
        <v>48.370078740157481</v>
      </c>
      <c r="W139" s="3">
        <f t="shared" si="58"/>
        <v>2</v>
      </c>
      <c r="X139" s="3">
        <f>IF(DataTable[[#This Row],[Valor]]&gt;1,1,1)</f>
        <v>1</v>
      </c>
      <c r="Y139" s="3">
        <f t="shared" si="59"/>
        <v>2</v>
      </c>
      <c r="Z139" s="3">
        <f>IF(AND(DataTable[[#This Row],[Sentido]]="URUGUAI para BRASIL",DataTable[[#This Row],[Valor]]&gt;350),1,0)</f>
        <v>0</v>
      </c>
      <c r="AA139" s="3">
        <f>IF(DataTable[[#This Row],[Valor]]&gt;1,0,0)</f>
        <v>0</v>
      </c>
    </row>
    <row r="140" spans="1:27" x14ac:dyDescent="0.25">
      <c r="A140" s="2" t="s">
        <v>21</v>
      </c>
      <c r="B140" s="2">
        <v>188</v>
      </c>
      <c r="C140" s="3">
        <f t="shared" si="45"/>
        <v>81.25</v>
      </c>
      <c r="D140" s="3">
        <f t="shared" si="46"/>
        <v>87.5</v>
      </c>
      <c r="E140" s="3">
        <f t="shared" si="47"/>
        <v>83.75</v>
      </c>
      <c r="F140" s="3">
        <f t="shared" si="48"/>
        <v>49.96</v>
      </c>
      <c r="G140" s="3">
        <f t="shared" si="49"/>
        <v>122.44</v>
      </c>
      <c r="H140" s="3">
        <f t="shared" si="50"/>
        <v>122.44</v>
      </c>
      <c r="I140" s="3"/>
      <c r="J140" s="3">
        <f t="shared" si="51"/>
        <v>73.56</v>
      </c>
      <c r="K140" s="3">
        <f t="shared" si="52"/>
        <v>87.5</v>
      </c>
      <c r="L140" s="34">
        <f t="shared" si="53"/>
        <v>83.75</v>
      </c>
      <c r="M140" s="3">
        <f t="shared" si="54"/>
        <v>-7.5200000000000005</v>
      </c>
      <c r="N140" s="3">
        <f t="shared" si="55"/>
        <v>150</v>
      </c>
      <c r="O140" s="3"/>
      <c r="P140" s="3">
        <f t="shared" si="56"/>
        <v>86.232592125984254</v>
      </c>
      <c r="Q140" s="3">
        <f t="shared" si="57"/>
        <v>109.8176</v>
      </c>
      <c r="R140" s="3">
        <f>vd(DataTable[[#This Row],[Sentido]],DataTable[[#This Row],[Valor]])</f>
        <v>95.733858267716528</v>
      </c>
      <c r="S140" s="3">
        <f>IF(DataTable[[#This Row],[Valor]]&gt;1,1,1)</f>
        <v>1</v>
      </c>
      <c r="T140" s="3">
        <f>IF(DataTable[[#This Row],[Valor]]&gt;1,1,1)</f>
        <v>1</v>
      </c>
      <c r="U140" s="3">
        <f>angr(DataTable[[#This Row],[Sentido]],DataTable[[#This Row],[Valor]])</f>
        <v>46.672440944881892</v>
      </c>
      <c r="V140" s="3">
        <f>ANGI(DataTable[[#This Row],[Sentido]],DataTable[[#This Row],[Valor]])</f>
        <v>48.19291338582677</v>
      </c>
      <c r="W140" s="3">
        <f t="shared" si="58"/>
        <v>2</v>
      </c>
      <c r="X140" s="3">
        <f>IF(DataTable[[#This Row],[Valor]]&gt;1,1,1)</f>
        <v>1</v>
      </c>
      <c r="Y140" s="3">
        <f t="shared" si="59"/>
        <v>2</v>
      </c>
      <c r="Z140" s="3">
        <f>IF(AND(DataTable[[#This Row],[Sentido]]="URUGUAI para BRASIL",DataTable[[#This Row],[Valor]]&gt;350),1,0)</f>
        <v>0</v>
      </c>
      <c r="AA140" s="3">
        <f>IF(DataTable[[#This Row],[Valor]]&gt;1,0,0)</f>
        <v>0</v>
      </c>
    </row>
    <row r="141" spans="1:27" x14ac:dyDescent="0.25">
      <c r="A141" s="2" t="s">
        <v>21</v>
      </c>
      <c r="B141" s="2">
        <v>189</v>
      </c>
      <c r="C141" s="3">
        <f t="shared" si="45"/>
        <v>81.25</v>
      </c>
      <c r="D141" s="3">
        <f t="shared" si="46"/>
        <v>87.5</v>
      </c>
      <c r="E141" s="3">
        <f t="shared" si="47"/>
        <v>83.75</v>
      </c>
      <c r="F141" s="3">
        <f t="shared" si="48"/>
        <v>49.879999999999995</v>
      </c>
      <c r="G141" s="3">
        <f t="shared" si="49"/>
        <v>122.32</v>
      </c>
      <c r="H141" s="3">
        <f t="shared" si="50"/>
        <v>122.32</v>
      </c>
      <c r="I141" s="3"/>
      <c r="J141" s="3">
        <f t="shared" si="51"/>
        <v>73.56</v>
      </c>
      <c r="K141" s="3">
        <f t="shared" si="52"/>
        <v>87.5</v>
      </c>
      <c r="L141" s="34">
        <f t="shared" si="53"/>
        <v>83.75</v>
      </c>
      <c r="M141" s="3">
        <f t="shared" si="54"/>
        <v>-7.5600000000000005</v>
      </c>
      <c r="N141" s="3">
        <f t="shared" si="55"/>
        <v>150</v>
      </c>
      <c r="O141" s="3"/>
      <c r="P141" s="3">
        <f t="shared" si="56"/>
        <v>86.571395275590561</v>
      </c>
      <c r="Q141" s="3">
        <f t="shared" si="57"/>
        <v>109.8176</v>
      </c>
      <c r="R141" s="3">
        <f>vd(DataTable[[#This Row],[Sentido]],DataTable[[#This Row],[Valor]])</f>
        <v>96.080314960629934</v>
      </c>
      <c r="S141" s="3">
        <f>IF(DataTable[[#This Row],[Valor]]&gt;1,1,1)</f>
        <v>1</v>
      </c>
      <c r="T141" s="3">
        <f>IF(DataTable[[#This Row],[Valor]]&gt;1,1,1)</f>
        <v>1</v>
      </c>
      <c r="U141" s="3">
        <f>angr(DataTable[[#This Row],[Sentido]],DataTable[[#This Row],[Valor]])</f>
        <v>46.483464566929129</v>
      </c>
      <c r="V141" s="3">
        <f>ANGI(DataTable[[#This Row],[Sentido]],DataTable[[#This Row],[Valor]])</f>
        <v>48.015748031496059</v>
      </c>
      <c r="W141" s="3">
        <f t="shared" si="58"/>
        <v>2</v>
      </c>
      <c r="X141" s="3">
        <f>IF(DataTable[[#This Row],[Valor]]&gt;1,1,1)</f>
        <v>1</v>
      </c>
      <c r="Y141" s="3">
        <f t="shared" si="59"/>
        <v>2</v>
      </c>
      <c r="Z141" s="3">
        <f>IF(AND(DataTable[[#This Row],[Sentido]]="URUGUAI para BRASIL",DataTable[[#This Row],[Valor]]&gt;350),1,0)</f>
        <v>0</v>
      </c>
      <c r="AA141" s="3">
        <f>IF(DataTable[[#This Row],[Valor]]&gt;1,0,0)</f>
        <v>0</v>
      </c>
    </row>
    <row r="142" spans="1:27" x14ac:dyDescent="0.25">
      <c r="A142" s="2" t="s">
        <v>21</v>
      </c>
      <c r="B142" s="2">
        <v>190</v>
      </c>
      <c r="C142" s="3">
        <f t="shared" si="45"/>
        <v>81.25</v>
      </c>
      <c r="D142" s="3">
        <f t="shared" si="46"/>
        <v>87.5</v>
      </c>
      <c r="E142" s="3">
        <f t="shared" si="47"/>
        <v>83.75</v>
      </c>
      <c r="F142" s="3">
        <f t="shared" si="48"/>
        <v>49.8</v>
      </c>
      <c r="G142" s="3">
        <f t="shared" si="49"/>
        <v>122.2</v>
      </c>
      <c r="H142" s="3">
        <f t="shared" si="50"/>
        <v>122.2</v>
      </c>
      <c r="I142" s="3"/>
      <c r="J142" s="3">
        <f t="shared" si="51"/>
        <v>73.56</v>
      </c>
      <c r="K142" s="3">
        <f t="shared" si="52"/>
        <v>87.5</v>
      </c>
      <c r="L142" s="34">
        <f t="shared" si="53"/>
        <v>83.75</v>
      </c>
      <c r="M142" s="3">
        <f t="shared" si="54"/>
        <v>-7.6000000000000005</v>
      </c>
      <c r="N142" s="3">
        <f t="shared" si="55"/>
        <v>150</v>
      </c>
      <c r="O142" s="3"/>
      <c r="P142" s="3">
        <f t="shared" si="56"/>
        <v>86.910198425196853</v>
      </c>
      <c r="Q142" s="3">
        <f t="shared" si="57"/>
        <v>109.8176</v>
      </c>
      <c r="R142" s="3">
        <f>vd(DataTable[[#This Row],[Sentido]],DataTable[[#This Row],[Valor]])</f>
        <v>96.426771653543312</v>
      </c>
      <c r="S142" s="3">
        <f>IF(DataTable[[#This Row],[Valor]]&gt;1,1,1)</f>
        <v>1</v>
      </c>
      <c r="T142" s="3">
        <f>IF(DataTable[[#This Row],[Valor]]&gt;1,1,1)</f>
        <v>1</v>
      </c>
      <c r="U142" s="3">
        <f>angr(DataTable[[#This Row],[Sentido]],DataTable[[#This Row],[Valor]])</f>
        <v>46.294488188976374</v>
      </c>
      <c r="V142" s="3">
        <f>ANGI(DataTable[[#This Row],[Sentido]],DataTable[[#This Row],[Valor]])</f>
        <v>47.838582677165356</v>
      </c>
      <c r="W142" s="3">
        <f t="shared" si="58"/>
        <v>2</v>
      </c>
      <c r="X142" s="3">
        <f>IF(DataTable[[#This Row],[Valor]]&gt;1,1,1)</f>
        <v>1</v>
      </c>
      <c r="Y142" s="3">
        <f t="shared" si="59"/>
        <v>2</v>
      </c>
      <c r="Z142" s="3">
        <f>IF(AND(DataTable[[#This Row],[Sentido]]="URUGUAI para BRASIL",DataTable[[#This Row],[Valor]]&gt;350),1,0)</f>
        <v>0</v>
      </c>
      <c r="AA142" s="3">
        <f>IF(DataTable[[#This Row],[Valor]]&gt;1,0,0)</f>
        <v>0</v>
      </c>
    </row>
    <row r="143" spans="1:27" x14ac:dyDescent="0.25">
      <c r="A143" s="2" t="s">
        <v>21</v>
      </c>
      <c r="B143" s="2">
        <v>191</v>
      </c>
      <c r="C143" s="3">
        <f t="shared" si="45"/>
        <v>81.25</v>
      </c>
      <c r="D143" s="3">
        <f t="shared" si="46"/>
        <v>87.5</v>
      </c>
      <c r="E143" s="3">
        <f t="shared" si="47"/>
        <v>83.75</v>
      </c>
      <c r="F143" s="3">
        <f t="shared" si="48"/>
        <v>49.72</v>
      </c>
      <c r="G143" s="3">
        <f t="shared" si="49"/>
        <v>122.08</v>
      </c>
      <c r="H143" s="3">
        <f t="shared" si="50"/>
        <v>122.08</v>
      </c>
      <c r="I143" s="3"/>
      <c r="J143" s="3">
        <f t="shared" si="51"/>
        <v>73.56</v>
      </c>
      <c r="K143" s="3">
        <f t="shared" si="52"/>
        <v>87.5</v>
      </c>
      <c r="L143" s="34">
        <f t="shared" si="53"/>
        <v>83.75</v>
      </c>
      <c r="M143" s="3">
        <f t="shared" si="54"/>
        <v>-7.6400000000000006</v>
      </c>
      <c r="N143" s="3">
        <f t="shared" si="55"/>
        <v>150</v>
      </c>
      <c r="O143" s="3"/>
      <c r="P143" s="3">
        <f t="shared" si="56"/>
        <v>87.249001574803145</v>
      </c>
      <c r="Q143" s="3">
        <f t="shared" si="57"/>
        <v>109.8176</v>
      </c>
      <c r="R143" s="3">
        <f>vd(DataTable[[#This Row],[Sentido]],DataTable[[#This Row],[Valor]])</f>
        <v>96.77322834645669</v>
      </c>
      <c r="S143" s="3">
        <f>IF(DataTable[[#This Row],[Valor]]&gt;1,1,1)</f>
        <v>1</v>
      </c>
      <c r="T143" s="3">
        <f>IF(DataTable[[#This Row],[Valor]]&gt;1,1,1)</f>
        <v>1</v>
      </c>
      <c r="U143" s="3">
        <f>angr(DataTable[[#This Row],[Sentido]],DataTable[[#This Row],[Valor]])</f>
        <v>46.105511811023625</v>
      </c>
      <c r="V143" s="3">
        <f>ANGI(DataTable[[#This Row],[Sentido]],DataTable[[#This Row],[Valor]])</f>
        <v>47.661417322834644</v>
      </c>
      <c r="W143" s="3">
        <f t="shared" si="58"/>
        <v>2</v>
      </c>
      <c r="X143" s="3">
        <f>IF(DataTable[[#This Row],[Valor]]&gt;1,1,1)</f>
        <v>1</v>
      </c>
      <c r="Y143" s="3">
        <f t="shared" si="59"/>
        <v>2</v>
      </c>
      <c r="Z143" s="3">
        <f>IF(AND(DataTable[[#This Row],[Sentido]]="URUGUAI para BRASIL",DataTable[[#This Row],[Valor]]&gt;350),1,0)</f>
        <v>0</v>
      </c>
      <c r="AA143" s="3">
        <f>IF(DataTable[[#This Row],[Valor]]&gt;1,0,0)</f>
        <v>0</v>
      </c>
    </row>
    <row r="144" spans="1:27" x14ac:dyDescent="0.25">
      <c r="A144" s="2" t="s">
        <v>21</v>
      </c>
      <c r="B144" s="2">
        <v>192</v>
      </c>
      <c r="C144" s="3">
        <f t="shared" si="45"/>
        <v>81.25</v>
      </c>
      <c r="D144" s="3">
        <f t="shared" si="46"/>
        <v>87.5</v>
      </c>
      <c r="E144" s="3">
        <f t="shared" si="47"/>
        <v>83.75</v>
      </c>
      <c r="F144" s="3">
        <f t="shared" si="48"/>
        <v>49.64</v>
      </c>
      <c r="G144" s="3">
        <f t="shared" si="49"/>
        <v>121.96000000000001</v>
      </c>
      <c r="H144" s="3">
        <f t="shared" si="50"/>
        <v>121.96000000000001</v>
      </c>
      <c r="I144" s="3"/>
      <c r="J144" s="3">
        <f t="shared" si="51"/>
        <v>73.56</v>
      </c>
      <c r="K144" s="3">
        <f t="shared" si="52"/>
        <v>87.5</v>
      </c>
      <c r="L144" s="34">
        <f t="shared" si="53"/>
        <v>83.75</v>
      </c>
      <c r="M144" s="3">
        <f t="shared" si="54"/>
        <v>-7.68</v>
      </c>
      <c r="N144" s="3">
        <f t="shared" si="55"/>
        <v>150</v>
      </c>
      <c r="O144" s="3"/>
      <c r="P144" s="3">
        <f t="shared" si="56"/>
        <v>87.587804724409452</v>
      </c>
      <c r="Q144" s="3">
        <f t="shared" si="57"/>
        <v>109.8176</v>
      </c>
      <c r="R144" s="3">
        <f>vd(DataTable[[#This Row],[Sentido]],DataTable[[#This Row],[Valor]])</f>
        <v>97.119685039370069</v>
      </c>
      <c r="S144" s="3">
        <f>IF(DataTable[[#This Row],[Valor]]&gt;1,1,1)</f>
        <v>1</v>
      </c>
      <c r="T144" s="3">
        <f>IF(DataTable[[#This Row],[Valor]]&gt;1,1,1)</f>
        <v>1</v>
      </c>
      <c r="U144" s="3">
        <f>angr(DataTable[[#This Row],[Sentido]],DataTable[[#This Row],[Valor]])</f>
        <v>45.916535433070869</v>
      </c>
      <c r="V144" s="3">
        <f>ANGI(DataTable[[#This Row],[Sentido]],DataTable[[#This Row],[Valor]])</f>
        <v>47.484251968503941</v>
      </c>
      <c r="W144" s="3">
        <f t="shared" si="58"/>
        <v>2</v>
      </c>
      <c r="X144" s="3">
        <f>IF(DataTable[[#This Row],[Valor]]&gt;1,1,1)</f>
        <v>1</v>
      </c>
      <c r="Y144" s="3">
        <f t="shared" si="59"/>
        <v>2</v>
      </c>
      <c r="Z144" s="3">
        <f>IF(AND(DataTable[[#This Row],[Sentido]]="URUGUAI para BRASIL",DataTable[[#This Row],[Valor]]&gt;350),1,0)</f>
        <v>0</v>
      </c>
      <c r="AA144" s="3">
        <f>IF(DataTable[[#This Row],[Valor]]&gt;1,0,0)</f>
        <v>0</v>
      </c>
    </row>
    <row r="145" spans="1:27" x14ac:dyDescent="0.25">
      <c r="A145" s="2" t="s">
        <v>21</v>
      </c>
      <c r="B145" s="2">
        <v>193</v>
      </c>
      <c r="C145" s="3">
        <f t="shared" si="45"/>
        <v>81.25</v>
      </c>
      <c r="D145" s="3">
        <f t="shared" si="46"/>
        <v>87.5</v>
      </c>
      <c r="E145" s="3">
        <f t="shared" si="47"/>
        <v>83.75</v>
      </c>
      <c r="F145" s="3">
        <f t="shared" si="48"/>
        <v>49.56</v>
      </c>
      <c r="G145" s="3">
        <f t="shared" si="49"/>
        <v>121.84</v>
      </c>
      <c r="H145" s="3">
        <f t="shared" si="50"/>
        <v>121.84</v>
      </c>
      <c r="I145" s="3"/>
      <c r="J145" s="3">
        <f t="shared" si="51"/>
        <v>73.56</v>
      </c>
      <c r="K145" s="3">
        <f t="shared" si="52"/>
        <v>87.5</v>
      </c>
      <c r="L145" s="34">
        <f t="shared" si="53"/>
        <v>83.75</v>
      </c>
      <c r="M145" s="3">
        <f t="shared" si="54"/>
        <v>-7.72</v>
      </c>
      <c r="N145" s="3">
        <f t="shared" si="55"/>
        <v>150</v>
      </c>
      <c r="O145" s="3"/>
      <c r="P145" s="3">
        <f t="shared" si="56"/>
        <v>87.926607874015758</v>
      </c>
      <c r="Q145" s="3">
        <f t="shared" si="57"/>
        <v>109.8176</v>
      </c>
      <c r="R145" s="3">
        <f>vd(DataTable[[#This Row],[Sentido]],DataTable[[#This Row],[Valor]])</f>
        <v>97.466141732283475</v>
      </c>
      <c r="S145" s="3">
        <f>IF(DataTable[[#This Row],[Valor]]&gt;1,1,1)</f>
        <v>1</v>
      </c>
      <c r="T145" s="3">
        <f>IF(DataTable[[#This Row],[Valor]]&gt;1,1,1)</f>
        <v>1</v>
      </c>
      <c r="U145" s="3">
        <f>angr(DataTable[[#This Row],[Sentido]],DataTable[[#This Row],[Valor]])</f>
        <v>45.727559055118107</v>
      </c>
      <c r="V145" s="3">
        <f>ANGI(DataTable[[#This Row],[Sentido]],DataTable[[#This Row],[Valor]])</f>
        <v>47.30708661417323</v>
      </c>
      <c r="W145" s="3">
        <f t="shared" si="58"/>
        <v>2</v>
      </c>
      <c r="X145" s="3">
        <f>IF(DataTable[[#This Row],[Valor]]&gt;1,1,1)</f>
        <v>1</v>
      </c>
      <c r="Y145" s="3">
        <f t="shared" si="59"/>
        <v>2</v>
      </c>
      <c r="Z145" s="3">
        <f>IF(AND(DataTable[[#This Row],[Sentido]]="URUGUAI para BRASIL",DataTable[[#This Row],[Valor]]&gt;350),1,0)</f>
        <v>0</v>
      </c>
      <c r="AA145" s="3">
        <f>IF(DataTable[[#This Row],[Valor]]&gt;1,0,0)</f>
        <v>0</v>
      </c>
    </row>
    <row r="146" spans="1:27" x14ac:dyDescent="0.25">
      <c r="A146" s="2" t="s">
        <v>21</v>
      </c>
      <c r="B146" s="2">
        <v>194</v>
      </c>
      <c r="C146" s="3">
        <f t="shared" si="45"/>
        <v>81.25</v>
      </c>
      <c r="D146" s="3">
        <f t="shared" si="46"/>
        <v>87.5</v>
      </c>
      <c r="E146" s="3">
        <f t="shared" si="47"/>
        <v>83.75</v>
      </c>
      <c r="F146" s="3">
        <f t="shared" si="48"/>
        <v>49.480000000000004</v>
      </c>
      <c r="G146" s="3">
        <f t="shared" si="49"/>
        <v>121.72</v>
      </c>
      <c r="H146" s="3">
        <f t="shared" si="50"/>
        <v>121.72</v>
      </c>
      <c r="I146" s="3"/>
      <c r="J146" s="3">
        <f t="shared" si="51"/>
        <v>73.56</v>
      </c>
      <c r="K146" s="3">
        <f t="shared" si="52"/>
        <v>87.5</v>
      </c>
      <c r="L146" s="34">
        <f t="shared" si="53"/>
        <v>83.75</v>
      </c>
      <c r="M146" s="3">
        <f t="shared" si="54"/>
        <v>-7.76</v>
      </c>
      <c r="N146" s="3">
        <f t="shared" si="55"/>
        <v>150</v>
      </c>
      <c r="O146" s="3"/>
      <c r="P146" s="3">
        <f t="shared" si="56"/>
        <v>88.26541102362205</v>
      </c>
      <c r="Q146" s="3">
        <f t="shared" si="57"/>
        <v>109.8176</v>
      </c>
      <c r="R146" s="3">
        <f>vd(DataTable[[#This Row],[Sentido]],DataTable[[#This Row],[Valor]])</f>
        <v>97.812598425196853</v>
      </c>
      <c r="S146" s="3">
        <f>IF(DataTable[[#This Row],[Valor]]&gt;1,1,1)</f>
        <v>1</v>
      </c>
      <c r="T146" s="3">
        <f>IF(DataTable[[#This Row],[Valor]]&gt;1,1,1)</f>
        <v>1</v>
      </c>
      <c r="U146" s="3">
        <f>angr(DataTable[[#This Row],[Sentido]],DataTable[[#This Row],[Valor]])</f>
        <v>45.538582677165351</v>
      </c>
      <c r="V146" s="3">
        <f>ANGI(DataTable[[#This Row],[Sentido]],DataTable[[#This Row],[Valor]])</f>
        <v>47.129921259842519</v>
      </c>
      <c r="W146" s="3">
        <f t="shared" si="58"/>
        <v>2</v>
      </c>
      <c r="X146" s="3">
        <f>IF(DataTable[[#This Row],[Valor]]&gt;1,1,1)</f>
        <v>1</v>
      </c>
      <c r="Y146" s="3">
        <f t="shared" si="59"/>
        <v>2</v>
      </c>
      <c r="Z146" s="3">
        <f>IF(AND(DataTable[[#This Row],[Sentido]]="URUGUAI para BRASIL",DataTable[[#This Row],[Valor]]&gt;350),1,0)</f>
        <v>0</v>
      </c>
      <c r="AA146" s="3">
        <f>IF(DataTable[[#This Row],[Valor]]&gt;1,0,0)</f>
        <v>0</v>
      </c>
    </row>
    <row r="147" spans="1:27" x14ac:dyDescent="0.25">
      <c r="A147" s="2" t="s">
        <v>21</v>
      </c>
      <c r="B147" s="2">
        <v>195</v>
      </c>
      <c r="C147" s="3">
        <f t="shared" si="45"/>
        <v>81.25</v>
      </c>
      <c r="D147" s="3">
        <f t="shared" si="46"/>
        <v>87.5</v>
      </c>
      <c r="E147" s="3">
        <f t="shared" si="47"/>
        <v>83.75</v>
      </c>
      <c r="F147" s="3">
        <f t="shared" si="48"/>
        <v>49.4</v>
      </c>
      <c r="G147" s="3">
        <f t="shared" si="49"/>
        <v>121.6</v>
      </c>
      <c r="H147" s="3">
        <f t="shared" si="50"/>
        <v>121.6</v>
      </c>
      <c r="I147" s="3"/>
      <c r="J147" s="3">
        <f t="shared" si="51"/>
        <v>73.56</v>
      </c>
      <c r="K147" s="3">
        <f t="shared" si="52"/>
        <v>87.5</v>
      </c>
      <c r="L147" s="34">
        <f t="shared" si="53"/>
        <v>83.75</v>
      </c>
      <c r="M147" s="3">
        <f t="shared" si="54"/>
        <v>-7.8</v>
      </c>
      <c r="N147" s="3">
        <f t="shared" si="55"/>
        <v>150</v>
      </c>
      <c r="O147" s="3"/>
      <c r="P147" s="3">
        <f t="shared" si="56"/>
        <v>88.604214173228357</v>
      </c>
      <c r="Q147" s="3">
        <f t="shared" si="57"/>
        <v>109.8176</v>
      </c>
      <c r="R147" s="3">
        <f>vd(DataTable[[#This Row],[Sentido]],DataTable[[#This Row],[Valor]])</f>
        <v>98.159055118110231</v>
      </c>
      <c r="S147" s="3">
        <f>IF(DataTable[[#This Row],[Valor]]&gt;1,1,1)</f>
        <v>1</v>
      </c>
      <c r="T147" s="3">
        <f>IF(DataTable[[#This Row],[Valor]]&gt;1,1,1)</f>
        <v>1</v>
      </c>
      <c r="U147" s="3">
        <f>angr(DataTable[[#This Row],[Sentido]],DataTable[[#This Row],[Valor]])</f>
        <v>45.349606299212603</v>
      </c>
      <c r="V147" s="3">
        <f>ANGI(DataTable[[#This Row],[Sentido]],DataTable[[#This Row],[Valor]])</f>
        <v>46.952755905511815</v>
      </c>
      <c r="W147" s="3">
        <f t="shared" si="58"/>
        <v>2</v>
      </c>
      <c r="X147" s="3">
        <f>IF(DataTable[[#This Row],[Valor]]&gt;1,1,1)</f>
        <v>1</v>
      </c>
      <c r="Y147" s="3">
        <f t="shared" si="59"/>
        <v>2</v>
      </c>
      <c r="Z147" s="3">
        <f>IF(AND(DataTable[[#This Row],[Sentido]]="URUGUAI para BRASIL",DataTable[[#This Row],[Valor]]&gt;350),1,0)</f>
        <v>0</v>
      </c>
      <c r="AA147" s="3">
        <f>IF(DataTable[[#This Row],[Valor]]&gt;1,0,0)</f>
        <v>0</v>
      </c>
    </row>
    <row r="148" spans="1:27" x14ac:dyDescent="0.25">
      <c r="A148" s="2" t="s">
        <v>21</v>
      </c>
      <c r="B148" s="2">
        <v>196</v>
      </c>
      <c r="C148" s="3">
        <f t="shared" si="45"/>
        <v>81.25</v>
      </c>
      <c r="D148" s="3">
        <f t="shared" si="46"/>
        <v>87.5</v>
      </c>
      <c r="E148" s="3">
        <f t="shared" si="47"/>
        <v>83.75</v>
      </c>
      <c r="F148" s="3">
        <f t="shared" si="48"/>
        <v>49.32</v>
      </c>
      <c r="G148" s="3">
        <f t="shared" si="49"/>
        <v>121.48</v>
      </c>
      <c r="H148" s="3">
        <f t="shared" si="50"/>
        <v>121.48</v>
      </c>
      <c r="I148" s="3"/>
      <c r="J148" s="3">
        <f t="shared" si="51"/>
        <v>73.56</v>
      </c>
      <c r="K148" s="3">
        <f t="shared" si="52"/>
        <v>87.5</v>
      </c>
      <c r="L148" s="34">
        <f t="shared" si="53"/>
        <v>83.75</v>
      </c>
      <c r="M148" s="3">
        <f t="shared" si="54"/>
        <v>-7.84</v>
      </c>
      <c r="N148" s="3">
        <f t="shared" si="55"/>
        <v>150</v>
      </c>
      <c r="O148" s="3"/>
      <c r="P148" s="3">
        <f t="shared" si="56"/>
        <v>88.943017322834663</v>
      </c>
      <c r="Q148" s="3">
        <f t="shared" si="57"/>
        <v>109.8176</v>
      </c>
      <c r="R148" s="3">
        <f>vd(DataTable[[#This Row],[Sentido]],DataTable[[#This Row],[Valor]])</f>
        <v>98.505511811023624</v>
      </c>
      <c r="S148" s="3">
        <f>IF(DataTable[[#This Row],[Valor]]&gt;1,1,1)</f>
        <v>1</v>
      </c>
      <c r="T148" s="3">
        <f>IF(DataTable[[#This Row],[Valor]]&gt;1,1,1)</f>
        <v>1</v>
      </c>
      <c r="U148" s="3">
        <f>angr(DataTable[[#This Row],[Sentido]],DataTable[[#This Row],[Valor]])</f>
        <v>45.16062992125984</v>
      </c>
      <c r="V148" s="3">
        <f>ANGI(DataTable[[#This Row],[Sentido]],DataTable[[#This Row],[Valor]])</f>
        <v>46.775590551181097</v>
      </c>
      <c r="W148" s="3">
        <f t="shared" si="58"/>
        <v>2</v>
      </c>
      <c r="X148" s="3">
        <f>IF(DataTable[[#This Row],[Valor]]&gt;1,1,1)</f>
        <v>1</v>
      </c>
      <c r="Y148" s="3">
        <f t="shared" si="59"/>
        <v>2</v>
      </c>
      <c r="Z148" s="3">
        <f>IF(AND(DataTable[[#This Row],[Sentido]]="URUGUAI para BRASIL",DataTable[[#This Row],[Valor]]&gt;350),1,0)</f>
        <v>0</v>
      </c>
      <c r="AA148" s="3">
        <f>IF(DataTable[[#This Row],[Valor]]&gt;1,0,0)</f>
        <v>0</v>
      </c>
    </row>
    <row r="149" spans="1:27" x14ac:dyDescent="0.25">
      <c r="A149" s="2" t="s">
        <v>21</v>
      </c>
      <c r="B149" s="2">
        <v>197</v>
      </c>
      <c r="C149" s="3">
        <f t="shared" si="45"/>
        <v>81.25</v>
      </c>
      <c r="D149" s="3">
        <f t="shared" si="46"/>
        <v>87.5</v>
      </c>
      <c r="E149" s="3">
        <f t="shared" si="47"/>
        <v>83.75</v>
      </c>
      <c r="F149" s="3">
        <f t="shared" si="48"/>
        <v>49.24</v>
      </c>
      <c r="G149" s="3">
        <f t="shared" si="49"/>
        <v>121.36</v>
      </c>
      <c r="H149" s="3">
        <f t="shared" si="50"/>
        <v>121.36</v>
      </c>
      <c r="I149" s="3"/>
      <c r="J149" s="3">
        <f t="shared" si="51"/>
        <v>73.56</v>
      </c>
      <c r="K149" s="3">
        <f t="shared" si="52"/>
        <v>87.5</v>
      </c>
      <c r="L149" s="34">
        <f t="shared" si="53"/>
        <v>83.75</v>
      </c>
      <c r="M149" s="3">
        <f t="shared" si="54"/>
        <v>-7.88</v>
      </c>
      <c r="N149" s="3">
        <f t="shared" si="55"/>
        <v>150</v>
      </c>
      <c r="O149" s="3"/>
      <c r="P149" s="3">
        <f t="shared" si="56"/>
        <v>89.281820472440955</v>
      </c>
      <c r="Q149" s="3">
        <f t="shared" si="57"/>
        <v>109.8176</v>
      </c>
      <c r="R149" s="3">
        <f>vd(DataTable[[#This Row],[Sentido]],DataTable[[#This Row],[Valor]])</f>
        <v>98.851968503937016</v>
      </c>
      <c r="S149" s="3">
        <f>IF(DataTable[[#This Row],[Valor]]&gt;1,1,1)</f>
        <v>1</v>
      </c>
      <c r="T149" s="3">
        <f>IF(DataTable[[#This Row],[Valor]]&gt;1,1,1)</f>
        <v>1</v>
      </c>
      <c r="U149" s="3">
        <f>angr(DataTable[[#This Row],[Sentido]],DataTable[[#This Row],[Valor]])</f>
        <v>44.971653543307085</v>
      </c>
      <c r="V149" s="3">
        <f>ANGI(DataTable[[#This Row],[Sentido]],DataTable[[#This Row],[Valor]])</f>
        <v>46.598425196850393</v>
      </c>
      <c r="W149" s="3">
        <f t="shared" si="58"/>
        <v>2</v>
      </c>
      <c r="X149" s="3">
        <f>IF(DataTable[[#This Row],[Valor]]&gt;1,1,1)</f>
        <v>1</v>
      </c>
      <c r="Y149" s="3">
        <f t="shared" si="59"/>
        <v>2</v>
      </c>
      <c r="Z149" s="3">
        <f>IF(AND(DataTable[[#This Row],[Sentido]]="URUGUAI para BRASIL",DataTable[[#This Row],[Valor]]&gt;350),1,0)</f>
        <v>0</v>
      </c>
      <c r="AA149" s="3">
        <f>IF(DataTable[[#This Row],[Valor]]&gt;1,0,0)</f>
        <v>0</v>
      </c>
    </row>
    <row r="150" spans="1:27" x14ac:dyDescent="0.25">
      <c r="A150" s="2" t="s">
        <v>21</v>
      </c>
      <c r="B150" s="2">
        <v>198</v>
      </c>
      <c r="C150" s="3">
        <f t="shared" si="45"/>
        <v>81.25</v>
      </c>
      <c r="D150" s="3">
        <f t="shared" si="46"/>
        <v>87.5</v>
      </c>
      <c r="E150" s="3">
        <f t="shared" si="47"/>
        <v>83.75</v>
      </c>
      <c r="F150" s="3">
        <f t="shared" si="48"/>
        <v>49.16</v>
      </c>
      <c r="G150" s="3">
        <f t="shared" si="49"/>
        <v>121.24000000000001</v>
      </c>
      <c r="H150" s="3">
        <f t="shared" si="50"/>
        <v>121.24000000000001</v>
      </c>
      <c r="I150" s="3"/>
      <c r="J150" s="3">
        <f t="shared" si="51"/>
        <v>73.56</v>
      </c>
      <c r="K150" s="3">
        <f t="shared" si="52"/>
        <v>87.5</v>
      </c>
      <c r="L150" s="34">
        <f t="shared" si="53"/>
        <v>83.75</v>
      </c>
      <c r="M150" s="3">
        <f t="shared" si="54"/>
        <v>-7.92</v>
      </c>
      <c r="N150" s="3">
        <f t="shared" si="55"/>
        <v>150</v>
      </c>
      <c r="O150" s="3"/>
      <c r="P150" s="3">
        <f t="shared" si="56"/>
        <v>89.620623622047248</v>
      </c>
      <c r="Q150" s="3">
        <f t="shared" si="57"/>
        <v>109.8176</v>
      </c>
      <c r="R150" s="3">
        <f>vd(DataTable[[#This Row],[Sentido]],DataTable[[#This Row],[Valor]])</f>
        <v>99.198425196850394</v>
      </c>
      <c r="S150" s="3">
        <f>IF(DataTable[[#This Row],[Valor]]&gt;1,1,1)</f>
        <v>1</v>
      </c>
      <c r="T150" s="3">
        <f>IF(DataTable[[#This Row],[Valor]]&gt;1,1,1)</f>
        <v>1</v>
      </c>
      <c r="U150" s="3">
        <f>angr(DataTable[[#This Row],[Sentido]],DataTable[[#This Row],[Valor]])</f>
        <v>44.782677165354329</v>
      </c>
      <c r="V150" s="3">
        <f>ANGI(DataTable[[#This Row],[Sentido]],DataTable[[#This Row],[Valor]])</f>
        <v>46.421259842519689</v>
      </c>
      <c r="W150" s="3">
        <f t="shared" si="58"/>
        <v>2</v>
      </c>
      <c r="X150" s="3">
        <f>IF(DataTable[[#This Row],[Valor]]&gt;1,1,1)</f>
        <v>1</v>
      </c>
      <c r="Y150" s="3">
        <f t="shared" si="59"/>
        <v>2</v>
      </c>
      <c r="Z150" s="3">
        <f>IF(AND(DataTable[[#This Row],[Sentido]]="URUGUAI para BRASIL",DataTable[[#This Row],[Valor]]&gt;350),1,0)</f>
        <v>0</v>
      </c>
      <c r="AA150" s="3">
        <f>IF(DataTable[[#This Row],[Valor]]&gt;1,0,0)</f>
        <v>0</v>
      </c>
    </row>
    <row r="151" spans="1:27" x14ac:dyDescent="0.25">
      <c r="A151" s="2" t="s">
        <v>21</v>
      </c>
      <c r="B151" s="2">
        <v>199</v>
      </c>
      <c r="C151" s="3">
        <f t="shared" si="45"/>
        <v>81.25</v>
      </c>
      <c r="D151" s="3">
        <f t="shared" si="46"/>
        <v>87.5</v>
      </c>
      <c r="E151" s="3">
        <f t="shared" si="47"/>
        <v>83.75</v>
      </c>
      <c r="F151" s="3">
        <f t="shared" si="48"/>
        <v>49.08</v>
      </c>
      <c r="G151" s="3">
        <f t="shared" si="49"/>
        <v>121.12</v>
      </c>
      <c r="H151" s="3">
        <f t="shared" si="50"/>
        <v>121.12</v>
      </c>
      <c r="I151" s="3"/>
      <c r="J151" s="3">
        <f t="shared" si="51"/>
        <v>73.56</v>
      </c>
      <c r="K151" s="3">
        <f t="shared" si="52"/>
        <v>87.5</v>
      </c>
      <c r="L151" s="34">
        <f t="shared" si="53"/>
        <v>83.75</v>
      </c>
      <c r="M151" s="3">
        <f t="shared" si="54"/>
        <v>-7.96</v>
      </c>
      <c r="N151" s="3">
        <f t="shared" si="55"/>
        <v>150</v>
      </c>
      <c r="O151" s="3"/>
      <c r="P151" s="3">
        <f t="shared" si="56"/>
        <v>89.959426771653554</v>
      </c>
      <c r="Q151" s="3">
        <f t="shared" si="57"/>
        <v>109.8176</v>
      </c>
      <c r="R151" s="3">
        <f>vd(DataTable[[#This Row],[Sentido]],DataTable[[#This Row],[Valor]])</f>
        <v>99.544881889763786</v>
      </c>
      <c r="S151" s="3">
        <f>IF(DataTable[[#This Row],[Valor]]&gt;1,1,1)</f>
        <v>1</v>
      </c>
      <c r="T151" s="3">
        <f>IF(DataTable[[#This Row],[Valor]]&gt;1,1,1)</f>
        <v>1</v>
      </c>
      <c r="U151" s="3">
        <f>angr(DataTable[[#This Row],[Sentido]],DataTable[[#This Row],[Valor]])</f>
        <v>44.593700787401573</v>
      </c>
      <c r="V151" s="3">
        <f>ANGI(DataTable[[#This Row],[Sentido]],DataTable[[#This Row],[Valor]])</f>
        <v>46.244094488188971</v>
      </c>
      <c r="W151" s="3">
        <f t="shared" si="58"/>
        <v>2</v>
      </c>
      <c r="X151" s="3">
        <f>IF(DataTable[[#This Row],[Valor]]&gt;1,1,1)</f>
        <v>1</v>
      </c>
      <c r="Y151" s="3">
        <f t="shared" si="59"/>
        <v>2</v>
      </c>
      <c r="Z151" s="3">
        <f>IF(AND(DataTable[[#This Row],[Sentido]]="URUGUAI para BRASIL",DataTable[[#This Row],[Valor]]&gt;350),1,0)</f>
        <v>0</v>
      </c>
      <c r="AA151" s="3">
        <f>IF(DataTable[[#This Row],[Valor]]&gt;1,0,0)</f>
        <v>0</v>
      </c>
    </row>
    <row r="152" spans="1:27" x14ac:dyDescent="0.25">
      <c r="A152" s="2" t="s">
        <v>21</v>
      </c>
      <c r="B152" s="2">
        <v>200</v>
      </c>
      <c r="C152" s="3">
        <f t="shared" si="45"/>
        <v>81.25</v>
      </c>
      <c r="D152" s="3">
        <f t="shared" si="46"/>
        <v>87.5</v>
      </c>
      <c r="E152" s="3">
        <f t="shared" si="47"/>
        <v>83.75</v>
      </c>
      <c r="F152" s="3">
        <f t="shared" si="48"/>
        <v>49</v>
      </c>
      <c r="G152" s="3">
        <f t="shared" si="49"/>
        <v>121</v>
      </c>
      <c r="H152" s="3">
        <f t="shared" si="50"/>
        <v>121</v>
      </c>
      <c r="I152" s="3"/>
      <c r="J152" s="3">
        <f t="shared" si="51"/>
        <v>73.56</v>
      </c>
      <c r="K152" s="3">
        <f t="shared" si="52"/>
        <v>87.5</v>
      </c>
      <c r="L152" s="34">
        <f t="shared" si="53"/>
        <v>83.75</v>
      </c>
      <c r="M152" s="3">
        <f t="shared" si="54"/>
        <v>-8</v>
      </c>
      <c r="N152" s="3">
        <f t="shared" si="55"/>
        <v>150</v>
      </c>
      <c r="O152" s="3"/>
      <c r="P152" s="3">
        <f t="shared" si="56"/>
        <v>90.298229921259846</v>
      </c>
      <c r="Q152" s="3">
        <f t="shared" si="57"/>
        <v>109.8176</v>
      </c>
      <c r="R152" s="3">
        <f>vd(DataTable[[#This Row],[Sentido]],DataTable[[#This Row],[Valor]])</f>
        <v>99.891338582677164</v>
      </c>
      <c r="S152" s="3">
        <f>IF(DataTable[[#This Row],[Valor]]&gt;1,1,1)</f>
        <v>1</v>
      </c>
      <c r="T152" s="3">
        <f>IF(DataTable[[#This Row],[Valor]]&gt;1,1,1)</f>
        <v>1</v>
      </c>
      <c r="U152" s="3">
        <f>angr(DataTable[[#This Row],[Sentido]],DataTable[[#This Row],[Valor]])</f>
        <v>44.404724409448818</v>
      </c>
      <c r="V152" s="3">
        <f>ANGI(DataTable[[#This Row],[Sentido]],DataTable[[#This Row],[Valor]])</f>
        <v>46.066929133858267</v>
      </c>
      <c r="W152" s="3">
        <f t="shared" si="58"/>
        <v>2</v>
      </c>
      <c r="X152" s="3">
        <f>IF(DataTable[[#This Row],[Valor]]&gt;1,1,1)</f>
        <v>1</v>
      </c>
      <c r="Y152" s="3">
        <f t="shared" si="59"/>
        <v>2</v>
      </c>
      <c r="Z152" s="3">
        <f>IF(AND(DataTable[[#This Row],[Sentido]]="URUGUAI para BRASIL",DataTable[[#This Row],[Valor]]&gt;350),1,0)</f>
        <v>0</v>
      </c>
      <c r="AA152" s="3">
        <f>IF(DataTable[[#This Row],[Valor]]&gt;1,0,0)</f>
        <v>0</v>
      </c>
    </row>
    <row r="153" spans="1:27" x14ac:dyDescent="0.25">
      <c r="A153" s="2" t="s">
        <v>21</v>
      </c>
      <c r="B153" s="2">
        <v>201</v>
      </c>
      <c r="C153" s="3">
        <f t="shared" si="45"/>
        <v>81.25</v>
      </c>
      <c r="D153" s="3">
        <f t="shared" si="46"/>
        <v>87.5</v>
      </c>
      <c r="E153" s="3">
        <f t="shared" si="47"/>
        <v>83.75</v>
      </c>
      <c r="F153" s="3">
        <f t="shared" si="48"/>
        <v>48.92</v>
      </c>
      <c r="G153" s="3">
        <f t="shared" si="49"/>
        <v>120.88</v>
      </c>
      <c r="H153" s="3">
        <f t="shared" si="50"/>
        <v>120.88</v>
      </c>
      <c r="I153" s="3"/>
      <c r="J153" s="3">
        <f t="shared" si="51"/>
        <v>73.56</v>
      </c>
      <c r="K153" s="3">
        <f t="shared" si="52"/>
        <v>87.5</v>
      </c>
      <c r="L153" s="34">
        <f t="shared" si="53"/>
        <v>83.75</v>
      </c>
      <c r="M153" s="3">
        <f t="shared" si="54"/>
        <v>-8.0400000000000009</v>
      </c>
      <c r="N153" s="3">
        <f t="shared" si="55"/>
        <v>150</v>
      </c>
      <c r="O153" s="3"/>
      <c r="P153" s="3">
        <f t="shared" si="56"/>
        <v>90.637033070866138</v>
      </c>
      <c r="Q153" s="3">
        <f t="shared" si="57"/>
        <v>109.8176</v>
      </c>
      <c r="R153" s="3">
        <f>vd(DataTable[[#This Row],[Sentido]],DataTable[[#This Row],[Valor]])</f>
        <v>100.23779527559054</v>
      </c>
      <c r="S153" s="3">
        <f>IF(DataTable[[#This Row],[Valor]]&gt;1,1,1)</f>
        <v>1</v>
      </c>
      <c r="T153" s="3">
        <f>IF(DataTable[[#This Row],[Valor]]&gt;1,1,1)</f>
        <v>1</v>
      </c>
      <c r="U153" s="3">
        <f>angr(DataTable[[#This Row],[Sentido]],DataTable[[#This Row],[Valor]])</f>
        <v>44.215748031496062</v>
      </c>
      <c r="V153" s="3">
        <f>ANGI(DataTable[[#This Row],[Sentido]],DataTable[[#This Row],[Valor]])</f>
        <v>45.889763779527563</v>
      </c>
      <c r="W153" s="3">
        <f t="shared" si="58"/>
        <v>2</v>
      </c>
      <c r="X153" s="3">
        <f>IF(DataTable[[#This Row],[Valor]]&gt;1,1,1)</f>
        <v>1</v>
      </c>
      <c r="Y153" s="3">
        <f t="shared" si="59"/>
        <v>2</v>
      </c>
      <c r="Z153" s="3">
        <f>IF(AND(DataTable[[#This Row],[Sentido]]="URUGUAI para BRASIL",DataTable[[#This Row],[Valor]]&gt;350),1,0)</f>
        <v>0</v>
      </c>
      <c r="AA153" s="3">
        <f>IF(DataTable[[#This Row],[Valor]]&gt;1,0,0)</f>
        <v>0</v>
      </c>
    </row>
    <row r="154" spans="1:27" x14ac:dyDescent="0.25">
      <c r="A154" s="2" t="s">
        <v>21</v>
      </c>
      <c r="B154" s="2">
        <v>202</v>
      </c>
      <c r="C154" s="3">
        <f t="shared" si="45"/>
        <v>81.25</v>
      </c>
      <c r="D154" s="3">
        <f t="shared" si="46"/>
        <v>87.5</v>
      </c>
      <c r="E154" s="3">
        <f t="shared" si="47"/>
        <v>83.75</v>
      </c>
      <c r="F154" s="3">
        <f t="shared" si="48"/>
        <v>48.84</v>
      </c>
      <c r="G154" s="3">
        <f t="shared" si="49"/>
        <v>120.75999999999999</v>
      </c>
      <c r="H154" s="3">
        <f t="shared" si="50"/>
        <v>120.75999999999999</v>
      </c>
      <c r="I154" s="3"/>
      <c r="J154" s="3">
        <f t="shared" si="51"/>
        <v>73.56</v>
      </c>
      <c r="K154" s="3">
        <f t="shared" si="52"/>
        <v>87.5</v>
      </c>
      <c r="L154" s="34">
        <f t="shared" si="53"/>
        <v>83.75</v>
      </c>
      <c r="M154" s="3">
        <f t="shared" si="54"/>
        <v>-8.08</v>
      </c>
      <c r="N154" s="3">
        <f t="shared" si="55"/>
        <v>150</v>
      </c>
      <c r="O154" s="3"/>
      <c r="P154" s="3">
        <f t="shared" si="56"/>
        <v>90.975836220472445</v>
      </c>
      <c r="Q154" s="3">
        <f t="shared" si="57"/>
        <v>109.8176</v>
      </c>
      <c r="R154" s="3">
        <f>vd(DataTable[[#This Row],[Sentido]],DataTable[[#This Row],[Valor]])</f>
        <v>100.58425196850393</v>
      </c>
      <c r="S154" s="3">
        <f>IF(DataTable[[#This Row],[Valor]]&gt;1,1,1)</f>
        <v>1</v>
      </c>
      <c r="T154" s="3">
        <f>IF(DataTable[[#This Row],[Valor]]&gt;1,1,1)</f>
        <v>1</v>
      </c>
      <c r="U154" s="3">
        <f>angr(DataTable[[#This Row],[Sentido]],DataTable[[#This Row],[Valor]])</f>
        <v>44.026771653543307</v>
      </c>
      <c r="V154" s="3">
        <f>ANGI(DataTable[[#This Row],[Sentido]],DataTable[[#This Row],[Valor]])</f>
        <v>45.712598425196852</v>
      </c>
      <c r="W154" s="3">
        <f t="shared" si="58"/>
        <v>2</v>
      </c>
      <c r="X154" s="3">
        <f>IF(DataTable[[#This Row],[Valor]]&gt;1,1,1)</f>
        <v>1</v>
      </c>
      <c r="Y154" s="3">
        <f t="shared" si="59"/>
        <v>2</v>
      </c>
      <c r="Z154" s="3">
        <f>IF(AND(DataTable[[#This Row],[Sentido]]="URUGUAI para BRASIL",DataTable[[#This Row],[Valor]]&gt;350),1,0)</f>
        <v>0</v>
      </c>
      <c r="AA154" s="3">
        <f>IF(DataTable[[#This Row],[Valor]]&gt;1,0,0)</f>
        <v>0</v>
      </c>
    </row>
    <row r="155" spans="1:27" x14ac:dyDescent="0.25">
      <c r="A155" s="2" t="s">
        <v>21</v>
      </c>
      <c r="B155" s="2">
        <v>203</v>
      </c>
      <c r="C155" s="3">
        <f t="shared" si="45"/>
        <v>81.25</v>
      </c>
      <c r="D155" s="3">
        <f t="shared" si="46"/>
        <v>87.5</v>
      </c>
      <c r="E155" s="3">
        <f t="shared" si="47"/>
        <v>83.75</v>
      </c>
      <c r="F155" s="3">
        <f t="shared" si="48"/>
        <v>48.76</v>
      </c>
      <c r="G155" s="3">
        <f t="shared" si="49"/>
        <v>120.64</v>
      </c>
      <c r="H155" s="3">
        <f t="shared" si="50"/>
        <v>120.64</v>
      </c>
      <c r="I155" s="3"/>
      <c r="J155" s="3">
        <f t="shared" si="51"/>
        <v>73.56</v>
      </c>
      <c r="K155" s="3">
        <f t="shared" si="52"/>
        <v>87.5</v>
      </c>
      <c r="L155" s="34">
        <f t="shared" si="53"/>
        <v>83.75</v>
      </c>
      <c r="M155" s="3">
        <f t="shared" si="54"/>
        <v>-8.120000000000001</v>
      </c>
      <c r="N155" s="3">
        <f t="shared" si="55"/>
        <v>150</v>
      </c>
      <c r="O155" s="3"/>
      <c r="P155" s="3">
        <f t="shared" si="56"/>
        <v>91.314639370078751</v>
      </c>
      <c r="Q155" s="3">
        <f t="shared" si="57"/>
        <v>109.8176</v>
      </c>
      <c r="R155" s="3">
        <f>vd(DataTable[[#This Row],[Sentido]],DataTable[[#This Row],[Valor]])</f>
        <v>100.93070866141733</v>
      </c>
      <c r="S155" s="3">
        <f>IF(DataTable[[#This Row],[Valor]]&gt;1,1,1)</f>
        <v>1</v>
      </c>
      <c r="T155" s="3">
        <f>IF(DataTable[[#This Row],[Valor]]&gt;1,1,1)</f>
        <v>1</v>
      </c>
      <c r="U155" s="3">
        <f>angr(DataTable[[#This Row],[Sentido]],DataTable[[#This Row],[Valor]])</f>
        <v>43.837795275590544</v>
      </c>
      <c r="V155" s="3">
        <f>ANGI(DataTable[[#This Row],[Sentido]],DataTable[[#This Row],[Valor]])</f>
        <v>45.535433070866141</v>
      </c>
      <c r="W155" s="3">
        <f t="shared" si="58"/>
        <v>2</v>
      </c>
      <c r="X155" s="3">
        <f>IF(DataTable[[#This Row],[Valor]]&gt;1,1,1)</f>
        <v>1</v>
      </c>
      <c r="Y155" s="3">
        <f t="shared" si="59"/>
        <v>2</v>
      </c>
      <c r="Z155" s="3">
        <f>IF(AND(DataTable[[#This Row],[Sentido]]="URUGUAI para BRASIL",DataTable[[#This Row],[Valor]]&gt;350),1,0)</f>
        <v>0</v>
      </c>
      <c r="AA155" s="3">
        <f>IF(DataTable[[#This Row],[Valor]]&gt;1,0,0)</f>
        <v>0</v>
      </c>
    </row>
    <row r="156" spans="1:27" x14ac:dyDescent="0.25">
      <c r="A156" s="2" t="s">
        <v>21</v>
      </c>
      <c r="B156" s="2">
        <v>204</v>
      </c>
      <c r="C156" s="3">
        <f t="shared" si="45"/>
        <v>81.25</v>
      </c>
      <c r="D156" s="3">
        <f t="shared" si="46"/>
        <v>87.5</v>
      </c>
      <c r="E156" s="3">
        <f t="shared" si="47"/>
        <v>83.75</v>
      </c>
      <c r="F156" s="3">
        <f t="shared" si="48"/>
        <v>48.68</v>
      </c>
      <c r="G156" s="3">
        <f t="shared" si="49"/>
        <v>120.52000000000001</v>
      </c>
      <c r="H156" s="3">
        <f t="shared" si="50"/>
        <v>120.52000000000001</v>
      </c>
      <c r="I156" s="3"/>
      <c r="J156" s="3">
        <f t="shared" si="51"/>
        <v>73.56</v>
      </c>
      <c r="K156" s="3">
        <f t="shared" si="52"/>
        <v>87.5</v>
      </c>
      <c r="L156" s="34">
        <f t="shared" si="53"/>
        <v>83.75</v>
      </c>
      <c r="M156" s="3">
        <f t="shared" si="54"/>
        <v>-8.16</v>
      </c>
      <c r="N156" s="3">
        <f t="shared" si="55"/>
        <v>150</v>
      </c>
      <c r="O156" s="3"/>
      <c r="P156" s="3">
        <f t="shared" si="56"/>
        <v>91.653442519685044</v>
      </c>
      <c r="Q156" s="3">
        <f t="shared" si="57"/>
        <v>109.8176</v>
      </c>
      <c r="R156" s="3">
        <f>vd(DataTable[[#This Row],[Sentido]],DataTable[[#This Row],[Valor]])</f>
        <v>101.19382192610539</v>
      </c>
      <c r="S156" s="3">
        <f>IF(DataTable[[#This Row],[Valor]]&gt;1,1,1)</f>
        <v>1</v>
      </c>
      <c r="T156" s="3">
        <f>IF(DataTable[[#This Row],[Valor]]&gt;1,1,1)</f>
        <v>1</v>
      </c>
      <c r="U156" s="3">
        <f>angr(DataTable[[#This Row],[Sentido]],DataTable[[#This Row],[Valor]])</f>
        <v>43.678861296184131</v>
      </c>
      <c r="V156" s="3">
        <f>ANGI(DataTable[[#This Row],[Sentido]],DataTable[[#This Row],[Valor]])</f>
        <v>45.390975166565717</v>
      </c>
      <c r="W156" s="3">
        <f t="shared" si="58"/>
        <v>2</v>
      </c>
      <c r="X156" s="3">
        <f>IF(DataTable[[#This Row],[Valor]]&gt;1,1,1)</f>
        <v>1</v>
      </c>
      <c r="Y156" s="3">
        <f t="shared" si="59"/>
        <v>2</v>
      </c>
      <c r="Z156" s="3">
        <f>IF(AND(DataTable[[#This Row],[Sentido]]="URUGUAI para BRASIL",DataTable[[#This Row],[Valor]]&gt;350),1,0)</f>
        <v>0</v>
      </c>
      <c r="AA156" s="3">
        <f>IF(DataTable[[#This Row],[Valor]]&gt;1,0,0)</f>
        <v>0</v>
      </c>
    </row>
    <row r="157" spans="1:27" x14ac:dyDescent="0.25">
      <c r="A157" s="2" t="s">
        <v>21</v>
      </c>
      <c r="B157" s="2">
        <v>205</v>
      </c>
      <c r="C157" s="3">
        <f t="shared" si="45"/>
        <v>81.25</v>
      </c>
      <c r="D157" s="3">
        <f t="shared" si="46"/>
        <v>87.5</v>
      </c>
      <c r="E157" s="3">
        <f t="shared" si="47"/>
        <v>83.75</v>
      </c>
      <c r="F157" s="3">
        <f t="shared" si="48"/>
        <v>48.6</v>
      </c>
      <c r="G157" s="3">
        <f t="shared" si="49"/>
        <v>120.4</v>
      </c>
      <c r="H157" s="3">
        <f t="shared" si="50"/>
        <v>120.4</v>
      </c>
      <c r="I157" s="3"/>
      <c r="J157" s="3">
        <f t="shared" si="51"/>
        <v>73.56</v>
      </c>
      <c r="K157" s="3">
        <f t="shared" si="52"/>
        <v>87.5</v>
      </c>
      <c r="L157" s="34">
        <f t="shared" si="53"/>
        <v>83.75</v>
      </c>
      <c r="M157" s="3">
        <f t="shared" si="54"/>
        <v>-8.1999999999999993</v>
      </c>
      <c r="N157" s="3">
        <f t="shared" si="55"/>
        <v>150</v>
      </c>
      <c r="O157" s="3"/>
      <c r="P157" s="3">
        <f t="shared" si="56"/>
        <v>91.99224566929135</v>
      </c>
      <c r="Q157" s="3">
        <f t="shared" si="57"/>
        <v>109.8176</v>
      </c>
      <c r="R157" s="3">
        <f>vd(DataTable[[#This Row],[Sentido]],DataTable[[#This Row],[Valor]])</f>
        <v>101.43609933373712</v>
      </c>
      <c r="S157" s="3">
        <f>IF(DataTable[[#This Row],[Valor]]&gt;1,1,1)</f>
        <v>1</v>
      </c>
      <c r="T157" s="3">
        <f>IF(DataTable[[#This Row],[Valor]]&gt;1,1,1)</f>
        <v>1</v>
      </c>
      <c r="U157" s="3">
        <f>angr(DataTable[[#This Row],[Sentido]],DataTable[[#This Row],[Valor]])</f>
        <v>43.527437916414293</v>
      </c>
      <c r="V157" s="3">
        <f>ANGI(DataTable[[#This Row],[Sentido]],DataTable[[#This Row],[Valor]])</f>
        <v>45.254694124772868</v>
      </c>
      <c r="W157" s="3">
        <f t="shared" si="58"/>
        <v>2</v>
      </c>
      <c r="X157" s="3">
        <f>IF(DataTable[[#This Row],[Valor]]&gt;1,1,1)</f>
        <v>1</v>
      </c>
      <c r="Y157" s="3">
        <f t="shared" si="59"/>
        <v>2</v>
      </c>
      <c r="Z157" s="3">
        <f>IF(AND(DataTable[[#This Row],[Sentido]]="URUGUAI para BRASIL",DataTable[[#This Row],[Valor]]&gt;350),1,0)</f>
        <v>0</v>
      </c>
      <c r="AA157" s="3">
        <f>IF(DataTable[[#This Row],[Valor]]&gt;1,0,0)</f>
        <v>0</v>
      </c>
    </row>
    <row r="158" spans="1:27" x14ac:dyDescent="0.25">
      <c r="A158" s="2" t="s">
        <v>21</v>
      </c>
      <c r="B158" s="2">
        <v>206</v>
      </c>
      <c r="C158" s="3">
        <f t="shared" si="45"/>
        <v>81.25</v>
      </c>
      <c r="D158" s="3">
        <f t="shared" si="46"/>
        <v>87.5</v>
      </c>
      <c r="E158" s="3">
        <f t="shared" si="47"/>
        <v>83.75</v>
      </c>
      <c r="F158" s="3">
        <f t="shared" si="48"/>
        <v>48.519999999999996</v>
      </c>
      <c r="G158" s="3">
        <f t="shared" si="49"/>
        <v>120.28</v>
      </c>
      <c r="H158" s="3">
        <f t="shared" si="50"/>
        <v>120.28</v>
      </c>
      <c r="I158" s="3"/>
      <c r="J158" s="3">
        <f t="shared" si="51"/>
        <v>73.56</v>
      </c>
      <c r="K158" s="3">
        <f t="shared" si="52"/>
        <v>87.5</v>
      </c>
      <c r="L158" s="34">
        <f t="shared" si="53"/>
        <v>83.75</v>
      </c>
      <c r="M158" s="3">
        <f t="shared" si="54"/>
        <v>-8.24</v>
      </c>
      <c r="N158" s="3">
        <f t="shared" si="55"/>
        <v>150</v>
      </c>
      <c r="O158" s="3"/>
      <c r="P158" s="3">
        <f t="shared" si="56"/>
        <v>92.331048818897642</v>
      </c>
      <c r="Q158" s="3">
        <f t="shared" si="57"/>
        <v>109.8176</v>
      </c>
      <c r="R158" s="3">
        <f>vd(DataTable[[#This Row],[Sentido]],DataTable[[#This Row],[Valor]])</f>
        <v>101.67837674136887</v>
      </c>
      <c r="S158" s="3">
        <f>IF(DataTable[[#This Row],[Valor]]&gt;1,1,1)</f>
        <v>1</v>
      </c>
      <c r="T158" s="3">
        <f>IF(DataTable[[#This Row],[Valor]]&gt;1,1,1)</f>
        <v>1</v>
      </c>
      <c r="U158" s="3">
        <f>angr(DataTable[[#This Row],[Sentido]],DataTable[[#This Row],[Valor]])</f>
        <v>43.376014536644455</v>
      </c>
      <c r="V158" s="3">
        <f>ANGI(DataTable[[#This Row],[Sentido]],DataTable[[#This Row],[Valor]])</f>
        <v>45.118413082980013</v>
      </c>
      <c r="W158" s="3">
        <f t="shared" si="58"/>
        <v>2</v>
      </c>
      <c r="X158" s="3">
        <f>IF(DataTable[[#This Row],[Valor]]&gt;1,1,1)</f>
        <v>1</v>
      </c>
      <c r="Y158" s="3">
        <f t="shared" si="59"/>
        <v>2</v>
      </c>
      <c r="Z158" s="3">
        <f>IF(AND(DataTable[[#This Row],[Sentido]]="URUGUAI para BRASIL",DataTable[[#This Row],[Valor]]&gt;350),1,0)</f>
        <v>0</v>
      </c>
      <c r="AA158" s="3">
        <f>IF(DataTable[[#This Row],[Valor]]&gt;1,0,0)</f>
        <v>0</v>
      </c>
    </row>
    <row r="159" spans="1:27" x14ac:dyDescent="0.25">
      <c r="A159" s="2" t="s">
        <v>21</v>
      </c>
      <c r="B159" s="2">
        <v>207</v>
      </c>
      <c r="C159" s="3">
        <f t="shared" si="45"/>
        <v>81.25</v>
      </c>
      <c r="D159" s="3">
        <f t="shared" si="46"/>
        <v>87.5</v>
      </c>
      <c r="E159" s="3">
        <f t="shared" si="47"/>
        <v>83.75</v>
      </c>
      <c r="F159" s="3">
        <f t="shared" si="48"/>
        <v>48.44</v>
      </c>
      <c r="G159" s="3">
        <f t="shared" si="49"/>
        <v>120.16</v>
      </c>
      <c r="H159" s="3">
        <f t="shared" si="50"/>
        <v>120.16</v>
      </c>
      <c r="I159" s="3"/>
      <c r="J159" s="3">
        <f t="shared" si="51"/>
        <v>73.56</v>
      </c>
      <c r="K159" s="3">
        <f t="shared" si="52"/>
        <v>87.5</v>
      </c>
      <c r="L159" s="34">
        <f t="shared" si="53"/>
        <v>83.75</v>
      </c>
      <c r="M159" s="3">
        <f t="shared" si="54"/>
        <v>-8.2799999999999994</v>
      </c>
      <c r="N159" s="3">
        <f t="shared" si="55"/>
        <v>150</v>
      </c>
      <c r="O159" s="3"/>
      <c r="P159" s="3">
        <f t="shared" si="56"/>
        <v>92.669851968503934</v>
      </c>
      <c r="Q159" s="3">
        <f t="shared" si="57"/>
        <v>109.8176</v>
      </c>
      <c r="R159" s="3">
        <f>vd(DataTable[[#This Row],[Sentido]],DataTable[[#This Row],[Valor]])</f>
        <v>101.92065414900061</v>
      </c>
      <c r="S159" s="3">
        <f>IF(DataTable[[#This Row],[Valor]]&gt;1,1,1)</f>
        <v>1</v>
      </c>
      <c r="T159" s="3">
        <f>IF(DataTable[[#This Row],[Valor]]&gt;1,1,1)</f>
        <v>1</v>
      </c>
      <c r="U159" s="3">
        <f>angr(DataTable[[#This Row],[Sentido]],DataTable[[#This Row],[Valor]])</f>
        <v>43.224591156874617</v>
      </c>
      <c r="V159" s="3">
        <f>ANGI(DataTable[[#This Row],[Sentido]],DataTable[[#This Row],[Valor]])</f>
        <v>44.982132041187157</v>
      </c>
      <c r="W159" s="3">
        <f t="shared" si="58"/>
        <v>2</v>
      </c>
      <c r="X159" s="3">
        <f>IF(DataTable[[#This Row],[Valor]]&gt;1,1,1)</f>
        <v>1</v>
      </c>
      <c r="Y159" s="3">
        <f t="shared" si="59"/>
        <v>2</v>
      </c>
      <c r="Z159" s="3">
        <f>IF(AND(DataTable[[#This Row],[Sentido]]="URUGUAI para BRASIL",DataTable[[#This Row],[Valor]]&gt;350),1,0)</f>
        <v>0</v>
      </c>
      <c r="AA159" s="3">
        <f>IF(DataTable[[#This Row],[Valor]]&gt;1,0,0)</f>
        <v>0</v>
      </c>
    </row>
    <row r="160" spans="1:27" x14ac:dyDescent="0.25">
      <c r="A160" s="2" t="s">
        <v>21</v>
      </c>
      <c r="B160" s="2">
        <v>208</v>
      </c>
      <c r="C160" s="3">
        <f t="shared" si="45"/>
        <v>81.25</v>
      </c>
      <c r="D160" s="3">
        <f t="shared" si="46"/>
        <v>87.5</v>
      </c>
      <c r="E160" s="3">
        <f t="shared" si="47"/>
        <v>83.75</v>
      </c>
      <c r="F160" s="3">
        <f t="shared" si="48"/>
        <v>48.36</v>
      </c>
      <c r="G160" s="3">
        <f t="shared" si="49"/>
        <v>120.03999999999999</v>
      </c>
      <c r="H160" s="3">
        <f t="shared" si="50"/>
        <v>120.03999999999999</v>
      </c>
      <c r="I160" s="3"/>
      <c r="J160" s="3">
        <f t="shared" si="51"/>
        <v>73.56</v>
      </c>
      <c r="K160" s="3">
        <f t="shared" si="52"/>
        <v>87.5</v>
      </c>
      <c r="L160" s="34">
        <f t="shared" si="53"/>
        <v>83.75</v>
      </c>
      <c r="M160" s="3">
        <f t="shared" si="54"/>
        <v>-8.32</v>
      </c>
      <c r="N160" s="3">
        <f t="shared" si="55"/>
        <v>150</v>
      </c>
      <c r="O160" s="3"/>
      <c r="P160" s="3">
        <f t="shared" si="56"/>
        <v>93.008655118110241</v>
      </c>
      <c r="Q160" s="3">
        <f t="shared" si="57"/>
        <v>109.8176</v>
      </c>
      <c r="R160" s="3">
        <f>vd(DataTable[[#This Row],[Sentido]],DataTable[[#This Row],[Valor]])</f>
        <v>102.16293155663234</v>
      </c>
      <c r="S160" s="3">
        <f>IF(DataTable[[#This Row],[Valor]]&gt;1,1,1)</f>
        <v>1</v>
      </c>
      <c r="T160" s="3">
        <f>IF(DataTable[[#This Row],[Valor]]&gt;1,1,1)</f>
        <v>1</v>
      </c>
      <c r="U160" s="3">
        <f>angr(DataTable[[#This Row],[Sentido]],DataTable[[#This Row],[Valor]])</f>
        <v>43.073167777104779</v>
      </c>
      <c r="V160" s="3">
        <f>ANGI(DataTable[[#This Row],[Sentido]],DataTable[[#This Row],[Valor]])</f>
        <v>44.845850999394308</v>
      </c>
      <c r="W160" s="3">
        <f t="shared" si="58"/>
        <v>2</v>
      </c>
      <c r="X160" s="3">
        <f>IF(DataTable[[#This Row],[Valor]]&gt;1,1,1)</f>
        <v>1</v>
      </c>
      <c r="Y160" s="3">
        <f t="shared" si="59"/>
        <v>2</v>
      </c>
      <c r="Z160" s="3">
        <f>IF(AND(DataTable[[#This Row],[Sentido]]="URUGUAI para BRASIL",DataTable[[#This Row],[Valor]]&gt;350),1,0)</f>
        <v>0</v>
      </c>
      <c r="AA160" s="3">
        <f>IF(DataTable[[#This Row],[Valor]]&gt;1,0,0)</f>
        <v>0</v>
      </c>
    </row>
    <row r="161" spans="1:27" x14ac:dyDescent="0.25">
      <c r="A161" s="2" t="s">
        <v>21</v>
      </c>
      <c r="B161" s="2">
        <v>209</v>
      </c>
      <c r="C161" s="3">
        <f t="shared" si="45"/>
        <v>81.25</v>
      </c>
      <c r="D161" s="3">
        <f t="shared" si="46"/>
        <v>87.5</v>
      </c>
      <c r="E161" s="3">
        <f t="shared" si="47"/>
        <v>83.75</v>
      </c>
      <c r="F161" s="3">
        <f t="shared" si="48"/>
        <v>48.28</v>
      </c>
      <c r="G161" s="3">
        <f t="shared" si="49"/>
        <v>119.92</v>
      </c>
      <c r="H161" s="3">
        <f t="shared" si="50"/>
        <v>119.92</v>
      </c>
      <c r="I161" s="3"/>
      <c r="J161" s="3">
        <f t="shared" si="51"/>
        <v>73.56</v>
      </c>
      <c r="K161" s="3">
        <f t="shared" si="52"/>
        <v>87.5</v>
      </c>
      <c r="L161" s="34">
        <f t="shared" si="53"/>
        <v>83.75</v>
      </c>
      <c r="M161" s="3">
        <f t="shared" si="54"/>
        <v>-8.36</v>
      </c>
      <c r="N161" s="3">
        <f t="shared" si="55"/>
        <v>150</v>
      </c>
      <c r="O161" s="3"/>
      <c r="P161" s="3">
        <f t="shared" si="56"/>
        <v>93.347458267716547</v>
      </c>
      <c r="Q161" s="3">
        <f t="shared" si="57"/>
        <v>109.8176</v>
      </c>
      <c r="R161" s="3">
        <f>vd(DataTable[[#This Row],[Sentido]],DataTable[[#This Row],[Valor]])</f>
        <v>102.40520896426409</v>
      </c>
      <c r="S161" s="3">
        <f>IF(DataTable[[#This Row],[Valor]]&gt;1,1,1)</f>
        <v>1</v>
      </c>
      <c r="T161" s="3">
        <f>IF(DataTable[[#This Row],[Valor]]&gt;1,1,1)</f>
        <v>1</v>
      </c>
      <c r="U161" s="3">
        <f>angr(DataTable[[#This Row],[Sentido]],DataTable[[#This Row],[Valor]])</f>
        <v>42.92174439733494</v>
      </c>
      <c r="V161" s="3">
        <f>ANGI(DataTable[[#This Row],[Sentido]],DataTable[[#This Row],[Valor]])</f>
        <v>44.709569957601452</v>
      </c>
      <c r="W161" s="3">
        <f t="shared" si="58"/>
        <v>2</v>
      </c>
      <c r="X161" s="3">
        <f>IF(DataTable[[#This Row],[Valor]]&gt;1,1,1)</f>
        <v>1</v>
      </c>
      <c r="Y161" s="3">
        <f t="shared" si="59"/>
        <v>2</v>
      </c>
      <c r="Z161" s="3">
        <f>IF(AND(DataTable[[#This Row],[Sentido]]="URUGUAI para BRASIL",DataTable[[#This Row],[Valor]]&gt;350),1,0)</f>
        <v>0</v>
      </c>
      <c r="AA161" s="3">
        <f>IF(DataTable[[#This Row],[Valor]]&gt;1,0,0)</f>
        <v>0</v>
      </c>
    </row>
    <row r="162" spans="1:27" x14ac:dyDescent="0.25">
      <c r="A162" s="2" t="s">
        <v>21</v>
      </c>
      <c r="B162" s="2">
        <v>210</v>
      </c>
      <c r="C162" s="3">
        <f t="shared" si="45"/>
        <v>81.25</v>
      </c>
      <c r="D162" s="3">
        <f t="shared" si="46"/>
        <v>87.5</v>
      </c>
      <c r="E162" s="3">
        <f t="shared" si="47"/>
        <v>83.75</v>
      </c>
      <c r="F162" s="3">
        <f t="shared" si="48"/>
        <v>48.2</v>
      </c>
      <c r="G162" s="3">
        <f t="shared" si="49"/>
        <v>119.80000000000001</v>
      </c>
      <c r="H162" s="3">
        <f t="shared" si="50"/>
        <v>119.80000000000001</v>
      </c>
      <c r="I162" s="3"/>
      <c r="J162" s="3">
        <f t="shared" si="51"/>
        <v>73.56</v>
      </c>
      <c r="K162" s="3">
        <f t="shared" si="52"/>
        <v>87.5</v>
      </c>
      <c r="L162" s="34">
        <f t="shared" si="53"/>
        <v>83.75</v>
      </c>
      <c r="M162" s="3">
        <f t="shared" si="54"/>
        <v>-8.4</v>
      </c>
      <c r="N162" s="3">
        <f t="shared" si="55"/>
        <v>150</v>
      </c>
      <c r="O162" s="3"/>
      <c r="P162" s="3">
        <f t="shared" si="56"/>
        <v>93.686261417322839</v>
      </c>
      <c r="Q162" s="3">
        <f t="shared" si="57"/>
        <v>109.8176</v>
      </c>
      <c r="R162" s="3">
        <f>vd(DataTable[[#This Row],[Sentido]],DataTable[[#This Row],[Valor]])</f>
        <v>102.6</v>
      </c>
      <c r="S162" s="3">
        <f>IF(DataTable[[#This Row],[Valor]]&gt;1,1,1)</f>
        <v>1</v>
      </c>
      <c r="T162" s="3">
        <f>IF(DataTable[[#This Row],[Valor]]&gt;1,1,1)</f>
        <v>1</v>
      </c>
      <c r="U162" s="3">
        <f>angr(DataTable[[#This Row],[Sentido]],DataTable[[#This Row],[Valor]])</f>
        <v>42.8</v>
      </c>
      <c r="V162" s="3">
        <f>ANGI(DataTable[[#This Row],[Sentido]],DataTable[[#This Row],[Valor]])</f>
        <v>44.6</v>
      </c>
      <c r="W162" s="3">
        <f t="shared" si="58"/>
        <v>2</v>
      </c>
      <c r="X162" s="3">
        <f>IF(DataTable[[#This Row],[Valor]]&gt;1,1,1)</f>
        <v>1</v>
      </c>
      <c r="Y162" s="3">
        <f t="shared" si="59"/>
        <v>2</v>
      </c>
      <c r="Z162" s="3">
        <f>IF(AND(DataTable[[#This Row],[Sentido]]="URUGUAI para BRASIL",DataTable[[#This Row],[Valor]]&gt;350),1,0)</f>
        <v>0</v>
      </c>
      <c r="AA162" s="3">
        <f>IF(DataTable[[#This Row],[Valor]]&gt;1,0,0)</f>
        <v>0</v>
      </c>
    </row>
    <row r="163" spans="1:27" x14ac:dyDescent="0.25">
      <c r="A163" s="2" t="s">
        <v>21</v>
      </c>
      <c r="B163" s="2">
        <v>211</v>
      </c>
      <c r="C163" s="3">
        <f t="shared" si="45"/>
        <v>81.25</v>
      </c>
      <c r="D163" s="3">
        <f t="shared" si="46"/>
        <v>87.5</v>
      </c>
      <c r="E163" s="3">
        <f t="shared" si="47"/>
        <v>83.75</v>
      </c>
      <c r="F163" s="3">
        <f t="shared" si="48"/>
        <v>48.120000000000005</v>
      </c>
      <c r="G163" s="3">
        <f t="shared" si="49"/>
        <v>119.68</v>
      </c>
      <c r="H163" s="3">
        <f t="shared" si="50"/>
        <v>119.68</v>
      </c>
      <c r="I163" s="3"/>
      <c r="J163" s="3">
        <f t="shared" si="51"/>
        <v>73.56</v>
      </c>
      <c r="K163" s="3">
        <f t="shared" si="52"/>
        <v>87.5</v>
      </c>
      <c r="L163" s="34">
        <f t="shared" si="53"/>
        <v>83.75</v>
      </c>
      <c r="M163" s="3">
        <f t="shared" si="54"/>
        <v>-8.44</v>
      </c>
      <c r="N163" s="3">
        <f t="shared" si="55"/>
        <v>150</v>
      </c>
      <c r="O163" s="3"/>
      <c r="P163" s="3">
        <f t="shared" si="56"/>
        <v>94.025064566929146</v>
      </c>
      <c r="Q163" s="3">
        <f t="shared" si="57"/>
        <v>109.8176</v>
      </c>
      <c r="R163" s="3">
        <f>vd(DataTable[[#This Row],[Sentido]],DataTable[[#This Row],[Valor]])</f>
        <v>102.81067366579177</v>
      </c>
      <c r="S163" s="3">
        <f>IF(DataTable[[#This Row],[Valor]]&gt;1,1,1)</f>
        <v>1</v>
      </c>
      <c r="T163" s="3">
        <f>IF(DataTable[[#This Row],[Valor]]&gt;1,1,1)</f>
        <v>1</v>
      </c>
      <c r="U163" s="3">
        <f>angr(DataTable[[#This Row],[Sentido]],DataTable[[#This Row],[Valor]])</f>
        <v>42.672090988626415</v>
      </c>
      <c r="V163" s="3">
        <f>ANGI(DataTable[[#This Row],[Sentido]],DataTable[[#This Row],[Valor]])</f>
        <v>44.483377077865271</v>
      </c>
      <c r="W163" s="3">
        <f t="shared" si="58"/>
        <v>2</v>
      </c>
      <c r="X163" s="3">
        <f>IF(DataTable[[#This Row],[Valor]]&gt;1,1,1)</f>
        <v>1</v>
      </c>
      <c r="Y163" s="3">
        <f t="shared" si="59"/>
        <v>2</v>
      </c>
      <c r="Z163" s="3">
        <f>IF(AND(DataTable[[#This Row],[Sentido]]="URUGUAI para BRASIL",DataTable[[#This Row],[Valor]]&gt;350),1,0)</f>
        <v>0</v>
      </c>
      <c r="AA163" s="3">
        <f>IF(DataTable[[#This Row],[Valor]]&gt;1,0,0)</f>
        <v>0</v>
      </c>
    </row>
    <row r="164" spans="1:27" x14ac:dyDescent="0.25">
      <c r="A164" s="2" t="s">
        <v>21</v>
      </c>
      <c r="B164" s="2">
        <v>212</v>
      </c>
      <c r="C164" s="3">
        <f t="shared" si="45"/>
        <v>81.25</v>
      </c>
      <c r="D164" s="3">
        <f t="shared" si="46"/>
        <v>87.5</v>
      </c>
      <c r="E164" s="3">
        <f t="shared" si="47"/>
        <v>83.75</v>
      </c>
      <c r="F164" s="3">
        <f t="shared" si="48"/>
        <v>48.04</v>
      </c>
      <c r="G164" s="3">
        <f t="shared" si="49"/>
        <v>119.56</v>
      </c>
      <c r="H164" s="3">
        <f t="shared" si="50"/>
        <v>119.56</v>
      </c>
      <c r="I164" s="3"/>
      <c r="J164" s="3">
        <f t="shared" si="51"/>
        <v>73.56</v>
      </c>
      <c r="K164" s="3">
        <f t="shared" si="52"/>
        <v>87.5</v>
      </c>
      <c r="L164" s="34">
        <f t="shared" si="53"/>
        <v>83.75</v>
      </c>
      <c r="M164" s="3">
        <f t="shared" si="54"/>
        <v>-8.48</v>
      </c>
      <c r="N164" s="3">
        <f t="shared" si="55"/>
        <v>150</v>
      </c>
      <c r="O164" s="3"/>
      <c r="P164" s="3">
        <f t="shared" si="56"/>
        <v>94.363867716535438</v>
      </c>
      <c r="Q164" s="3">
        <f t="shared" si="57"/>
        <v>109.8176</v>
      </c>
      <c r="R164" s="3">
        <f>vd(DataTable[[#This Row],[Sentido]],DataTable[[#This Row],[Valor]])</f>
        <v>103.11688538932633</v>
      </c>
      <c r="S164" s="3">
        <f>IF(DataTable[[#This Row],[Valor]]&gt;1,1,1)</f>
        <v>1</v>
      </c>
      <c r="T164" s="3">
        <f>IF(DataTable[[#This Row],[Valor]]&gt;1,1,1)</f>
        <v>1</v>
      </c>
      <c r="U164" s="3">
        <f>angr(DataTable[[#This Row],[Sentido]],DataTable[[#This Row],[Valor]])</f>
        <v>42.486176727909012</v>
      </c>
      <c r="V164" s="3">
        <f>ANGI(DataTable[[#This Row],[Sentido]],DataTable[[#This Row],[Valor]])</f>
        <v>44.313867016622922</v>
      </c>
      <c r="W164" s="3">
        <f t="shared" si="58"/>
        <v>2</v>
      </c>
      <c r="X164" s="3">
        <f>IF(DataTable[[#This Row],[Valor]]&gt;1,1,1)</f>
        <v>1</v>
      </c>
      <c r="Y164" s="3">
        <f t="shared" si="59"/>
        <v>2</v>
      </c>
      <c r="Z164" s="3">
        <f>IF(AND(DataTable[[#This Row],[Sentido]]="URUGUAI para BRASIL",DataTable[[#This Row],[Valor]]&gt;350),1,0)</f>
        <v>0</v>
      </c>
      <c r="AA164" s="3">
        <f>IF(DataTable[[#This Row],[Valor]]&gt;1,0,0)</f>
        <v>0</v>
      </c>
    </row>
    <row r="165" spans="1:27" x14ac:dyDescent="0.25">
      <c r="A165" s="2" t="s">
        <v>21</v>
      </c>
      <c r="B165" s="2">
        <v>213</v>
      </c>
      <c r="C165" s="3">
        <f t="shared" si="45"/>
        <v>81.25</v>
      </c>
      <c r="D165" s="3">
        <f t="shared" si="46"/>
        <v>87.5</v>
      </c>
      <c r="E165" s="3">
        <f t="shared" si="47"/>
        <v>83.75</v>
      </c>
      <c r="F165" s="3">
        <f t="shared" si="48"/>
        <v>47.96</v>
      </c>
      <c r="G165" s="3">
        <f t="shared" si="49"/>
        <v>119.44</v>
      </c>
      <c r="H165" s="3">
        <f t="shared" si="50"/>
        <v>119.44</v>
      </c>
      <c r="I165" s="3"/>
      <c r="J165" s="3">
        <f t="shared" si="51"/>
        <v>73.56</v>
      </c>
      <c r="K165" s="3">
        <f t="shared" si="52"/>
        <v>87.5</v>
      </c>
      <c r="L165" s="34">
        <f t="shared" si="53"/>
        <v>83.75</v>
      </c>
      <c r="M165" s="3">
        <f t="shared" si="54"/>
        <v>-8.52</v>
      </c>
      <c r="N165" s="3">
        <f t="shared" si="55"/>
        <v>150</v>
      </c>
      <c r="O165" s="3"/>
      <c r="P165" s="3">
        <f t="shared" si="56"/>
        <v>94.702670866141744</v>
      </c>
      <c r="Q165" s="3">
        <f t="shared" si="57"/>
        <v>109.8176</v>
      </c>
      <c r="R165" s="3">
        <f>vd(DataTable[[#This Row],[Sentido]],DataTable[[#This Row],[Valor]])</f>
        <v>103.42309711286089</v>
      </c>
      <c r="S165" s="3">
        <f>IF(DataTable[[#This Row],[Valor]]&gt;1,1,1)</f>
        <v>1</v>
      </c>
      <c r="T165" s="3">
        <f>IF(DataTable[[#This Row],[Valor]]&gt;1,1,1)</f>
        <v>1</v>
      </c>
      <c r="U165" s="3">
        <f>angr(DataTable[[#This Row],[Sentido]],DataTable[[#This Row],[Valor]])</f>
        <v>42.300262467191594</v>
      </c>
      <c r="V165" s="3">
        <f>ANGI(DataTable[[#This Row],[Sentido]],DataTable[[#This Row],[Valor]])</f>
        <v>44.144356955380573</v>
      </c>
      <c r="W165" s="3">
        <f t="shared" si="58"/>
        <v>2</v>
      </c>
      <c r="X165" s="3">
        <f>IF(DataTable[[#This Row],[Valor]]&gt;1,1,1)</f>
        <v>1</v>
      </c>
      <c r="Y165" s="3">
        <f t="shared" si="59"/>
        <v>2</v>
      </c>
      <c r="Z165" s="3">
        <f>IF(AND(DataTable[[#This Row],[Sentido]]="URUGUAI para BRASIL",DataTable[[#This Row],[Valor]]&gt;350),1,0)</f>
        <v>0</v>
      </c>
      <c r="AA165" s="3">
        <f>IF(DataTable[[#This Row],[Valor]]&gt;1,0,0)</f>
        <v>0</v>
      </c>
    </row>
    <row r="166" spans="1:27" x14ac:dyDescent="0.25">
      <c r="A166" s="2" t="s">
        <v>21</v>
      </c>
      <c r="B166" s="2">
        <v>214</v>
      </c>
      <c r="C166" s="3">
        <f t="shared" si="45"/>
        <v>81.25</v>
      </c>
      <c r="D166" s="3">
        <f t="shared" si="46"/>
        <v>87.5</v>
      </c>
      <c r="E166" s="3">
        <f t="shared" si="47"/>
        <v>83.75</v>
      </c>
      <c r="F166" s="3">
        <f t="shared" si="48"/>
        <v>47.879999999999995</v>
      </c>
      <c r="G166" s="3">
        <f t="shared" si="49"/>
        <v>119.32</v>
      </c>
      <c r="H166" s="3">
        <f t="shared" si="50"/>
        <v>119.32</v>
      </c>
      <c r="I166" s="3"/>
      <c r="J166" s="3">
        <f t="shared" si="51"/>
        <v>73.56</v>
      </c>
      <c r="K166" s="3">
        <f t="shared" si="52"/>
        <v>87.5</v>
      </c>
      <c r="L166" s="34">
        <f t="shared" si="53"/>
        <v>83.75</v>
      </c>
      <c r="M166" s="3">
        <f t="shared" si="54"/>
        <v>-8.56</v>
      </c>
      <c r="N166" s="3">
        <f t="shared" si="55"/>
        <v>150</v>
      </c>
      <c r="O166" s="3"/>
      <c r="P166" s="3">
        <f t="shared" si="56"/>
        <v>95.041474015748037</v>
      </c>
      <c r="Q166" s="3">
        <f t="shared" si="57"/>
        <v>109.8176</v>
      </c>
      <c r="R166" s="3">
        <f>vd(DataTable[[#This Row],[Sentido]],DataTable[[#This Row],[Valor]])</f>
        <v>103.72930883639545</v>
      </c>
      <c r="S166" s="3">
        <f>IF(DataTable[[#This Row],[Valor]]&gt;1,1,1)</f>
        <v>1</v>
      </c>
      <c r="T166" s="3">
        <f>IF(DataTable[[#This Row],[Valor]]&gt;1,1,1)</f>
        <v>1</v>
      </c>
      <c r="U166" s="3">
        <f>angr(DataTable[[#This Row],[Sentido]],DataTable[[#This Row],[Valor]])</f>
        <v>42.11434820647419</v>
      </c>
      <c r="V166" s="3">
        <f>ANGI(DataTable[[#This Row],[Sentido]],DataTable[[#This Row],[Valor]])</f>
        <v>43.974846894138231</v>
      </c>
      <c r="W166" s="3">
        <f t="shared" si="58"/>
        <v>2</v>
      </c>
      <c r="X166" s="3">
        <f>IF(DataTable[[#This Row],[Valor]]&gt;1,1,1)</f>
        <v>1</v>
      </c>
      <c r="Y166" s="3">
        <f t="shared" si="59"/>
        <v>2</v>
      </c>
      <c r="Z166" s="3">
        <f>IF(AND(DataTable[[#This Row],[Sentido]]="URUGUAI para BRASIL",DataTable[[#This Row],[Valor]]&gt;350),1,0)</f>
        <v>0</v>
      </c>
      <c r="AA166" s="3">
        <f>IF(DataTable[[#This Row],[Valor]]&gt;1,0,0)</f>
        <v>0</v>
      </c>
    </row>
    <row r="167" spans="1:27" x14ac:dyDescent="0.25">
      <c r="A167" s="2" t="s">
        <v>21</v>
      </c>
      <c r="B167" s="2">
        <v>215</v>
      </c>
      <c r="C167" s="3">
        <f t="shared" si="45"/>
        <v>81.25</v>
      </c>
      <c r="D167" s="3">
        <f t="shared" si="46"/>
        <v>87.5</v>
      </c>
      <c r="E167" s="3">
        <f t="shared" si="47"/>
        <v>83.75</v>
      </c>
      <c r="F167" s="3">
        <f t="shared" si="48"/>
        <v>47.8</v>
      </c>
      <c r="G167" s="3">
        <f t="shared" si="49"/>
        <v>119.2</v>
      </c>
      <c r="H167" s="3">
        <f t="shared" si="50"/>
        <v>119.2</v>
      </c>
      <c r="I167" s="3"/>
      <c r="J167" s="3">
        <f t="shared" si="51"/>
        <v>73.56</v>
      </c>
      <c r="K167" s="3">
        <f t="shared" si="52"/>
        <v>87.5</v>
      </c>
      <c r="L167" s="34">
        <f t="shared" si="53"/>
        <v>83.75</v>
      </c>
      <c r="M167" s="3">
        <f t="shared" si="54"/>
        <v>-8.6</v>
      </c>
      <c r="N167" s="3">
        <f t="shared" si="55"/>
        <v>150</v>
      </c>
      <c r="O167" s="3"/>
      <c r="P167" s="3">
        <f t="shared" si="56"/>
        <v>95.380277165354329</v>
      </c>
      <c r="Q167" s="3">
        <f t="shared" si="57"/>
        <v>109.8176</v>
      </c>
      <c r="R167" s="3">
        <f>vd(DataTable[[#This Row],[Sentido]],DataTable[[#This Row],[Valor]])</f>
        <v>104.03552055993001</v>
      </c>
      <c r="S167" s="3">
        <f>IF(DataTable[[#This Row],[Valor]]&gt;1,1,1)</f>
        <v>1</v>
      </c>
      <c r="T167" s="3">
        <f>IF(DataTable[[#This Row],[Valor]]&gt;1,1,1)</f>
        <v>1</v>
      </c>
      <c r="U167" s="3">
        <f>angr(DataTable[[#This Row],[Sentido]],DataTable[[#This Row],[Valor]])</f>
        <v>41.92843394575678</v>
      </c>
      <c r="V167" s="3">
        <f>ANGI(DataTable[[#This Row],[Sentido]],DataTable[[#This Row],[Valor]])</f>
        <v>43.80533683289589</v>
      </c>
      <c r="W167" s="3">
        <f t="shared" si="58"/>
        <v>2</v>
      </c>
      <c r="X167" s="3">
        <f>IF(DataTable[[#This Row],[Valor]]&gt;1,1,1)</f>
        <v>1</v>
      </c>
      <c r="Y167" s="3">
        <f t="shared" si="59"/>
        <v>2</v>
      </c>
      <c r="Z167" s="3">
        <f>IF(AND(DataTable[[#This Row],[Sentido]]="URUGUAI para BRASIL",DataTable[[#This Row],[Valor]]&gt;350),1,0)</f>
        <v>0</v>
      </c>
      <c r="AA167" s="3">
        <f>IF(DataTable[[#This Row],[Valor]]&gt;1,0,0)</f>
        <v>0</v>
      </c>
    </row>
    <row r="168" spans="1:27" x14ac:dyDescent="0.25">
      <c r="A168" s="2" t="s">
        <v>21</v>
      </c>
      <c r="B168" s="2">
        <v>216</v>
      </c>
      <c r="C168" s="3">
        <f t="shared" si="45"/>
        <v>81.25</v>
      </c>
      <c r="D168" s="3">
        <f t="shared" si="46"/>
        <v>87.5</v>
      </c>
      <c r="E168" s="3">
        <f t="shared" si="47"/>
        <v>83.75</v>
      </c>
      <c r="F168" s="3">
        <f t="shared" si="48"/>
        <v>47.72</v>
      </c>
      <c r="G168" s="3">
        <f t="shared" si="49"/>
        <v>119.08</v>
      </c>
      <c r="H168" s="3">
        <f t="shared" si="50"/>
        <v>119.08</v>
      </c>
      <c r="I168" s="3"/>
      <c r="J168" s="3">
        <f t="shared" si="51"/>
        <v>73.56</v>
      </c>
      <c r="K168" s="3">
        <f t="shared" si="52"/>
        <v>87.5</v>
      </c>
      <c r="L168" s="34">
        <f t="shared" si="53"/>
        <v>83.75</v>
      </c>
      <c r="M168" s="3">
        <f t="shared" si="54"/>
        <v>-8.64</v>
      </c>
      <c r="N168" s="3">
        <f t="shared" si="55"/>
        <v>150</v>
      </c>
      <c r="O168" s="3"/>
      <c r="P168" s="3">
        <f t="shared" si="56"/>
        <v>95.719080314960635</v>
      </c>
      <c r="Q168" s="3">
        <f t="shared" si="57"/>
        <v>109.8176</v>
      </c>
      <c r="R168" s="3">
        <f>vd(DataTable[[#This Row],[Sentido]],DataTable[[#This Row],[Valor]])</f>
        <v>104.34173228346457</v>
      </c>
      <c r="S168" s="3">
        <f>IF(DataTable[[#This Row],[Valor]]&gt;1,1,1)</f>
        <v>1</v>
      </c>
      <c r="T168" s="3">
        <f>IF(DataTable[[#This Row],[Valor]]&gt;1,1,1)</f>
        <v>1</v>
      </c>
      <c r="U168" s="3">
        <f>angr(DataTable[[#This Row],[Sentido]],DataTable[[#This Row],[Valor]])</f>
        <v>41.742519685039362</v>
      </c>
      <c r="V168" s="3">
        <f>ANGI(DataTable[[#This Row],[Sentido]],DataTable[[#This Row],[Valor]])</f>
        <v>43.635826771653541</v>
      </c>
      <c r="W168" s="3">
        <f t="shared" si="58"/>
        <v>2</v>
      </c>
      <c r="X168" s="3">
        <f>IF(DataTable[[#This Row],[Valor]]&gt;1,1,1)</f>
        <v>1</v>
      </c>
      <c r="Y168" s="3">
        <f t="shared" si="59"/>
        <v>2</v>
      </c>
      <c r="Z168" s="3">
        <f>IF(AND(DataTable[[#This Row],[Sentido]]="URUGUAI para BRASIL",DataTable[[#This Row],[Valor]]&gt;350),1,0)</f>
        <v>0</v>
      </c>
      <c r="AA168" s="3">
        <f>IF(DataTable[[#This Row],[Valor]]&gt;1,0,0)</f>
        <v>0</v>
      </c>
    </row>
    <row r="169" spans="1:27" x14ac:dyDescent="0.25">
      <c r="A169" s="2" t="s">
        <v>21</v>
      </c>
      <c r="B169" s="2">
        <v>217</v>
      </c>
      <c r="C169" s="3">
        <f t="shared" si="45"/>
        <v>81.25</v>
      </c>
      <c r="D169" s="3">
        <f t="shared" si="46"/>
        <v>87.5</v>
      </c>
      <c r="E169" s="3">
        <f t="shared" si="47"/>
        <v>83.75</v>
      </c>
      <c r="F169" s="3">
        <f t="shared" si="48"/>
        <v>47.64</v>
      </c>
      <c r="G169" s="3">
        <f t="shared" si="49"/>
        <v>118.96000000000001</v>
      </c>
      <c r="H169" s="3">
        <f t="shared" si="50"/>
        <v>118.96000000000001</v>
      </c>
      <c r="I169" s="3"/>
      <c r="J169" s="3">
        <f t="shared" si="51"/>
        <v>73.56</v>
      </c>
      <c r="K169" s="3">
        <f t="shared" si="52"/>
        <v>87.5</v>
      </c>
      <c r="L169" s="34">
        <f t="shared" si="53"/>
        <v>83.75</v>
      </c>
      <c r="M169" s="3">
        <f t="shared" si="54"/>
        <v>-8.68</v>
      </c>
      <c r="N169" s="3">
        <f t="shared" si="55"/>
        <v>150</v>
      </c>
      <c r="O169" s="3"/>
      <c r="P169" s="3">
        <f t="shared" si="56"/>
        <v>96.057883464566942</v>
      </c>
      <c r="Q169" s="3">
        <f t="shared" si="57"/>
        <v>109.8176</v>
      </c>
      <c r="R169" s="3">
        <f>vd(DataTable[[#This Row],[Sentido]],DataTable[[#This Row],[Valor]])</f>
        <v>104.64794400699913</v>
      </c>
      <c r="S169" s="3">
        <f>IF(DataTable[[#This Row],[Valor]]&gt;1,1,1)</f>
        <v>1</v>
      </c>
      <c r="T169" s="3">
        <f>IF(DataTable[[#This Row],[Valor]]&gt;1,1,1)</f>
        <v>1</v>
      </c>
      <c r="U169" s="3">
        <f>angr(DataTable[[#This Row],[Sentido]],DataTable[[#This Row],[Valor]])</f>
        <v>41.556605424321958</v>
      </c>
      <c r="V169" s="3">
        <f>ANGI(DataTable[[#This Row],[Sentido]],DataTable[[#This Row],[Valor]])</f>
        <v>43.466316710411199</v>
      </c>
      <c r="W169" s="3">
        <f t="shared" si="58"/>
        <v>2</v>
      </c>
      <c r="X169" s="3">
        <f>IF(DataTable[[#This Row],[Valor]]&gt;1,1,1)</f>
        <v>1</v>
      </c>
      <c r="Y169" s="3">
        <f t="shared" si="59"/>
        <v>2</v>
      </c>
      <c r="Z169" s="3">
        <f>IF(AND(DataTable[[#This Row],[Sentido]]="URUGUAI para BRASIL",DataTable[[#This Row],[Valor]]&gt;350),1,0)</f>
        <v>0</v>
      </c>
      <c r="AA169" s="3">
        <f>IF(DataTable[[#This Row],[Valor]]&gt;1,0,0)</f>
        <v>0</v>
      </c>
    </row>
    <row r="170" spans="1:27" x14ac:dyDescent="0.25">
      <c r="A170" s="2" t="s">
        <v>21</v>
      </c>
      <c r="B170" s="2">
        <v>218</v>
      </c>
      <c r="C170" s="3">
        <f t="shared" si="45"/>
        <v>81.25</v>
      </c>
      <c r="D170" s="3">
        <f t="shared" si="46"/>
        <v>87.5</v>
      </c>
      <c r="E170" s="3">
        <f t="shared" si="47"/>
        <v>83.75</v>
      </c>
      <c r="F170" s="3">
        <f t="shared" si="48"/>
        <v>47.56</v>
      </c>
      <c r="G170" s="3">
        <f t="shared" si="49"/>
        <v>118.84</v>
      </c>
      <c r="H170" s="3">
        <f t="shared" si="50"/>
        <v>118.84</v>
      </c>
      <c r="I170" s="3"/>
      <c r="J170" s="3">
        <f t="shared" si="51"/>
        <v>73.56</v>
      </c>
      <c r="K170" s="3">
        <f t="shared" si="52"/>
        <v>87.5</v>
      </c>
      <c r="L170" s="34">
        <f t="shared" si="53"/>
        <v>83.75</v>
      </c>
      <c r="M170" s="3">
        <f t="shared" si="54"/>
        <v>-8.7200000000000006</v>
      </c>
      <c r="N170" s="3">
        <f t="shared" si="55"/>
        <v>150</v>
      </c>
      <c r="O170" s="3"/>
      <c r="P170" s="3">
        <f t="shared" si="56"/>
        <v>96.396686614173234</v>
      </c>
      <c r="Q170" s="3">
        <f t="shared" si="57"/>
        <v>109.8176</v>
      </c>
      <c r="R170" s="3">
        <f>vd(DataTable[[#This Row],[Sentido]],DataTable[[#This Row],[Valor]])</f>
        <v>104.95415573053369</v>
      </c>
      <c r="S170" s="3">
        <f>IF(DataTable[[#This Row],[Valor]]&gt;1,1,1)</f>
        <v>1</v>
      </c>
      <c r="T170" s="3">
        <f>IF(DataTable[[#This Row],[Valor]]&gt;1,1,1)</f>
        <v>1</v>
      </c>
      <c r="U170" s="3">
        <f>angr(DataTable[[#This Row],[Sentido]],DataTable[[#This Row],[Valor]])</f>
        <v>41.370691163604548</v>
      </c>
      <c r="V170" s="3">
        <f>ANGI(DataTable[[#This Row],[Sentido]],DataTable[[#This Row],[Valor]])</f>
        <v>43.296806649168857</v>
      </c>
      <c r="W170" s="3">
        <f t="shared" si="58"/>
        <v>2</v>
      </c>
      <c r="X170" s="3">
        <f>IF(DataTable[[#This Row],[Valor]]&gt;1,1,1)</f>
        <v>1</v>
      </c>
      <c r="Y170" s="3">
        <f t="shared" si="59"/>
        <v>2</v>
      </c>
      <c r="Z170" s="3">
        <f>IF(AND(DataTable[[#This Row],[Sentido]]="URUGUAI para BRASIL",DataTable[[#This Row],[Valor]]&gt;350),1,0)</f>
        <v>0</v>
      </c>
      <c r="AA170" s="3">
        <f>IF(DataTable[[#This Row],[Valor]]&gt;1,0,0)</f>
        <v>0</v>
      </c>
    </row>
    <row r="171" spans="1:27" x14ac:dyDescent="0.25">
      <c r="A171" s="2" t="s">
        <v>21</v>
      </c>
      <c r="B171" s="2">
        <v>219</v>
      </c>
      <c r="C171" s="3">
        <f t="shared" si="45"/>
        <v>81.25</v>
      </c>
      <c r="D171" s="3">
        <f t="shared" si="46"/>
        <v>87.5</v>
      </c>
      <c r="E171" s="3">
        <f t="shared" si="47"/>
        <v>83.75</v>
      </c>
      <c r="F171" s="3">
        <f t="shared" si="48"/>
        <v>47.480000000000004</v>
      </c>
      <c r="G171" s="3">
        <f t="shared" si="49"/>
        <v>118.72</v>
      </c>
      <c r="H171" s="3">
        <f t="shared" si="50"/>
        <v>118.72</v>
      </c>
      <c r="I171" s="3"/>
      <c r="J171" s="3">
        <f t="shared" si="51"/>
        <v>73.56</v>
      </c>
      <c r="K171" s="3">
        <f t="shared" si="52"/>
        <v>87.5</v>
      </c>
      <c r="L171" s="34">
        <f t="shared" si="53"/>
        <v>83.75</v>
      </c>
      <c r="M171" s="3">
        <f t="shared" si="54"/>
        <v>-8.76</v>
      </c>
      <c r="N171" s="3">
        <f t="shared" si="55"/>
        <v>150</v>
      </c>
      <c r="O171" s="3"/>
      <c r="P171" s="3">
        <f t="shared" si="56"/>
        <v>96.73548976377954</v>
      </c>
      <c r="Q171" s="3">
        <f t="shared" si="57"/>
        <v>109.8176</v>
      </c>
      <c r="R171" s="3">
        <f>vd(DataTable[[#This Row],[Sentido]],DataTable[[#This Row],[Valor]])</f>
        <v>105.26036745406824</v>
      </c>
      <c r="S171" s="3">
        <f>IF(DataTable[[#This Row],[Valor]]&gt;1,1,1)</f>
        <v>1</v>
      </c>
      <c r="T171" s="3">
        <f>IF(DataTable[[#This Row],[Valor]]&gt;1,1,1)</f>
        <v>1</v>
      </c>
      <c r="U171" s="3">
        <f>angr(DataTable[[#This Row],[Sentido]],DataTable[[#This Row],[Valor]])</f>
        <v>41.18477690288713</v>
      </c>
      <c r="V171" s="3">
        <f>ANGI(DataTable[[#This Row],[Sentido]],DataTable[[#This Row],[Valor]])</f>
        <v>43.127296587926509</v>
      </c>
      <c r="W171" s="3">
        <f t="shared" si="58"/>
        <v>2</v>
      </c>
      <c r="X171" s="3">
        <f>IF(DataTable[[#This Row],[Valor]]&gt;1,1,1)</f>
        <v>1</v>
      </c>
      <c r="Y171" s="3">
        <f t="shared" si="59"/>
        <v>2</v>
      </c>
      <c r="Z171" s="3">
        <f>IF(AND(DataTable[[#This Row],[Sentido]]="URUGUAI para BRASIL",DataTable[[#This Row],[Valor]]&gt;350),1,0)</f>
        <v>0</v>
      </c>
      <c r="AA171" s="3">
        <f>IF(DataTable[[#This Row],[Valor]]&gt;1,0,0)</f>
        <v>0</v>
      </c>
    </row>
    <row r="172" spans="1:27" x14ac:dyDescent="0.25">
      <c r="A172" s="2" t="s">
        <v>21</v>
      </c>
      <c r="B172" s="2">
        <v>220</v>
      </c>
      <c r="C172" s="3">
        <f t="shared" si="45"/>
        <v>81.25</v>
      </c>
      <c r="D172" s="3">
        <f t="shared" si="46"/>
        <v>87.5</v>
      </c>
      <c r="E172" s="3">
        <f t="shared" si="47"/>
        <v>83.75</v>
      </c>
      <c r="F172" s="3">
        <f t="shared" si="48"/>
        <v>47.4</v>
      </c>
      <c r="G172" s="3">
        <f t="shared" si="49"/>
        <v>118.6</v>
      </c>
      <c r="H172" s="3">
        <f t="shared" si="50"/>
        <v>118.6</v>
      </c>
      <c r="I172" s="3"/>
      <c r="J172" s="3">
        <f t="shared" si="51"/>
        <v>73.56</v>
      </c>
      <c r="K172" s="3">
        <f t="shared" si="52"/>
        <v>87.5</v>
      </c>
      <c r="L172" s="34">
        <f t="shared" si="53"/>
        <v>83.75</v>
      </c>
      <c r="M172" s="3">
        <f t="shared" si="54"/>
        <v>-8.8000000000000007</v>
      </c>
      <c r="N172" s="3">
        <f t="shared" si="55"/>
        <v>150</v>
      </c>
      <c r="O172" s="3"/>
      <c r="P172" s="3">
        <f t="shared" si="56"/>
        <v>97.074292913385847</v>
      </c>
      <c r="Q172" s="3">
        <f t="shared" si="57"/>
        <v>109.8176</v>
      </c>
      <c r="R172" s="3">
        <f>vd(DataTable[[#This Row],[Sentido]],DataTable[[#This Row],[Valor]])</f>
        <v>105.5665791776028</v>
      </c>
      <c r="S172" s="3">
        <f>IF(DataTable[[#This Row],[Valor]]&gt;1,1,1)</f>
        <v>1</v>
      </c>
      <c r="T172" s="3">
        <f>IF(DataTable[[#This Row],[Valor]]&gt;1,1,1)</f>
        <v>1</v>
      </c>
      <c r="U172" s="3">
        <f>angr(DataTable[[#This Row],[Sentido]],DataTable[[#This Row],[Valor]])</f>
        <v>40.998862642169726</v>
      </c>
      <c r="V172" s="3">
        <f>ANGI(DataTable[[#This Row],[Sentido]],DataTable[[#This Row],[Valor]])</f>
        <v>42.95778652668416</v>
      </c>
      <c r="W172" s="3">
        <f t="shared" si="58"/>
        <v>2</v>
      </c>
      <c r="X172" s="3">
        <f>IF(DataTable[[#This Row],[Valor]]&gt;1,1,1)</f>
        <v>1</v>
      </c>
      <c r="Y172" s="3">
        <f t="shared" si="59"/>
        <v>2</v>
      </c>
      <c r="Z172" s="3">
        <f>IF(AND(DataTable[[#This Row],[Sentido]]="URUGUAI para BRASIL",DataTable[[#This Row],[Valor]]&gt;350),1,0)</f>
        <v>0</v>
      </c>
      <c r="AA172" s="3">
        <f>IF(DataTable[[#This Row],[Valor]]&gt;1,0,0)</f>
        <v>0</v>
      </c>
    </row>
    <row r="173" spans="1:27" x14ac:dyDescent="0.25">
      <c r="A173" s="2" t="s">
        <v>21</v>
      </c>
      <c r="B173" s="2">
        <v>221</v>
      </c>
      <c r="C173" s="3">
        <f t="shared" si="45"/>
        <v>81.25</v>
      </c>
      <c r="D173" s="3">
        <f t="shared" si="46"/>
        <v>87.5</v>
      </c>
      <c r="E173" s="3">
        <f t="shared" si="47"/>
        <v>83.75</v>
      </c>
      <c r="F173" s="3">
        <f t="shared" si="48"/>
        <v>47.32</v>
      </c>
      <c r="G173" s="3">
        <f t="shared" si="49"/>
        <v>118.48</v>
      </c>
      <c r="H173" s="3">
        <f t="shared" si="50"/>
        <v>118.48</v>
      </c>
      <c r="I173" s="3"/>
      <c r="J173" s="3">
        <f t="shared" si="51"/>
        <v>73.56</v>
      </c>
      <c r="K173" s="3">
        <f t="shared" si="52"/>
        <v>87.5</v>
      </c>
      <c r="L173" s="34">
        <f t="shared" si="53"/>
        <v>83.75</v>
      </c>
      <c r="M173" s="3">
        <f t="shared" si="54"/>
        <v>-8.84</v>
      </c>
      <c r="N173" s="3">
        <f t="shared" si="55"/>
        <v>150</v>
      </c>
      <c r="O173" s="3"/>
      <c r="P173" s="3">
        <f t="shared" si="56"/>
        <v>97.413096062992139</v>
      </c>
      <c r="Q173" s="3">
        <f t="shared" si="57"/>
        <v>109.8176</v>
      </c>
      <c r="R173" s="3">
        <f>vd(DataTable[[#This Row],[Sentido]],DataTable[[#This Row],[Valor]])</f>
        <v>105.87279090113735</v>
      </c>
      <c r="S173" s="3">
        <f>IF(DataTable[[#This Row],[Valor]]&gt;1,1,1)</f>
        <v>1</v>
      </c>
      <c r="T173" s="3">
        <f>IF(DataTable[[#This Row],[Valor]]&gt;1,1,1)</f>
        <v>1</v>
      </c>
      <c r="U173" s="3">
        <f>angr(DataTable[[#This Row],[Sentido]],DataTable[[#This Row],[Valor]])</f>
        <v>40.812948381452316</v>
      </c>
      <c r="V173" s="3">
        <f>ANGI(DataTable[[#This Row],[Sentido]],DataTable[[#This Row],[Valor]])</f>
        <v>42.788276465441818</v>
      </c>
      <c r="W173" s="3">
        <f t="shared" si="58"/>
        <v>2</v>
      </c>
      <c r="X173" s="3">
        <f>IF(DataTable[[#This Row],[Valor]]&gt;1,1,1)</f>
        <v>1</v>
      </c>
      <c r="Y173" s="3">
        <f t="shared" si="59"/>
        <v>2</v>
      </c>
      <c r="Z173" s="3">
        <f>IF(AND(DataTable[[#This Row],[Sentido]]="URUGUAI para BRASIL",DataTable[[#This Row],[Valor]]&gt;350),1,0)</f>
        <v>0</v>
      </c>
      <c r="AA173" s="3">
        <f>IF(DataTable[[#This Row],[Valor]]&gt;1,0,0)</f>
        <v>0</v>
      </c>
    </row>
    <row r="174" spans="1:27" x14ac:dyDescent="0.25">
      <c r="A174" s="2" t="s">
        <v>21</v>
      </c>
      <c r="B174" s="2">
        <v>222</v>
      </c>
      <c r="C174" s="3">
        <f t="shared" si="45"/>
        <v>81.25</v>
      </c>
      <c r="D174" s="3">
        <f t="shared" si="46"/>
        <v>87.5</v>
      </c>
      <c r="E174" s="3">
        <f t="shared" si="47"/>
        <v>83.75</v>
      </c>
      <c r="F174" s="3">
        <f t="shared" si="48"/>
        <v>47.239999999999995</v>
      </c>
      <c r="G174" s="3">
        <f t="shared" si="49"/>
        <v>118.36</v>
      </c>
      <c r="H174" s="3">
        <f t="shared" si="50"/>
        <v>118.36</v>
      </c>
      <c r="I174" s="3"/>
      <c r="J174" s="3">
        <f t="shared" si="51"/>
        <v>73.56</v>
      </c>
      <c r="K174" s="3">
        <f t="shared" si="52"/>
        <v>87.5</v>
      </c>
      <c r="L174" s="34">
        <f t="shared" si="53"/>
        <v>83.75</v>
      </c>
      <c r="M174" s="3">
        <f t="shared" si="54"/>
        <v>-8.8800000000000008</v>
      </c>
      <c r="N174" s="3">
        <f t="shared" si="55"/>
        <v>150</v>
      </c>
      <c r="O174" s="3"/>
      <c r="P174" s="3">
        <f t="shared" si="56"/>
        <v>97.751899212598431</v>
      </c>
      <c r="Q174" s="3">
        <f t="shared" si="57"/>
        <v>109.8176</v>
      </c>
      <c r="R174" s="3">
        <f>vd(DataTable[[#This Row],[Sentido]],DataTable[[#This Row],[Valor]])</f>
        <v>106.17900262467191</v>
      </c>
      <c r="S174" s="3">
        <f>IF(DataTable[[#This Row],[Valor]]&gt;1,1,1)</f>
        <v>1</v>
      </c>
      <c r="T174" s="3">
        <f>IF(DataTable[[#This Row],[Valor]]&gt;1,1,1)</f>
        <v>1</v>
      </c>
      <c r="U174" s="3">
        <f>angr(DataTable[[#This Row],[Sentido]],DataTable[[#This Row],[Valor]])</f>
        <v>40.627034120734905</v>
      </c>
      <c r="V174" s="3">
        <f>ANGI(DataTable[[#This Row],[Sentido]],DataTable[[#This Row],[Valor]])</f>
        <v>42.618766404199476</v>
      </c>
      <c r="W174" s="3">
        <f t="shared" si="58"/>
        <v>2</v>
      </c>
      <c r="X174" s="3">
        <f>IF(DataTable[[#This Row],[Valor]]&gt;1,1,1)</f>
        <v>1</v>
      </c>
      <c r="Y174" s="3">
        <f t="shared" si="59"/>
        <v>2</v>
      </c>
      <c r="Z174" s="3">
        <f>IF(AND(DataTable[[#This Row],[Sentido]]="URUGUAI para BRASIL",DataTable[[#This Row],[Valor]]&gt;350),1,0)</f>
        <v>0</v>
      </c>
      <c r="AA174" s="3">
        <f>IF(DataTable[[#This Row],[Valor]]&gt;1,0,0)</f>
        <v>0</v>
      </c>
    </row>
    <row r="175" spans="1:27" x14ac:dyDescent="0.25">
      <c r="A175" s="2" t="s">
        <v>21</v>
      </c>
      <c r="B175" s="2">
        <v>223</v>
      </c>
      <c r="C175" s="3">
        <f t="shared" si="45"/>
        <v>81.25</v>
      </c>
      <c r="D175" s="3">
        <f t="shared" si="46"/>
        <v>87.5</v>
      </c>
      <c r="E175" s="3">
        <f t="shared" si="47"/>
        <v>83.75</v>
      </c>
      <c r="F175" s="3">
        <f t="shared" si="48"/>
        <v>47.16</v>
      </c>
      <c r="G175" s="3">
        <f t="shared" si="49"/>
        <v>118.24000000000001</v>
      </c>
      <c r="H175" s="3">
        <f t="shared" si="50"/>
        <v>118.24000000000001</v>
      </c>
      <c r="I175" s="3"/>
      <c r="J175" s="3">
        <f t="shared" si="51"/>
        <v>73.56</v>
      </c>
      <c r="K175" s="3">
        <f t="shared" si="52"/>
        <v>87.5</v>
      </c>
      <c r="L175" s="34">
        <f t="shared" si="53"/>
        <v>83.75</v>
      </c>
      <c r="M175" s="3">
        <f t="shared" si="54"/>
        <v>-8.92</v>
      </c>
      <c r="N175" s="3">
        <f t="shared" si="55"/>
        <v>150</v>
      </c>
      <c r="O175" s="3"/>
      <c r="P175" s="3">
        <f t="shared" si="56"/>
        <v>98.090702362204738</v>
      </c>
      <c r="Q175" s="3">
        <f t="shared" si="57"/>
        <v>109.8176</v>
      </c>
      <c r="R175" s="3">
        <f>vd(DataTable[[#This Row],[Sentido]],DataTable[[#This Row],[Valor]])</f>
        <v>106.48521434820648</v>
      </c>
      <c r="S175" s="3">
        <f>IF(DataTable[[#This Row],[Valor]]&gt;1,1,1)</f>
        <v>1</v>
      </c>
      <c r="T175" s="3">
        <f>IF(DataTable[[#This Row],[Valor]]&gt;1,1,1)</f>
        <v>1</v>
      </c>
      <c r="U175" s="3">
        <f>angr(DataTable[[#This Row],[Sentido]],DataTable[[#This Row],[Valor]])</f>
        <v>40.441119860017494</v>
      </c>
      <c r="V175" s="3">
        <f>ANGI(DataTable[[#This Row],[Sentido]],DataTable[[#This Row],[Valor]])</f>
        <v>42.449256342957128</v>
      </c>
      <c r="W175" s="3">
        <f t="shared" si="58"/>
        <v>2</v>
      </c>
      <c r="X175" s="3">
        <f>IF(DataTable[[#This Row],[Valor]]&gt;1,1,1)</f>
        <v>1</v>
      </c>
      <c r="Y175" s="3">
        <f t="shared" si="59"/>
        <v>2</v>
      </c>
      <c r="Z175" s="3">
        <f>IF(AND(DataTable[[#This Row],[Sentido]]="URUGUAI para BRASIL",DataTable[[#This Row],[Valor]]&gt;350),1,0)</f>
        <v>0</v>
      </c>
      <c r="AA175" s="3">
        <f>IF(DataTable[[#This Row],[Valor]]&gt;1,0,0)</f>
        <v>0</v>
      </c>
    </row>
    <row r="176" spans="1:27" x14ac:dyDescent="0.25">
      <c r="A176" s="2" t="s">
        <v>21</v>
      </c>
      <c r="B176" s="2">
        <v>224</v>
      </c>
      <c r="C176" s="3">
        <f t="shared" si="45"/>
        <v>81.25</v>
      </c>
      <c r="D176" s="3">
        <f t="shared" si="46"/>
        <v>87.5</v>
      </c>
      <c r="E176" s="3">
        <f t="shared" si="47"/>
        <v>83.75</v>
      </c>
      <c r="F176" s="3">
        <f t="shared" si="48"/>
        <v>47.08</v>
      </c>
      <c r="G176" s="3">
        <f t="shared" si="49"/>
        <v>118.12</v>
      </c>
      <c r="H176" s="3">
        <f t="shared" si="50"/>
        <v>118.12</v>
      </c>
      <c r="I176" s="3"/>
      <c r="J176" s="3">
        <f t="shared" si="51"/>
        <v>73.56</v>
      </c>
      <c r="K176" s="3">
        <f t="shared" si="52"/>
        <v>87.5</v>
      </c>
      <c r="L176" s="34">
        <f t="shared" si="53"/>
        <v>83.75</v>
      </c>
      <c r="M176" s="3">
        <f t="shared" si="54"/>
        <v>-8.9600000000000009</v>
      </c>
      <c r="N176" s="3">
        <f t="shared" si="55"/>
        <v>150</v>
      </c>
      <c r="O176" s="3"/>
      <c r="P176" s="3">
        <f t="shared" si="56"/>
        <v>98.42950551181103</v>
      </c>
      <c r="Q176" s="3">
        <f t="shared" si="57"/>
        <v>109.8176</v>
      </c>
      <c r="R176" s="3">
        <f>vd(DataTable[[#This Row],[Sentido]],DataTable[[#This Row],[Valor]])</f>
        <v>106.79142607174103</v>
      </c>
      <c r="S176" s="3">
        <f>IF(DataTable[[#This Row],[Valor]]&gt;1,1,1)</f>
        <v>1</v>
      </c>
      <c r="T176" s="3">
        <f>IF(DataTable[[#This Row],[Valor]]&gt;1,1,1)</f>
        <v>1</v>
      </c>
      <c r="U176" s="3">
        <f>angr(DataTable[[#This Row],[Sentido]],DataTable[[#This Row],[Valor]])</f>
        <v>40.255205599300083</v>
      </c>
      <c r="V176" s="3">
        <f>ANGI(DataTable[[#This Row],[Sentido]],DataTable[[#This Row],[Valor]])</f>
        <v>42.279746281714786</v>
      </c>
      <c r="W176" s="3">
        <f t="shared" si="58"/>
        <v>2</v>
      </c>
      <c r="X176" s="3">
        <f>IF(DataTable[[#This Row],[Valor]]&gt;1,1,1)</f>
        <v>1</v>
      </c>
      <c r="Y176" s="3">
        <f t="shared" si="59"/>
        <v>2</v>
      </c>
      <c r="Z176" s="3">
        <f>IF(AND(DataTable[[#This Row],[Sentido]]="URUGUAI para BRASIL",DataTable[[#This Row],[Valor]]&gt;350),1,0)</f>
        <v>0</v>
      </c>
      <c r="AA176" s="3">
        <f>IF(DataTable[[#This Row],[Valor]]&gt;1,0,0)</f>
        <v>0</v>
      </c>
    </row>
    <row r="177" spans="1:27" x14ac:dyDescent="0.25">
      <c r="A177" s="2" t="s">
        <v>21</v>
      </c>
      <c r="B177" s="2">
        <v>225</v>
      </c>
      <c r="C177" s="3">
        <f t="shared" si="45"/>
        <v>81.25</v>
      </c>
      <c r="D177" s="3">
        <f t="shared" si="46"/>
        <v>87.5</v>
      </c>
      <c r="E177" s="3">
        <f t="shared" si="47"/>
        <v>83.75</v>
      </c>
      <c r="F177" s="3">
        <f t="shared" si="48"/>
        <v>47</v>
      </c>
      <c r="G177" s="3">
        <f t="shared" si="49"/>
        <v>118</v>
      </c>
      <c r="H177" s="3">
        <f t="shared" si="50"/>
        <v>118</v>
      </c>
      <c r="I177" s="3"/>
      <c r="J177" s="3">
        <f t="shared" si="51"/>
        <v>73.56</v>
      </c>
      <c r="K177" s="3">
        <f t="shared" si="52"/>
        <v>87.5</v>
      </c>
      <c r="L177" s="34">
        <f t="shared" si="53"/>
        <v>83.75</v>
      </c>
      <c r="M177" s="3">
        <f t="shared" si="54"/>
        <v>-9</v>
      </c>
      <c r="N177" s="3">
        <f t="shared" si="55"/>
        <v>150</v>
      </c>
      <c r="O177" s="3"/>
      <c r="P177" s="3">
        <f t="shared" si="56"/>
        <v>98.768308661417322</v>
      </c>
      <c r="Q177" s="3">
        <f t="shared" si="57"/>
        <v>109.8176</v>
      </c>
      <c r="R177" s="3">
        <f>vd(DataTable[[#This Row],[Sentido]],DataTable[[#This Row],[Valor]])</f>
        <v>107.09763779527559</v>
      </c>
      <c r="S177" s="3">
        <f>IF(DataTable[[#This Row],[Valor]]&gt;1,1,1)</f>
        <v>1</v>
      </c>
      <c r="T177" s="3">
        <f>IF(DataTable[[#This Row],[Valor]]&gt;1,1,1)</f>
        <v>1</v>
      </c>
      <c r="U177" s="3">
        <f>angr(DataTable[[#This Row],[Sentido]],DataTable[[#This Row],[Valor]])</f>
        <v>40.06929133858268</v>
      </c>
      <c r="V177" s="3">
        <f>ANGI(DataTable[[#This Row],[Sentido]],DataTable[[#This Row],[Valor]])</f>
        <v>42.110236220472444</v>
      </c>
      <c r="W177" s="3">
        <f t="shared" si="58"/>
        <v>2</v>
      </c>
      <c r="X177" s="3">
        <f>IF(DataTable[[#This Row],[Valor]]&gt;1,1,1)</f>
        <v>1</v>
      </c>
      <c r="Y177" s="3">
        <f t="shared" si="59"/>
        <v>2</v>
      </c>
      <c r="Z177" s="3">
        <f>IF(AND(DataTable[[#This Row],[Sentido]]="URUGUAI para BRASIL",DataTable[[#This Row],[Valor]]&gt;350),1,0)</f>
        <v>0</v>
      </c>
      <c r="AA177" s="3">
        <f>IF(DataTable[[#This Row],[Valor]]&gt;1,0,0)</f>
        <v>0</v>
      </c>
    </row>
    <row r="178" spans="1:27" x14ac:dyDescent="0.25">
      <c r="A178" s="2" t="s">
        <v>21</v>
      </c>
      <c r="B178" s="2">
        <v>226</v>
      </c>
      <c r="C178" s="3">
        <f t="shared" si="45"/>
        <v>81.25</v>
      </c>
      <c r="D178" s="3">
        <f t="shared" si="46"/>
        <v>87.5</v>
      </c>
      <c r="E178" s="3">
        <f t="shared" si="47"/>
        <v>83.75</v>
      </c>
      <c r="F178" s="3">
        <f t="shared" si="48"/>
        <v>46.92</v>
      </c>
      <c r="G178" s="3">
        <f t="shared" si="49"/>
        <v>117.88</v>
      </c>
      <c r="H178" s="3">
        <f t="shared" si="50"/>
        <v>117.88</v>
      </c>
      <c r="I178" s="3"/>
      <c r="J178" s="3">
        <f t="shared" si="51"/>
        <v>73.56</v>
      </c>
      <c r="K178" s="3">
        <f t="shared" si="52"/>
        <v>87.5</v>
      </c>
      <c r="L178" s="34">
        <f t="shared" si="53"/>
        <v>83.75</v>
      </c>
      <c r="M178" s="3">
        <f t="shared" si="54"/>
        <v>-9.0400000000000009</v>
      </c>
      <c r="N178" s="3">
        <f t="shared" si="55"/>
        <v>150</v>
      </c>
      <c r="O178" s="3"/>
      <c r="P178" s="3">
        <f t="shared" si="56"/>
        <v>99.107111811023643</v>
      </c>
      <c r="Q178" s="3">
        <f t="shared" si="57"/>
        <v>109.8176</v>
      </c>
      <c r="R178" s="3">
        <f>vd(DataTable[[#This Row],[Sentido]],DataTable[[#This Row],[Valor]])</f>
        <v>107.40384951881015</v>
      </c>
      <c r="S178" s="3">
        <f>IF(DataTable[[#This Row],[Valor]]&gt;1,1,1)</f>
        <v>1</v>
      </c>
      <c r="T178" s="3">
        <f>IF(DataTable[[#This Row],[Valor]]&gt;1,1,1)</f>
        <v>1</v>
      </c>
      <c r="U178" s="3">
        <f>angr(DataTable[[#This Row],[Sentido]],DataTable[[#This Row],[Valor]])</f>
        <v>39.883377077865262</v>
      </c>
      <c r="V178" s="3">
        <f>ANGI(DataTable[[#This Row],[Sentido]],DataTable[[#This Row],[Valor]])</f>
        <v>41.940726159230096</v>
      </c>
      <c r="W178" s="3">
        <f t="shared" si="58"/>
        <v>2</v>
      </c>
      <c r="X178" s="3">
        <f>IF(DataTable[[#This Row],[Valor]]&gt;1,1,1)</f>
        <v>1</v>
      </c>
      <c r="Y178" s="3">
        <f t="shared" si="59"/>
        <v>2</v>
      </c>
      <c r="Z178" s="3">
        <f>IF(AND(DataTable[[#This Row],[Sentido]]="URUGUAI para BRASIL",DataTable[[#This Row],[Valor]]&gt;350),1,0)</f>
        <v>0</v>
      </c>
      <c r="AA178" s="3">
        <f>IF(DataTable[[#This Row],[Valor]]&gt;1,0,0)</f>
        <v>0</v>
      </c>
    </row>
    <row r="179" spans="1:27" x14ac:dyDescent="0.25">
      <c r="A179" s="2" t="s">
        <v>21</v>
      </c>
      <c r="B179" s="2">
        <v>227</v>
      </c>
      <c r="C179" s="3">
        <f t="shared" si="45"/>
        <v>81.25</v>
      </c>
      <c r="D179" s="3">
        <f t="shared" si="46"/>
        <v>87.5</v>
      </c>
      <c r="E179" s="3">
        <f t="shared" si="47"/>
        <v>83.75</v>
      </c>
      <c r="F179" s="3">
        <f t="shared" si="48"/>
        <v>46.84</v>
      </c>
      <c r="G179" s="3">
        <f t="shared" si="49"/>
        <v>117.75999999999999</v>
      </c>
      <c r="H179" s="3">
        <f t="shared" si="50"/>
        <v>117.75999999999999</v>
      </c>
      <c r="I179" s="3"/>
      <c r="J179" s="3">
        <f t="shared" si="51"/>
        <v>73.56</v>
      </c>
      <c r="K179" s="3">
        <f t="shared" si="52"/>
        <v>87.5</v>
      </c>
      <c r="L179" s="34">
        <f t="shared" si="53"/>
        <v>83.75</v>
      </c>
      <c r="M179" s="3">
        <f t="shared" si="54"/>
        <v>-9.08</v>
      </c>
      <c r="N179" s="3">
        <f t="shared" si="55"/>
        <v>150</v>
      </c>
      <c r="O179" s="3"/>
      <c r="P179" s="3">
        <f t="shared" si="56"/>
        <v>99.445914960629935</v>
      </c>
      <c r="Q179" s="3">
        <f t="shared" si="57"/>
        <v>109.8176</v>
      </c>
      <c r="R179" s="3">
        <f>vd(DataTable[[#This Row],[Sentido]],DataTable[[#This Row],[Valor]])</f>
        <v>107.71006124234471</v>
      </c>
      <c r="S179" s="3">
        <f>IF(DataTable[[#This Row],[Valor]]&gt;1,1,1)</f>
        <v>1</v>
      </c>
      <c r="T179" s="3">
        <f>IF(DataTable[[#This Row],[Valor]]&gt;1,1,1)</f>
        <v>1</v>
      </c>
      <c r="U179" s="3">
        <f>angr(DataTable[[#This Row],[Sentido]],DataTable[[#This Row],[Valor]])</f>
        <v>39.697462817147851</v>
      </c>
      <c r="V179" s="3">
        <f>ANGI(DataTable[[#This Row],[Sentido]],DataTable[[#This Row],[Valor]])</f>
        <v>41.771216097987754</v>
      </c>
      <c r="W179" s="3">
        <f t="shared" si="58"/>
        <v>2</v>
      </c>
      <c r="X179" s="3">
        <f>IF(DataTable[[#This Row],[Valor]]&gt;1,1,1)</f>
        <v>1</v>
      </c>
      <c r="Y179" s="3">
        <f t="shared" si="59"/>
        <v>2</v>
      </c>
      <c r="Z179" s="3">
        <f>IF(AND(DataTable[[#This Row],[Sentido]]="URUGUAI para BRASIL",DataTable[[#This Row],[Valor]]&gt;350),1,0)</f>
        <v>0</v>
      </c>
      <c r="AA179" s="3">
        <f>IF(DataTable[[#This Row],[Valor]]&gt;1,0,0)</f>
        <v>0</v>
      </c>
    </row>
    <row r="180" spans="1:27" x14ac:dyDescent="0.25">
      <c r="A180" s="2" t="s">
        <v>21</v>
      </c>
      <c r="B180" s="2">
        <v>228</v>
      </c>
      <c r="C180" s="3">
        <f t="shared" si="45"/>
        <v>81.25</v>
      </c>
      <c r="D180" s="3">
        <f t="shared" si="46"/>
        <v>87.5</v>
      </c>
      <c r="E180" s="3">
        <f t="shared" si="47"/>
        <v>83.75</v>
      </c>
      <c r="F180" s="3">
        <f t="shared" si="48"/>
        <v>46.76</v>
      </c>
      <c r="G180" s="3">
        <f t="shared" si="49"/>
        <v>117.64</v>
      </c>
      <c r="H180" s="3">
        <f t="shared" si="50"/>
        <v>117.64</v>
      </c>
      <c r="I180" s="3"/>
      <c r="J180" s="3">
        <f t="shared" si="51"/>
        <v>73.56</v>
      </c>
      <c r="K180" s="3">
        <f t="shared" si="52"/>
        <v>87.5</v>
      </c>
      <c r="L180" s="34">
        <f t="shared" si="53"/>
        <v>83.75</v>
      </c>
      <c r="M180" s="3">
        <f t="shared" si="54"/>
        <v>-9.120000000000001</v>
      </c>
      <c r="N180" s="3">
        <f t="shared" si="55"/>
        <v>150</v>
      </c>
      <c r="O180" s="3"/>
      <c r="P180" s="3">
        <f t="shared" si="56"/>
        <v>99.784718110236227</v>
      </c>
      <c r="Q180" s="3">
        <f t="shared" si="57"/>
        <v>109.8176</v>
      </c>
      <c r="R180" s="3">
        <f>vd(DataTable[[#This Row],[Sentido]],DataTable[[#This Row],[Valor]])</f>
        <v>108.01627296587927</v>
      </c>
      <c r="S180" s="3">
        <f>IF(DataTable[[#This Row],[Valor]]&gt;1,1,1)</f>
        <v>1</v>
      </c>
      <c r="T180" s="3">
        <f>IF(DataTable[[#This Row],[Valor]]&gt;1,1,1)</f>
        <v>1</v>
      </c>
      <c r="U180" s="3">
        <f>angr(DataTable[[#This Row],[Sentido]],DataTable[[#This Row],[Valor]])</f>
        <v>39.511548556430448</v>
      </c>
      <c r="V180" s="3">
        <f>ANGI(DataTable[[#This Row],[Sentido]],DataTable[[#This Row],[Valor]])</f>
        <v>41.601706036745405</v>
      </c>
      <c r="W180" s="3">
        <f t="shared" si="58"/>
        <v>2</v>
      </c>
      <c r="X180" s="3">
        <f>IF(DataTable[[#This Row],[Valor]]&gt;1,1,1)</f>
        <v>1</v>
      </c>
      <c r="Y180" s="3">
        <f t="shared" si="59"/>
        <v>2</v>
      </c>
      <c r="Z180" s="3">
        <f>IF(AND(DataTable[[#This Row],[Sentido]]="URUGUAI para BRASIL",DataTable[[#This Row],[Valor]]&gt;350),1,0)</f>
        <v>0</v>
      </c>
      <c r="AA180" s="3">
        <f>IF(DataTable[[#This Row],[Valor]]&gt;1,0,0)</f>
        <v>0</v>
      </c>
    </row>
    <row r="181" spans="1:27" x14ac:dyDescent="0.25">
      <c r="A181" s="2" t="s">
        <v>21</v>
      </c>
      <c r="B181" s="2">
        <v>229</v>
      </c>
      <c r="C181" s="3">
        <f t="shared" si="45"/>
        <v>81.25</v>
      </c>
      <c r="D181" s="3">
        <f t="shared" si="46"/>
        <v>87.5</v>
      </c>
      <c r="E181" s="3">
        <f t="shared" si="47"/>
        <v>83.75</v>
      </c>
      <c r="F181" s="3">
        <f t="shared" si="48"/>
        <v>46.68</v>
      </c>
      <c r="G181" s="3">
        <f t="shared" si="49"/>
        <v>117.52000000000001</v>
      </c>
      <c r="H181" s="3">
        <f t="shared" si="50"/>
        <v>117.52000000000001</v>
      </c>
      <c r="I181" s="3"/>
      <c r="J181" s="3">
        <f t="shared" si="51"/>
        <v>73.56</v>
      </c>
      <c r="K181" s="3">
        <f t="shared" si="52"/>
        <v>87.5</v>
      </c>
      <c r="L181" s="34">
        <f t="shared" si="53"/>
        <v>83.75</v>
      </c>
      <c r="M181" s="3">
        <f t="shared" si="54"/>
        <v>-9.16</v>
      </c>
      <c r="N181" s="3">
        <f t="shared" si="55"/>
        <v>150</v>
      </c>
      <c r="O181" s="3"/>
      <c r="P181" s="3">
        <f t="shared" si="56"/>
        <v>100.12352125984253</v>
      </c>
      <c r="Q181" s="3">
        <f t="shared" si="57"/>
        <v>109.8176</v>
      </c>
      <c r="R181" s="3">
        <f>vd(DataTable[[#This Row],[Sentido]],DataTable[[#This Row],[Valor]])</f>
        <v>108.29243409791168</v>
      </c>
      <c r="S181" s="3">
        <f>IF(DataTable[[#This Row],[Valor]]&gt;1,1,1)</f>
        <v>1</v>
      </c>
      <c r="T181" s="3">
        <f>IF(DataTable[[#This Row],[Valor]]&gt;1,1,1)</f>
        <v>1</v>
      </c>
      <c r="U181" s="3">
        <f>angr(DataTable[[#This Row],[Sentido]],DataTable[[#This Row],[Valor]])</f>
        <v>39.338377268058878</v>
      </c>
      <c r="V181" s="3">
        <f>ANGI(DataTable[[#This Row],[Sentido]],DataTable[[#This Row],[Valor]])</f>
        <v>41.445224238274562</v>
      </c>
      <c r="W181" s="3">
        <f t="shared" si="58"/>
        <v>2</v>
      </c>
      <c r="X181" s="3">
        <f>IF(DataTable[[#This Row],[Valor]]&gt;1,1,1)</f>
        <v>1</v>
      </c>
      <c r="Y181" s="3">
        <f t="shared" si="59"/>
        <v>2</v>
      </c>
      <c r="Z181" s="3">
        <f>IF(AND(DataTable[[#This Row],[Sentido]]="URUGUAI para BRASIL",DataTable[[#This Row],[Valor]]&gt;350),1,0)</f>
        <v>0</v>
      </c>
      <c r="AA181" s="3">
        <f>IF(DataTable[[#This Row],[Valor]]&gt;1,0,0)</f>
        <v>0</v>
      </c>
    </row>
    <row r="182" spans="1:27" x14ac:dyDescent="0.25">
      <c r="A182" s="2" t="s">
        <v>21</v>
      </c>
      <c r="B182" s="2">
        <v>230</v>
      </c>
      <c r="C182" s="3">
        <f t="shared" si="45"/>
        <v>81.25</v>
      </c>
      <c r="D182" s="3">
        <f t="shared" si="46"/>
        <v>87.5</v>
      </c>
      <c r="E182" s="3">
        <f t="shared" si="47"/>
        <v>83.75</v>
      </c>
      <c r="F182" s="3">
        <f t="shared" si="48"/>
        <v>46.599999999999994</v>
      </c>
      <c r="G182" s="3">
        <f t="shared" si="49"/>
        <v>117.4</v>
      </c>
      <c r="H182" s="3">
        <f t="shared" si="50"/>
        <v>117.4</v>
      </c>
      <c r="I182" s="3"/>
      <c r="J182" s="3">
        <f t="shared" si="51"/>
        <v>73.56</v>
      </c>
      <c r="K182" s="3">
        <f t="shared" si="52"/>
        <v>87.5</v>
      </c>
      <c r="L182" s="34">
        <f t="shared" si="53"/>
        <v>83.75</v>
      </c>
      <c r="M182" s="3">
        <f t="shared" si="54"/>
        <v>-9.2000000000000011</v>
      </c>
      <c r="N182" s="3">
        <f t="shared" si="55"/>
        <v>150</v>
      </c>
      <c r="O182" s="3"/>
      <c r="P182" s="3">
        <f t="shared" si="56"/>
        <v>100.46232440944883</v>
      </c>
      <c r="Q182" s="3">
        <f t="shared" si="57"/>
        <v>109.8176</v>
      </c>
      <c r="R182" s="3">
        <f>vd(DataTable[[#This Row],[Sentido]],DataTable[[#This Row],[Valor]])</f>
        <v>108.52351934269086</v>
      </c>
      <c r="S182" s="3">
        <f>IF(DataTable[[#This Row],[Valor]]&gt;1,1,1)</f>
        <v>1</v>
      </c>
      <c r="T182" s="3">
        <f>IF(DataTable[[#This Row],[Valor]]&gt;1,1,1)</f>
        <v>1</v>
      </c>
      <c r="U182" s="3">
        <f>angr(DataTable[[#This Row],[Sentido]],DataTable[[#This Row],[Valor]])</f>
        <v>39.184320438206093</v>
      </c>
      <c r="V182" s="3">
        <f>ANGI(DataTable[[#This Row],[Sentido]],DataTable[[#This Row],[Valor]])</f>
        <v>41.308284833960968</v>
      </c>
      <c r="W182" s="3">
        <f t="shared" si="58"/>
        <v>2</v>
      </c>
      <c r="X182" s="3">
        <f>IF(DataTable[[#This Row],[Valor]]&gt;1,1,1)</f>
        <v>1</v>
      </c>
      <c r="Y182" s="3">
        <f t="shared" si="59"/>
        <v>2</v>
      </c>
      <c r="Z182" s="3">
        <f>IF(AND(DataTable[[#This Row],[Sentido]]="URUGUAI para BRASIL",DataTable[[#This Row],[Valor]]&gt;350),1,0)</f>
        <v>0</v>
      </c>
      <c r="AA182" s="3">
        <f>IF(DataTable[[#This Row],[Valor]]&gt;1,0,0)</f>
        <v>0</v>
      </c>
    </row>
    <row r="183" spans="1:27" x14ac:dyDescent="0.25">
      <c r="A183" s="2" t="s">
        <v>21</v>
      </c>
      <c r="B183" s="2">
        <v>231</v>
      </c>
      <c r="C183" s="3">
        <f t="shared" si="45"/>
        <v>81.25</v>
      </c>
      <c r="D183" s="3">
        <f t="shared" si="46"/>
        <v>87.5</v>
      </c>
      <c r="E183" s="3">
        <f t="shared" si="47"/>
        <v>83.75</v>
      </c>
      <c r="F183" s="3">
        <f t="shared" si="48"/>
        <v>46.519999999999996</v>
      </c>
      <c r="G183" s="3">
        <f t="shared" si="49"/>
        <v>117.28</v>
      </c>
      <c r="H183" s="3">
        <f t="shared" si="50"/>
        <v>117.28</v>
      </c>
      <c r="I183" s="3"/>
      <c r="J183" s="3">
        <f t="shared" si="51"/>
        <v>73.56</v>
      </c>
      <c r="K183" s="3">
        <f t="shared" si="52"/>
        <v>87.5</v>
      </c>
      <c r="L183" s="34">
        <f t="shared" si="53"/>
        <v>83.75</v>
      </c>
      <c r="M183" s="3">
        <f t="shared" si="54"/>
        <v>-9.24</v>
      </c>
      <c r="N183" s="3">
        <f t="shared" si="55"/>
        <v>150</v>
      </c>
      <c r="O183" s="3"/>
      <c r="P183" s="3">
        <f t="shared" si="56"/>
        <v>100.80112755905512</v>
      </c>
      <c r="Q183" s="3">
        <f t="shared" si="57"/>
        <v>109.8176</v>
      </c>
      <c r="R183" s="3">
        <f>vd(DataTable[[#This Row],[Sentido]],DataTable[[#This Row],[Valor]])</f>
        <v>108.75460458747004</v>
      </c>
      <c r="S183" s="3">
        <f>IF(DataTable[[#This Row],[Valor]]&gt;1,1,1)</f>
        <v>1</v>
      </c>
      <c r="T183" s="3">
        <f>IF(DataTable[[#This Row],[Valor]]&gt;1,1,1)</f>
        <v>1</v>
      </c>
      <c r="U183" s="3">
        <f>angr(DataTable[[#This Row],[Sentido]],DataTable[[#This Row],[Valor]])</f>
        <v>39.030263608353302</v>
      </c>
      <c r="V183" s="3">
        <f>ANGI(DataTable[[#This Row],[Sentido]],DataTable[[#This Row],[Valor]])</f>
        <v>41.171345429647381</v>
      </c>
      <c r="W183" s="3">
        <f t="shared" si="58"/>
        <v>2</v>
      </c>
      <c r="X183" s="3">
        <f>IF(DataTable[[#This Row],[Valor]]&gt;1,1,1)</f>
        <v>1</v>
      </c>
      <c r="Y183" s="3">
        <f t="shared" si="59"/>
        <v>2</v>
      </c>
      <c r="Z183" s="3">
        <f>IF(AND(DataTable[[#This Row],[Sentido]]="URUGUAI para BRASIL",DataTable[[#This Row],[Valor]]&gt;350),1,0)</f>
        <v>0</v>
      </c>
      <c r="AA183" s="3">
        <f>IF(DataTable[[#This Row],[Valor]]&gt;1,0,0)</f>
        <v>0</v>
      </c>
    </row>
    <row r="184" spans="1:27" x14ac:dyDescent="0.25">
      <c r="A184" s="2" t="s">
        <v>21</v>
      </c>
      <c r="B184" s="2">
        <v>232</v>
      </c>
      <c r="C184" s="3">
        <f t="shared" si="45"/>
        <v>81.25</v>
      </c>
      <c r="D184" s="3">
        <f t="shared" si="46"/>
        <v>87.5</v>
      </c>
      <c r="E184" s="3">
        <f t="shared" si="47"/>
        <v>83.75</v>
      </c>
      <c r="F184" s="3">
        <f t="shared" si="48"/>
        <v>46.44</v>
      </c>
      <c r="G184" s="3">
        <f t="shared" si="49"/>
        <v>117.16</v>
      </c>
      <c r="H184" s="3">
        <f t="shared" si="50"/>
        <v>117.16</v>
      </c>
      <c r="I184" s="3"/>
      <c r="J184" s="3">
        <f t="shared" si="51"/>
        <v>73.56</v>
      </c>
      <c r="K184" s="3">
        <f t="shared" si="52"/>
        <v>87.5</v>
      </c>
      <c r="L184" s="34">
        <f t="shared" si="53"/>
        <v>83.75</v>
      </c>
      <c r="M184" s="3">
        <f t="shared" si="54"/>
        <v>-9.2799999999999994</v>
      </c>
      <c r="N184" s="3">
        <f t="shared" si="55"/>
        <v>150</v>
      </c>
      <c r="O184" s="3"/>
      <c r="P184" s="3">
        <f t="shared" si="56"/>
        <v>101.13993070866141</v>
      </c>
      <c r="Q184" s="3">
        <f t="shared" si="57"/>
        <v>109.8176</v>
      </c>
      <c r="R184" s="3">
        <f>vd(DataTable[[#This Row],[Sentido]],DataTable[[#This Row],[Valor]])</f>
        <v>108.98568983224924</v>
      </c>
      <c r="S184" s="3">
        <f>IF(DataTable[[#This Row],[Valor]]&gt;1,1,1)</f>
        <v>1</v>
      </c>
      <c r="T184" s="3">
        <f>IF(DataTable[[#This Row],[Valor]]&gt;1,1,1)</f>
        <v>1</v>
      </c>
      <c r="U184" s="3">
        <f>angr(DataTable[[#This Row],[Sentido]],DataTable[[#This Row],[Valor]])</f>
        <v>38.876206778500517</v>
      </c>
      <c r="V184" s="3">
        <f>ANGI(DataTable[[#This Row],[Sentido]],DataTable[[#This Row],[Valor]])</f>
        <v>41.034406025333794</v>
      </c>
      <c r="W184" s="3">
        <f t="shared" si="58"/>
        <v>2</v>
      </c>
      <c r="X184" s="3">
        <f>IF(DataTable[[#This Row],[Valor]]&gt;1,1,1)</f>
        <v>1</v>
      </c>
      <c r="Y184" s="3">
        <f t="shared" si="59"/>
        <v>2</v>
      </c>
      <c r="Z184" s="3">
        <f>IF(AND(DataTable[[#This Row],[Sentido]]="URUGUAI para BRASIL",DataTable[[#This Row],[Valor]]&gt;350),1,0)</f>
        <v>0</v>
      </c>
      <c r="AA184" s="3">
        <f>IF(DataTable[[#This Row],[Valor]]&gt;1,0,0)</f>
        <v>0</v>
      </c>
    </row>
    <row r="185" spans="1:27" x14ac:dyDescent="0.25">
      <c r="A185" s="2" t="s">
        <v>21</v>
      </c>
      <c r="B185" s="2">
        <v>233</v>
      </c>
      <c r="C185" s="3">
        <f t="shared" si="45"/>
        <v>81.25</v>
      </c>
      <c r="D185" s="3">
        <f t="shared" si="46"/>
        <v>87.5</v>
      </c>
      <c r="E185" s="3">
        <f t="shared" si="47"/>
        <v>83.75</v>
      </c>
      <c r="F185" s="3">
        <f t="shared" si="48"/>
        <v>46.36</v>
      </c>
      <c r="G185" s="3">
        <f t="shared" si="49"/>
        <v>117.03999999999999</v>
      </c>
      <c r="H185" s="3">
        <f t="shared" si="50"/>
        <v>117.03999999999999</v>
      </c>
      <c r="I185" s="3"/>
      <c r="J185" s="3">
        <f t="shared" si="51"/>
        <v>73.56</v>
      </c>
      <c r="K185" s="3">
        <f t="shared" si="52"/>
        <v>87.5</v>
      </c>
      <c r="L185" s="34">
        <f t="shared" si="53"/>
        <v>83.75</v>
      </c>
      <c r="M185" s="3">
        <f t="shared" si="54"/>
        <v>-9.32</v>
      </c>
      <c r="N185" s="3">
        <f t="shared" si="55"/>
        <v>150</v>
      </c>
      <c r="O185" s="3"/>
      <c r="P185" s="3">
        <f t="shared" si="56"/>
        <v>101.47873385826773</v>
      </c>
      <c r="Q185" s="3">
        <f t="shared" si="57"/>
        <v>109.8176</v>
      </c>
      <c r="R185" s="3">
        <f>vd(DataTable[[#This Row],[Sentido]],DataTable[[#This Row],[Valor]])</f>
        <v>109.21677507702842</v>
      </c>
      <c r="S185" s="3">
        <f>IF(DataTable[[#This Row],[Valor]]&gt;1,1,1)</f>
        <v>1</v>
      </c>
      <c r="T185" s="3">
        <f>IF(DataTable[[#This Row],[Valor]]&gt;1,1,1)</f>
        <v>1</v>
      </c>
      <c r="U185" s="3">
        <f>angr(DataTable[[#This Row],[Sentido]],DataTable[[#This Row],[Valor]])</f>
        <v>38.722149948647719</v>
      </c>
      <c r="V185" s="3">
        <f>ANGI(DataTable[[#This Row],[Sentido]],DataTable[[#This Row],[Valor]])</f>
        <v>40.897466621020193</v>
      </c>
      <c r="W185" s="3">
        <f t="shared" si="58"/>
        <v>2</v>
      </c>
      <c r="X185" s="3">
        <f>IF(DataTable[[#This Row],[Valor]]&gt;1,1,1)</f>
        <v>1</v>
      </c>
      <c r="Y185" s="3">
        <f t="shared" si="59"/>
        <v>2</v>
      </c>
      <c r="Z185" s="3">
        <f>IF(AND(DataTable[[#This Row],[Sentido]]="URUGUAI para BRASIL",DataTable[[#This Row],[Valor]]&gt;350),1,0)</f>
        <v>0</v>
      </c>
      <c r="AA185" s="3">
        <f>IF(DataTable[[#This Row],[Valor]]&gt;1,0,0)</f>
        <v>0</v>
      </c>
    </row>
    <row r="186" spans="1:27" x14ac:dyDescent="0.25">
      <c r="A186" s="2" t="s">
        <v>21</v>
      </c>
      <c r="B186" s="2">
        <v>234</v>
      </c>
      <c r="C186" s="3">
        <f t="shared" si="45"/>
        <v>81.25</v>
      </c>
      <c r="D186" s="3">
        <f t="shared" si="46"/>
        <v>87.5</v>
      </c>
      <c r="E186" s="3">
        <f t="shared" si="47"/>
        <v>83.75</v>
      </c>
      <c r="F186" s="3">
        <f t="shared" si="48"/>
        <v>46.28</v>
      </c>
      <c r="G186" s="3">
        <f t="shared" si="49"/>
        <v>116.92</v>
      </c>
      <c r="H186" s="3">
        <f t="shared" si="50"/>
        <v>116.92</v>
      </c>
      <c r="I186" s="3"/>
      <c r="J186" s="3">
        <f t="shared" si="51"/>
        <v>73.56</v>
      </c>
      <c r="K186" s="3">
        <f t="shared" si="52"/>
        <v>87.5</v>
      </c>
      <c r="L186" s="34">
        <f t="shared" si="53"/>
        <v>83.75</v>
      </c>
      <c r="M186" s="3">
        <f t="shared" si="54"/>
        <v>-9.36</v>
      </c>
      <c r="N186" s="3">
        <f t="shared" si="55"/>
        <v>150</v>
      </c>
      <c r="O186" s="3"/>
      <c r="P186" s="3">
        <f t="shared" si="56"/>
        <v>101.81753700787402</v>
      </c>
      <c r="Q186" s="3">
        <f t="shared" si="57"/>
        <v>109.8178431496063</v>
      </c>
      <c r="R186" s="3">
        <f>vd(DataTable[[#This Row],[Sentido]],DataTable[[#This Row],[Valor]])</f>
        <v>109.44786032180761</v>
      </c>
      <c r="S186" s="3">
        <f>IF(DataTable[[#This Row],[Valor]]&gt;1,1,1)</f>
        <v>1</v>
      </c>
      <c r="T186" s="3">
        <f>IF(DataTable[[#This Row],[Valor]]&gt;1,1,1)</f>
        <v>1</v>
      </c>
      <c r="U186" s="3">
        <f>angr(DataTable[[#This Row],[Sentido]],DataTable[[#This Row],[Valor]])</f>
        <v>38.568093118794934</v>
      </c>
      <c r="V186" s="3">
        <f>ANGI(DataTable[[#This Row],[Sentido]],DataTable[[#This Row],[Valor]])</f>
        <v>40.760527216706606</v>
      </c>
      <c r="W186" s="3">
        <f t="shared" si="58"/>
        <v>2</v>
      </c>
      <c r="X186" s="3">
        <f>IF(DataTable[[#This Row],[Valor]]&gt;1,1,1)</f>
        <v>1</v>
      </c>
      <c r="Y186" s="3">
        <f t="shared" si="59"/>
        <v>2</v>
      </c>
      <c r="Z186" s="3">
        <f>IF(AND(DataTable[[#This Row],[Sentido]]="URUGUAI para BRASIL",DataTable[[#This Row],[Valor]]&gt;350),1,0)</f>
        <v>0</v>
      </c>
      <c r="AA186" s="3">
        <f>IF(DataTable[[#This Row],[Valor]]&gt;1,0,0)</f>
        <v>0</v>
      </c>
    </row>
    <row r="187" spans="1:27" x14ac:dyDescent="0.25">
      <c r="A187" s="2" t="s">
        <v>21</v>
      </c>
      <c r="B187" s="2">
        <v>235</v>
      </c>
      <c r="C187" s="3">
        <f t="shared" si="45"/>
        <v>81.25</v>
      </c>
      <c r="D187" s="3">
        <f t="shared" si="46"/>
        <v>87.5</v>
      </c>
      <c r="E187" s="3">
        <f t="shared" si="47"/>
        <v>83.75</v>
      </c>
      <c r="F187" s="3">
        <f t="shared" si="48"/>
        <v>46.2</v>
      </c>
      <c r="G187" s="3">
        <f t="shared" si="49"/>
        <v>116.80000000000001</v>
      </c>
      <c r="H187" s="3">
        <f t="shared" si="50"/>
        <v>116.80000000000001</v>
      </c>
      <c r="I187" s="3"/>
      <c r="J187" s="3">
        <f t="shared" si="51"/>
        <v>73.56</v>
      </c>
      <c r="K187" s="3">
        <f t="shared" si="52"/>
        <v>87.5</v>
      </c>
      <c r="L187" s="34">
        <f t="shared" si="53"/>
        <v>83.75</v>
      </c>
      <c r="M187" s="3">
        <f t="shared" si="54"/>
        <v>-9.4</v>
      </c>
      <c r="N187" s="3">
        <f t="shared" si="55"/>
        <v>150</v>
      </c>
      <c r="O187" s="3"/>
      <c r="P187" s="3">
        <f t="shared" si="56"/>
        <v>102.15634015748032</v>
      </c>
      <c r="Q187" s="3">
        <f t="shared" si="57"/>
        <v>110.58150299212598</v>
      </c>
      <c r="R187" s="3">
        <f>vd(DataTable[[#This Row],[Sentido]],DataTable[[#This Row],[Valor]])</f>
        <v>109.67894556658679</v>
      </c>
      <c r="S187" s="3">
        <f>IF(DataTable[[#This Row],[Valor]]&gt;1,1,1)</f>
        <v>1</v>
      </c>
      <c r="T187" s="3">
        <f>IF(DataTable[[#This Row],[Valor]]&gt;1,1,1)</f>
        <v>1</v>
      </c>
      <c r="U187" s="3">
        <f>angr(DataTable[[#This Row],[Sentido]],DataTable[[#This Row],[Valor]])</f>
        <v>38.414036288942143</v>
      </c>
      <c r="V187" s="3">
        <f>ANGI(DataTable[[#This Row],[Sentido]],DataTable[[#This Row],[Valor]])</f>
        <v>40.623587812393019</v>
      </c>
      <c r="W187" s="3">
        <f t="shared" si="58"/>
        <v>2</v>
      </c>
      <c r="X187" s="3">
        <f>IF(DataTable[[#This Row],[Valor]]&gt;1,1,1)</f>
        <v>1</v>
      </c>
      <c r="Y187" s="3">
        <f t="shared" si="59"/>
        <v>2</v>
      </c>
      <c r="Z187" s="3">
        <f>IF(AND(DataTable[[#This Row],[Sentido]]="URUGUAI para BRASIL",DataTable[[#This Row],[Valor]]&gt;350),1,0)</f>
        <v>0</v>
      </c>
      <c r="AA187" s="3">
        <f>IF(DataTable[[#This Row],[Valor]]&gt;1,0,0)</f>
        <v>0</v>
      </c>
    </row>
    <row r="188" spans="1:27" x14ac:dyDescent="0.25">
      <c r="A188" s="2" t="s">
        <v>21</v>
      </c>
      <c r="B188" s="2">
        <v>236</v>
      </c>
      <c r="C188" s="3">
        <f t="shared" si="45"/>
        <v>81.25</v>
      </c>
      <c r="D188" s="3">
        <f t="shared" si="46"/>
        <v>87.5</v>
      </c>
      <c r="E188" s="3">
        <f t="shared" si="47"/>
        <v>83.75</v>
      </c>
      <c r="F188" s="3">
        <f t="shared" si="48"/>
        <v>46.120000000000005</v>
      </c>
      <c r="G188" s="3">
        <f t="shared" si="49"/>
        <v>116.68</v>
      </c>
      <c r="H188" s="3">
        <f t="shared" si="50"/>
        <v>116.68</v>
      </c>
      <c r="I188" s="3"/>
      <c r="J188" s="3">
        <f t="shared" si="51"/>
        <v>73.56</v>
      </c>
      <c r="K188" s="3">
        <f t="shared" si="52"/>
        <v>87.5</v>
      </c>
      <c r="L188" s="34">
        <f t="shared" si="53"/>
        <v>83.75</v>
      </c>
      <c r="M188" s="3">
        <f t="shared" si="54"/>
        <v>-9.44</v>
      </c>
      <c r="N188" s="3">
        <f t="shared" si="55"/>
        <v>150</v>
      </c>
      <c r="O188" s="3"/>
      <c r="P188" s="3">
        <f t="shared" si="56"/>
        <v>102.49514330708662</v>
      </c>
      <c r="Q188" s="3">
        <f t="shared" si="57"/>
        <v>111.34516283464568</v>
      </c>
      <c r="R188" s="3">
        <f>vd(DataTable[[#This Row],[Sentido]],DataTable[[#This Row],[Valor]])</f>
        <v>109.91003081136598</v>
      </c>
      <c r="S188" s="3">
        <f>IF(DataTable[[#This Row],[Valor]]&gt;1,1,1)</f>
        <v>1</v>
      </c>
      <c r="T188" s="3">
        <f>IF(DataTable[[#This Row],[Valor]]&gt;1,1,1)</f>
        <v>1</v>
      </c>
      <c r="U188" s="3">
        <f>angr(DataTable[[#This Row],[Sentido]],DataTable[[#This Row],[Valor]])</f>
        <v>38.259979459089351</v>
      </c>
      <c r="V188" s="3">
        <f>ANGI(DataTable[[#This Row],[Sentido]],DataTable[[#This Row],[Valor]])</f>
        <v>40.486648408079418</v>
      </c>
      <c r="W188" s="3">
        <f t="shared" si="58"/>
        <v>2</v>
      </c>
      <c r="X188" s="3">
        <f>IF(DataTable[[#This Row],[Valor]]&gt;1,1,1)</f>
        <v>1</v>
      </c>
      <c r="Y188" s="3">
        <f t="shared" si="59"/>
        <v>2</v>
      </c>
      <c r="Z188" s="3">
        <f>IF(AND(DataTable[[#This Row],[Sentido]]="URUGUAI para BRASIL",DataTable[[#This Row],[Valor]]&gt;350),1,0)</f>
        <v>0</v>
      </c>
      <c r="AA188" s="3">
        <f>IF(DataTable[[#This Row],[Valor]]&gt;1,0,0)</f>
        <v>0</v>
      </c>
    </row>
    <row r="189" spans="1:27" x14ac:dyDescent="0.25">
      <c r="A189" s="2" t="s">
        <v>21</v>
      </c>
      <c r="B189" s="2">
        <v>237</v>
      </c>
      <c r="C189" s="3">
        <f t="shared" si="45"/>
        <v>81.25</v>
      </c>
      <c r="D189" s="3">
        <f t="shared" si="46"/>
        <v>87.5</v>
      </c>
      <c r="E189" s="3">
        <f t="shared" si="47"/>
        <v>83.75</v>
      </c>
      <c r="F189" s="3">
        <f t="shared" si="48"/>
        <v>46.04</v>
      </c>
      <c r="G189" s="3">
        <f t="shared" si="49"/>
        <v>116.56</v>
      </c>
      <c r="H189" s="3">
        <f t="shared" si="50"/>
        <v>116.56</v>
      </c>
      <c r="I189" s="3"/>
      <c r="J189" s="3">
        <f t="shared" si="51"/>
        <v>73.56</v>
      </c>
      <c r="K189" s="3">
        <f t="shared" si="52"/>
        <v>87.5</v>
      </c>
      <c r="L189" s="34">
        <f t="shared" si="53"/>
        <v>83.75</v>
      </c>
      <c r="M189" s="3">
        <f t="shared" si="54"/>
        <v>-9.48</v>
      </c>
      <c r="N189" s="3">
        <f t="shared" si="55"/>
        <v>150</v>
      </c>
      <c r="O189" s="3"/>
      <c r="P189" s="3">
        <f t="shared" si="56"/>
        <v>102.83394645669293</v>
      </c>
      <c r="Q189" s="3">
        <f t="shared" si="57"/>
        <v>112.10882267716536</v>
      </c>
      <c r="R189" s="3">
        <f>vd(DataTable[[#This Row],[Sentido]],DataTable[[#This Row],[Valor]])</f>
        <v>110.14111605614517</v>
      </c>
      <c r="S189" s="3">
        <f>IF(DataTable[[#This Row],[Valor]]&gt;1,1,1)</f>
        <v>1</v>
      </c>
      <c r="T189" s="3">
        <f>IF(DataTable[[#This Row],[Valor]]&gt;1,1,1)</f>
        <v>1</v>
      </c>
      <c r="U189" s="3">
        <f>angr(DataTable[[#This Row],[Sentido]],DataTable[[#This Row],[Valor]])</f>
        <v>38.105922629236559</v>
      </c>
      <c r="V189" s="3">
        <f>ANGI(DataTable[[#This Row],[Sentido]],DataTable[[#This Row],[Valor]])</f>
        <v>40.349709003765831</v>
      </c>
      <c r="W189" s="3">
        <f t="shared" si="58"/>
        <v>2</v>
      </c>
      <c r="X189" s="3">
        <f>IF(DataTable[[#This Row],[Valor]]&gt;1,1,1)</f>
        <v>1</v>
      </c>
      <c r="Y189" s="3">
        <f t="shared" si="59"/>
        <v>2</v>
      </c>
      <c r="Z189" s="3">
        <f>IF(AND(DataTable[[#This Row],[Sentido]]="URUGUAI para BRASIL",DataTable[[#This Row],[Valor]]&gt;350),1,0)</f>
        <v>0</v>
      </c>
      <c r="AA189" s="3">
        <f>IF(DataTable[[#This Row],[Valor]]&gt;1,0,0)</f>
        <v>0</v>
      </c>
    </row>
    <row r="190" spans="1:27" x14ac:dyDescent="0.25">
      <c r="A190" s="2" t="s">
        <v>21</v>
      </c>
      <c r="B190" s="2">
        <v>238</v>
      </c>
      <c r="C190" s="3">
        <f t="shared" si="45"/>
        <v>81.25</v>
      </c>
      <c r="D190" s="3">
        <f t="shared" si="46"/>
        <v>87.5</v>
      </c>
      <c r="E190" s="3">
        <f t="shared" si="47"/>
        <v>83.75</v>
      </c>
      <c r="F190" s="3">
        <f t="shared" si="48"/>
        <v>45.96</v>
      </c>
      <c r="G190" s="3">
        <f t="shared" si="49"/>
        <v>116.44</v>
      </c>
      <c r="H190" s="3">
        <f t="shared" si="50"/>
        <v>116.44</v>
      </c>
      <c r="I190" s="3"/>
      <c r="J190" s="3">
        <f t="shared" si="51"/>
        <v>73.56</v>
      </c>
      <c r="K190" s="3">
        <f t="shared" si="52"/>
        <v>87.5</v>
      </c>
      <c r="L190" s="34">
        <f t="shared" si="53"/>
        <v>83.75</v>
      </c>
      <c r="M190" s="3">
        <f t="shared" si="54"/>
        <v>-9.52</v>
      </c>
      <c r="N190" s="3">
        <f t="shared" si="55"/>
        <v>150</v>
      </c>
      <c r="O190" s="3"/>
      <c r="P190" s="3">
        <f t="shared" si="56"/>
        <v>103.17274960629922</v>
      </c>
      <c r="Q190" s="3">
        <f t="shared" si="57"/>
        <v>112.87248251968504</v>
      </c>
      <c r="R190" s="3">
        <f>vd(DataTable[[#This Row],[Sentido]],DataTable[[#This Row],[Valor]])</f>
        <v>110.37220130092435</v>
      </c>
      <c r="S190" s="3">
        <f>IF(DataTable[[#This Row],[Valor]]&gt;1,1,1)</f>
        <v>1</v>
      </c>
      <c r="T190" s="3">
        <f>IF(DataTable[[#This Row],[Valor]]&gt;1,1,1)</f>
        <v>1</v>
      </c>
      <c r="U190" s="3">
        <f>angr(DataTable[[#This Row],[Sentido]],DataTable[[#This Row],[Valor]])</f>
        <v>37.951865799383775</v>
      </c>
      <c r="V190" s="3">
        <f>ANGI(DataTable[[#This Row],[Sentido]],DataTable[[#This Row],[Valor]])</f>
        <v>40.212769599452244</v>
      </c>
      <c r="W190" s="3">
        <f t="shared" si="58"/>
        <v>2</v>
      </c>
      <c r="X190" s="3">
        <f>IF(DataTable[[#This Row],[Valor]]&gt;1,1,1)</f>
        <v>1</v>
      </c>
      <c r="Y190" s="3">
        <f t="shared" si="59"/>
        <v>2</v>
      </c>
      <c r="Z190" s="3">
        <f>IF(AND(DataTable[[#This Row],[Sentido]]="URUGUAI para BRASIL",DataTable[[#This Row],[Valor]]&gt;350),1,0)</f>
        <v>0</v>
      </c>
      <c r="AA190" s="3">
        <f>IF(DataTable[[#This Row],[Valor]]&gt;1,0,0)</f>
        <v>0</v>
      </c>
    </row>
    <row r="191" spans="1:27" x14ac:dyDescent="0.25">
      <c r="A191" s="2" t="s">
        <v>21</v>
      </c>
      <c r="B191" s="2">
        <v>239</v>
      </c>
      <c r="C191" s="3">
        <f t="shared" si="45"/>
        <v>81.25</v>
      </c>
      <c r="D191" s="3">
        <f t="shared" si="46"/>
        <v>87.5</v>
      </c>
      <c r="E191" s="3">
        <f t="shared" si="47"/>
        <v>83.75</v>
      </c>
      <c r="F191" s="3">
        <f t="shared" si="48"/>
        <v>45.879999999999995</v>
      </c>
      <c r="G191" s="3">
        <f t="shared" si="49"/>
        <v>116.32</v>
      </c>
      <c r="H191" s="3">
        <f t="shared" si="50"/>
        <v>116.32</v>
      </c>
      <c r="I191" s="3"/>
      <c r="J191" s="3">
        <f t="shared" si="51"/>
        <v>73.56</v>
      </c>
      <c r="K191" s="3">
        <f t="shared" si="52"/>
        <v>87.5</v>
      </c>
      <c r="L191" s="34">
        <f t="shared" si="53"/>
        <v>83.75</v>
      </c>
      <c r="M191" s="3">
        <f t="shared" si="54"/>
        <v>-9.56</v>
      </c>
      <c r="N191" s="3">
        <f t="shared" si="55"/>
        <v>150</v>
      </c>
      <c r="O191" s="3"/>
      <c r="P191" s="3">
        <f t="shared" si="56"/>
        <v>103.51155275590551</v>
      </c>
      <c r="Q191" s="3">
        <f t="shared" si="57"/>
        <v>113.63614236220474</v>
      </c>
      <c r="R191" s="3">
        <f>vd(DataTable[[#This Row],[Sentido]],DataTable[[#This Row],[Valor]])</f>
        <v>110.60328654570354</v>
      </c>
      <c r="S191" s="3">
        <f>IF(DataTable[[#This Row],[Valor]]&gt;1,1,1)</f>
        <v>1</v>
      </c>
      <c r="T191" s="3">
        <f>IF(DataTable[[#This Row],[Valor]]&gt;1,1,1)</f>
        <v>1</v>
      </c>
      <c r="U191" s="3">
        <f>angr(DataTable[[#This Row],[Sentido]],DataTable[[#This Row],[Valor]])</f>
        <v>37.797808969530976</v>
      </c>
      <c r="V191" s="3">
        <f>ANGI(DataTable[[#This Row],[Sentido]],DataTable[[#This Row],[Valor]])</f>
        <v>40.075830195138643</v>
      </c>
      <c r="W191" s="3">
        <f t="shared" si="58"/>
        <v>2</v>
      </c>
      <c r="X191" s="3">
        <f>IF(DataTable[[#This Row],[Valor]]&gt;1,1,1)</f>
        <v>1</v>
      </c>
      <c r="Y191" s="3">
        <f t="shared" si="59"/>
        <v>2</v>
      </c>
      <c r="Z191" s="3">
        <f>IF(AND(DataTable[[#This Row],[Sentido]]="URUGUAI para BRASIL",DataTable[[#This Row],[Valor]]&gt;350),1,0)</f>
        <v>0</v>
      </c>
      <c r="AA191" s="3">
        <f>IF(DataTable[[#This Row],[Valor]]&gt;1,0,0)</f>
        <v>0</v>
      </c>
    </row>
    <row r="192" spans="1:27" x14ac:dyDescent="0.25">
      <c r="A192" s="2" t="s">
        <v>21</v>
      </c>
      <c r="B192" s="2">
        <v>240</v>
      </c>
      <c r="C192" s="3">
        <f t="shared" si="45"/>
        <v>81.25</v>
      </c>
      <c r="D192" s="3">
        <f t="shared" si="46"/>
        <v>87.5</v>
      </c>
      <c r="E192" s="3">
        <f t="shared" si="47"/>
        <v>83.75</v>
      </c>
      <c r="F192" s="3">
        <f t="shared" si="48"/>
        <v>45.8</v>
      </c>
      <c r="G192" s="3">
        <f t="shared" si="49"/>
        <v>116.2</v>
      </c>
      <c r="H192" s="3">
        <f t="shared" si="50"/>
        <v>116.2</v>
      </c>
      <c r="I192" s="3"/>
      <c r="J192" s="3">
        <f t="shared" si="51"/>
        <v>73.56</v>
      </c>
      <c r="K192" s="3">
        <f t="shared" si="52"/>
        <v>87.5</v>
      </c>
      <c r="L192" s="34">
        <f t="shared" si="53"/>
        <v>83.75</v>
      </c>
      <c r="M192" s="3">
        <f t="shared" si="54"/>
        <v>-9.6</v>
      </c>
      <c r="N192" s="3">
        <f t="shared" si="55"/>
        <v>150</v>
      </c>
      <c r="O192" s="3"/>
      <c r="P192" s="3">
        <f t="shared" si="56"/>
        <v>83.998740157480313</v>
      </c>
      <c r="Q192" s="3">
        <f t="shared" si="57"/>
        <v>114.39980220472441</v>
      </c>
      <c r="R192" s="3">
        <f>vd(DataTable[[#This Row],[Sentido]],DataTable[[#This Row],[Valor]])</f>
        <v>110.83437179048272</v>
      </c>
      <c r="S192" s="3">
        <f>IF(DataTable[[#This Row],[Valor]]&gt;1,1,1)</f>
        <v>1</v>
      </c>
      <c r="T192" s="3">
        <f>IF(DataTable[[#This Row],[Valor]]&gt;1,1,1)</f>
        <v>1</v>
      </c>
      <c r="U192" s="3">
        <f>angr(DataTable[[#This Row],[Sentido]],DataTable[[#This Row],[Valor]])</f>
        <v>37.643752139678192</v>
      </c>
      <c r="V192" s="3">
        <f>ANGI(DataTable[[#This Row],[Sentido]],DataTable[[#This Row],[Valor]])</f>
        <v>39.938890790825056</v>
      </c>
      <c r="W192" s="3">
        <f t="shared" si="58"/>
        <v>2</v>
      </c>
      <c r="X192" s="3">
        <f>IF(DataTable[[#This Row],[Valor]]&gt;1,1,1)</f>
        <v>1</v>
      </c>
      <c r="Y192" s="3">
        <f t="shared" si="59"/>
        <v>2</v>
      </c>
      <c r="Z192" s="3">
        <f>IF(AND(DataTable[[#This Row],[Sentido]]="URUGUAI para BRASIL",DataTable[[#This Row],[Valor]]&gt;350),1,0)</f>
        <v>0</v>
      </c>
      <c r="AA192" s="3">
        <f>IF(DataTable[[#This Row],[Valor]]&gt;1,0,0)</f>
        <v>0</v>
      </c>
    </row>
    <row r="193" spans="1:27" x14ac:dyDescent="0.25">
      <c r="A193" s="2" t="s">
        <v>21</v>
      </c>
      <c r="B193" s="2">
        <v>241</v>
      </c>
      <c r="C193" s="3">
        <f t="shared" si="45"/>
        <v>81.25</v>
      </c>
      <c r="D193" s="3">
        <f t="shared" si="46"/>
        <v>87.5</v>
      </c>
      <c r="E193" s="3">
        <f t="shared" si="47"/>
        <v>83.75</v>
      </c>
      <c r="F193" s="3">
        <f t="shared" si="48"/>
        <v>45.72</v>
      </c>
      <c r="G193" s="3">
        <f t="shared" si="49"/>
        <v>116.08</v>
      </c>
      <c r="H193" s="3">
        <f t="shared" si="50"/>
        <v>116.08</v>
      </c>
      <c r="I193" s="3"/>
      <c r="J193" s="3">
        <f t="shared" si="51"/>
        <v>73.56</v>
      </c>
      <c r="K193" s="3">
        <f t="shared" si="52"/>
        <v>87.5</v>
      </c>
      <c r="L193" s="34">
        <f t="shared" si="53"/>
        <v>83.75</v>
      </c>
      <c r="M193" s="3">
        <f t="shared" si="54"/>
        <v>-9.64</v>
      </c>
      <c r="N193" s="3">
        <f t="shared" si="55"/>
        <v>150</v>
      </c>
      <c r="O193" s="3"/>
      <c r="P193" s="3">
        <f t="shared" si="56"/>
        <v>84.251401574803154</v>
      </c>
      <c r="Q193" s="3">
        <f t="shared" si="57"/>
        <v>115.1634620472441</v>
      </c>
      <c r="R193" s="3">
        <f>vd(DataTable[[#This Row],[Sentido]],DataTable[[#This Row],[Valor]])</f>
        <v>91.277486147564886</v>
      </c>
      <c r="S193" s="3">
        <f>IF(DataTable[[#This Row],[Valor]]&gt;1,1,1)</f>
        <v>1</v>
      </c>
      <c r="T193" s="3">
        <f>IF(DataTable[[#This Row],[Valor]]&gt;1,1,1)</f>
        <v>1</v>
      </c>
      <c r="U193" s="3">
        <f>angr(DataTable[[#This Row],[Sentido]],DataTable[[#This Row],[Valor]])</f>
        <v>46.595596383785363</v>
      </c>
      <c r="V193" s="3">
        <f>ANGI(DataTable[[#This Row],[Sentido]],DataTable[[#This Row],[Valor]])</f>
        <v>48.906036745406823</v>
      </c>
      <c r="W193" s="3">
        <f t="shared" si="58"/>
        <v>3</v>
      </c>
      <c r="X193" s="3">
        <f>IF(DataTable[[#This Row],[Valor]]&gt;1,1,1)</f>
        <v>1</v>
      </c>
      <c r="Y193" s="3">
        <f t="shared" si="59"/>
        <v>3</v>
      </c>
      <c r="Z193" s="3">
        <f>IF(AND(DataTable[[#This Row],[Sentido]]="URUGUAI para BRASIL",DataTable[[#This Row],[Valor]]&gt;350),1,0)</f>
        <v>0</v>
      </c>
      <c r="AA193" s="3">
        <f>IF(DataTable[[#This Row],[Valor]]&gt;1,0,0)</f>
        <v>0</v>
      </c>
    </row>
    <row r="194" spans="1:27" x14ac:dyDescent="0.25">
      <c r="A194" s="2" t="s">
        <v>21</v>
      </c>
      <c r="B194" s="2">
        <v>242</v>
      </c>
      <c r="C194" s="3">
        <f t="shared" si="45"/>
        <v>81.25</v>
      </c>
      <c r="D194" s="3">
        <f t="shared" si="46"/>
        <v>87.5</v>
      </c>
      <c r="E194" s="3">
        <f t="shared" si="47"/>
        <v>83.75</v>
      </c>
      <c r="F194" s="3">
        <f t="shared" si="48"/>
        <v>45.64</v>
      </c>
      <c r="G194" s="3">
        <f t="shared" si="49"/>
        <v>115.96000000000001</v>
      </c>
      <c r="H194" s="3">
        <f t="shared" si="50"/>
        <v>115.96000000000001</v>
      </c>
      <c r="I194" s="3"/>
      <c r="J194" s="3">
        <f t="shared" si="51"/>
        <v>73.56</v>
      </c>
      <c r="K194" s="3">
        <f t="shared" si="52"/>
        <v>87.5</v>
      </c>
      <c r="L194" s="34">
        <f t="shared" si="53"/>
        <v>83.75</v>
      </c>
      <c r="M194" s="3">
        <f t="shared" si="54"/>
        <v>-9.68</v>
      </c>
      <c r="N194" s="3">
        <f t="shared" si="55"/>
        <v>150</v>
      </c>
      <c r="O194" s="3"/>
      <c r="P194" s="3">
        <f t="shared" si="56"/>
        <v>84.504062992125981</v>
      </c>
      <c r="Q194" s="3">
        <f t="shared" si="57"/>
        <v>115.92712188976377</v>
      </c>
      <c r="R194" s="3">
        <f>vd(DataTable[[#This Row],[Sentido]],DataTable[[#This Row],[Valor]])</f>
        <v>91.525371828521429</v>
      </c>
      <c r="S194" s="3">
        <f>IF(DataTable[[#This Row],[Valor]]&gt;1,1,1)</f>
        <v>1</v>
      </c>
      <c r="T194" s="3">
        <f>IF(DataTable[[#This Row],[Valor]]&gt;1,1,1)</f>
        <v>1</v>
      </c>
      <c r="U194" s="3">
        <f>angr(DataTable[[#This Row],[Sentido]],DataTable[[#This Row],[Valor]])</f>
        <v>46.449781277340335</v>
      </c>
      <c r="V194" s="3">
        <f>ANGI(DataTable[[#This Row],[Sentido]],DataTable[[#This Row],[Valor]])</f>
        <v>48.774803149606299</v>
      </c>
      <c r="W194" s="3">
        <f t="shared" si="58"/>
        <v>3</v>
      </c>
      <c r="X194" s="3">
        <f>IF(DataTable[[#This Row],[Valor]]&gt;1,1,1)</f>
        <v>1</v>
      </c>
      <c r="Y194" s="3">
        <f t="shared" si="59"/>
        <v>3</v>
      </c>
      <c r="Z194" s="3">
        <f>IF(AND(DataTable[[#This Row],[Sentido]]="URUGUAI para BRASIL",DataTable[[#This Row],[Valor]]&gt;350),1,0)</f>
        <v>0</v>
      </c>
      <c r="AA194" s="3">
        <f>IF(DataTable[[#This Row],[Valor]]&gt;1,0,0)</f>
        <v>0</v>
      </c>
    </row>
    <row r="195" spans="1:27" x14ac:dyDescent="0.25">
      <c r="A195" s="2" t="s">
        <v>21</v>
      </c>
      <c r="B195" s="2">
        <v>243</v>
      </c>
      <c r="C195" s="3">
        <f t="shared" si="45"/>
        <v>81.25</v>
      </c>
      <c r="D195" s="3">
        <f t="shared" si="46"/>
        <v>87.5</v>
      </c>
      <c r="E195" s="3">
        <f t="shared" si="47"/>
        <v>83.75</v>
      </c>
      <c r="F195" s="3">
        <f t="shared" si="48"/>
        <v>45.56</v>
      </c>
      <c r="G195" s="3">
        <f t="shared" si="49"/>
        <v>115.84</v>
      </c>
      <c r="H195" s="3">
        <f t="shared" si="50"/>
        <v>115.84</v>
      </c>
      <c r="I195" s="3"/>
      <c r="J195" s="3">
        <f t="shared" si="51"/>
        <v>73.751834645669305</v>
      </c>
      <c r="K195" s="3">
        <f t="shared" si="52"/>
        <v>87.5</v>
      </c>
      <c r="L195" s="34">
        <f t="shared" si="53"/>
        <v>83.75</v>
      </c>
      <c r="M195" s="3">
        <f t="shared" si="54"/>
        <v>-9.7200000000000006</v>
      </c>
      <c r="N195" s="3">
        <f t="shared" si="55"/>
        <v>150</v>
      </c>
      <c r="O195" s="3"/>
      <c r="P195" s="3">
        <f t="shared" si="56"/>
        <v>84.756724409448822</v>
      </c>
      <c r="Q195" s="3">
        <f t="shared" si="57"/>
        <v>116.69078173228347</v>
      </c>
      <c r="R195" s="3">
        <f>vd(DataTable[[#This Row],[Sentido]],DataTable[[#This Row],[Valor]])</f>
        <v>91.773257509477986</v>
      </c>
      <c r="S195" s="3">
        <f>IF(DataTable[[#This Row],[Valor]]&gt;1,1,1)</f>
        <v>1</v>
      </c>
      <c r="T195" s="3">
        <f>IF(DataTable[[#This Row],[Valor]]&gt;1,1,1)</f>
        <v>1</v>
      </c>
      <c r="U195" s="3">
        <f>angr(DataTable[[#This Row],[Sentido]],DataTable[[#This Row],[Valor]])</f>
        <v>46.303966170895308</v>
      </c>
      <c r="V195" s="3">
        <f>ANGI(DataTable[[#This Row],[Sentido]],DataTable[[#This Row],[Valor]])</f>
        <v>48.643569553805769</v>
      </c>
      <c r="W195" s="3">
        <f t="shared" si="58"/>
        <v>3</v>
      </c>
      <c r="X195" s="3">
        <f>IF(DataTable[[#This Row],[Valor]]&gt;1,1,1)</f>
        <v>1</v>
      </c>
      <c r="Y195" s="3">
        <f t="shared" si="59"/>
        <v>3</v>
      </c>
      <c r="Z195" s="3">
        <f>IF(AND(DataTable[[#This Row],[Sentido]]="URUGUAI para BRASIL",DataTable[[#This Row],[Valor]]&gt;350),1,0)</f>
        <v>0</v>
      </c>
      <c r="AA195" s="3">
        <f>IF(DataTable[[#This Row],[Valor]]&gt;1,0,0)</f>
        <v>0</v>
      </c>
    </row>
    <row r="196" spans="1:27" x14ac:dyDescent="0.25">
      <c r="A196" s="2" t="s">
        <v>21</v>
      </c>
      <c r="B196" s="2">
        <v>244</v>
      </c>
      <c r="C196" s="3">
        <f t="shared" si="45"/>
        <v>81.25</v>
      </c>
      <c r="D196" s="3">
        <f t="shared" si="46"/>
        <v>87.5</v>
      </c>
      <c r="E196" s="3">
        <f t="shared" si="47"/>
        <v>83.75</v>
      </c>
      <c r="F196" s="3">
        <f t="shared" si="48"/>
        <v>45.480000000000004</v>
      </c>
      <c r="G196" s="3">
        <f t="shared" si="49"/>
        <v>115.72</v>
      </c>
      <c r="H196" s="3">
        <f t="shared" si="50"/>
        <v>115.72</v>
      </c>
      <c r="I196" s="3"/>
      <c r="J196" s="3">
        <f t="shared" si="51"/>
        <v>74.177031496062995</v>
      </c>
      <c r="K196" s="3">
        <f t="shared" si="52"/>
        <v>87.5</v>
      </c>
      <c r="L196" s="34">
        <f t="shared" si="53"/>
        <v>83.75</v>
      </c>
      <c r="M196" s="3">
        <f t="shared" si="54"/>
        <v>-9.76</v>
      </c>
      <c r="N196" s="3">
        <f t="shared" si="55"/>
        <v>150</v>
      </c>
      <c r="O196" s="3"/>
      <c r="P196" s="3">
        <f t="shared" si="56"/>
        <v>85.009385826771648</v>
      </c>
      <c r="Q196" s="3">
        <f t="shared" si="57"/>
        <v>117.45444157480316</v>
      </c>
      <c r="R196" s="3">
        <f>vd(DataTable[[#This Row],[Sentido]],DataTable[[#This Row],[Valor]])</f>
        <v>92.021143190434529</v>
      </c>
      <c r="S196" s="3">
        <f>IF(DataTable[[#This Row],[Valor]]&gt;1,1,1)</f>
        <v>1</v>
      </c>
      <c r="T196" s="3">
        <f>IF(DataTable[[#This Row],[Valor]]&gt;1,1,1)</f>
        <v>1</v>
      </c>
      <c r="U196" s="3">
        <f>angr(DataTable[[#This Row],[Sentido]],DataTable[[#This Row],[Valor]])</f>
        <v>46.15815106445028</v>
      </c>
      <c r="V196" s="3">
        <f>ANGI(DataTable[[#This Row],[Sentido]],DataTable[[#This Row],[Valor]])</f>
        <v>48.512335958005252</v>
      </c>
      <c r="W196" s="3">
        <f t="shared" si="58"/>
        <v>3</v>
      </c>
      <c r="X196" s="3">
        <f>IF(DataTable[[#This Row],[Valor]]&gt;1,1,1)</f>
        <v>1</v>
      </c>
      <c r="Y196" s="3">
        <f t="shared" si="59"/>
        <v>3</v>
      </c>
      <c r="Z196" s="3">
        <f>IF(AND(DataTable[[#This Row],[Sentido]]="URUGUAI para BRASIL",DataTable[[#This Row],[Valor]]&gt;350),1,0)</f>
        <v>0</v>
      </c>
      <c r="AA196" s="3">
        <f>IF(DataTable[[#This Row],[Valor]]&gt;1,0,0)</f>
        <v>0</v>
      </c>
    </row>
    <row r="197" spans="1:27" x14ac:dyDescent="0.25">
      <c r="A197" s="2" t="s">
        <v>21</v>
      </c>
      <c r="B197" s="2">
        <v>245</v>
      </c>
      <c r="C197" s="3">
        <f t="shared" ref="C197:C260" si="60">MiniVWVB(A197,B197,E197)</f>
        <v>81.25</v>
      </c>
      <c r="D197" s="3">
        <f t="shared" ref="D197:D260" si="61">MaxVWV(A197,B197)</f>
        <v>87.5</v>
      </c>
      <c r="E197" s="3">
        <f t="shared" ref="E197:E260" si="62">RatedVWV(B197)</f>
        <v>83.75</v>
      </c>
      <c r="F197" s="3">
        <f t="shared" ref="F197:F260" si="63">MinQB(A197,B197)</f>
        <v>45.4</v>
      </c>
      <c r="G197" s="3">
        <f t="shared" ref="G197:G260" si="64">MaxQB3F(A197,B197)</f>
        <v>115.6</v>
      </c>
      <c r="H197" s="3">
        <f t="shared" ref="H197:H260" si="65">MaxQB4F(A197,B197)</f>
        <v>115.6</v>
      </c>
      <c r="I197" s="3"/>
      <c r="J197" s="3">
        <f t="shared" ref="J197:J260" si="66">MiniVWVU(A197,B197,L197)</f>
        <v>74.602228346456698</v>
      </c>
      <c r="K197" s="3">
        <f t="shared" ref="K197:K260" si="67">MaxVWV(A197,B197)</f>
        <v>87.5</v>
      </c>
      <c r="L197" s="34">
        <f t="shared" ref="L197:L260" si="68">RatedVWV(B197)</f>
        <v>83.75</v>
      </c>
      <c r="M197" s="3">
        <f t="shared" ref="M197:M260" si="69">MinQU(A197,B197)</f>
        <v>-9.8000000000000007</v>
      </c>
      <c r="N197" s="3">
        <f t="shared" ref="N197:N260" si="70">MaxQU(A197,B197)</f>
        <v>150</v>
      </c>
      <c r="O197" s="3"/>
      <c r="P197" s="3">
        <f t="shared" ref="P197:P260" si="71">MiniUpper(A197,B197)</f>
        <v>85.262047244094489</v>
      </c>
      <c r="Q197" s="3">
        <f t="shared" ref="Q197:Q260" si="72">MaxUpper(A197,B197)</f>
        <v>118.21810141732283</v>
      </c>
      <c r="R197" s="3">
        <f>vd(DataTable[[#This Row],[Sentido]],DataTable[[#This Row],[Valor]])</f>
        <v>92.269028871391072</v>
      </c>
      <c r="S197" s="3">
        <f>IF(DataTable[[#This Row],[Valor]]&gt;1,1,1)</f>
        <v>1</v>
      </c>
      <c r="T197" s="3">
        <f>IF(DataTable[[#This Row],[Valor]]&gt;1,1,1)</f>
        <v>1</v>
      </c>
      <c r="U197" s="3">
        <f>angr(DataTable[[#This Row],[Sentido]],DataTable[[#This Row],[Valor]])</f>
        <v>46.012335958005252</v>
      </c>
      <c r="V197" s="3">
        <f>ANGI(DataTable[[#This Row],[Sentido]],DataTable[[#This Row],[Valor]])</f>
        <v>48.381102362204729</v>
      </c>
      <c r="W197" s="3">
        <f t="shared" ref="W197:W260" si="73">IF(A198="URUGUAI para BRASIL",IF(B197&gt;119,IF(B197&gt;240,3,2),1),IF(B197&gt;120,IF(B197&gt;240,3,2),1))</f>
        <v>3</v>
      </c>
      <c r="X197" s="3">
        <f>IF(DataTable[[#This Row],[Valor]]&gt;1,1,1)</f>
        <v>1</v>
      </c>
      <c r="Y197" s="3">
        <f t="shared" ref="Y197:Y260" si="74">IF(A198="URUGUAI para BRASIL",IF(B197&gt;119,IF(B197&gt;240,3,2),1),IF(B197&gt;120,IF(B197&gt;240,3,2),1))</f>
        <v>3</v>
      </c>
      <c r="Z197" s="3">
        <f>IF(AND(DataTable[[#This Row],[Sentido]]="URUGUAI para BRASIL",DataTable[[#This Row],[Valor]]&gt;350),1,0)</f>
        <v>0</v>
      </c>
      <c r="AA197" s="3">
        <f>IF(DataTable[[#This Row],[Valor]]&gt;1,0,0)</f>
        <v>0</v>
      </c>
    </row>
    <row r="198" spans="1:27" x14ac:dyDescent="0.25">
      <c r="A198" s="2" t="s">
        <v>21</v>
      </c>
      <c r="B198" s="2">
        <v>246</v>
      </c>
      <c r="C198" s="3">
        <f t="shared" si="60"/>
        <v>81.25</v>
      </c>
      <c r="D198" s="3">
        <f t="shared" si="61"/>
        <v>87.5</v>
      </c>
      <c r="E198" s="3">
        <f t="shared" si="62"/>
        <v>83.75</v>
      </c>
      <c r="F198" s="3">
        <f t="shared" si="63"/>
        <v>45.32</v>
      </c>
      <c r="G198" s="3">
        <f t="shared" si="64"/>
        <v>115.48</v>
      </c>
      <c r="H198" s="3">
        <f t="shared" si="65"/>
        <v>115.48</v>
      </c>
      <c r="I198" s="3"/>
      <c r="J198" s="3">
        <f t="shared" si="66"/>
        <v>75.027425196850402</v>
      </c>
      <c r="K198" s="3">
        <f t="shared" si="67"/>
        <v>87.5</v>
      </c>
      <c r="L198" s="34">
        <f t="shared" si="68"/>
        <v>83.75</v>
      </c>
      <c r="M198" s="3">
        <f t="shared" si="69"/>
        <v>-9.84</v>
      </c>
      <c r="N198" s="3">
        <f t="shared" si="70"/>
        <v>150</v>
      </c>
      <c r="O198" s="3"/>
      <c r="P198" s="3">
        <f t="shared" si="71"/>
        <v>85.51470866141733</v>
      </c>
      <c r="Q198" s="3">
        <f t="shared" si="72"/>
        <v>118.98176125984253</v>
      </c>
      <c r="R198" s="3">
        <f>vd(DataTable[[#This Row],[Sentido]],DataTable[[#This Row],[Valor]])</f>
        <v>92.516914552347629</v>
      </c>
      <c r="S198" s="3">
        <f>IF(DataTable[[#This Row],[Valor]]&gt;1,1,1)</f>
        <v>1</v>
      </c>
      <c r="T198" s="3">
        <f>IF(DataTable[[#This Row],[Valor]]&gt;1,1,1)</f>
        <v>1</v>
      </c>
      <c r="U198" s="3">
        <f>angr(DataTable[[#This Row],[Sentido]],DataTable[[#This Row],[Valor]])</f>
        <v>45.866520851560225</v>
      </c>
      <c r="V198" s="3">
        <f>ANGI(DataTable[[#This Row],[Sentido]],DataTable[[#This Row],[Valor]])</f>
        <v>48.249868766404198</v>
      </c>
      <c r="W198" s="3">
        <f t="shared" si="73"/>
        <v>3</v>
      </c>
      <c r="X198" s="3">
        <f>IF(DataTable[[#This Row],[Valor]]&gt;1,1,1)</f>
        <v>1</v>
      </c>
      <c r="Y198" s="3">
        <f t="shared" si="74"/>
        <v>3</v>
      </c>
      <c r="Z198" s="3">
        <f>IF(AND(DataTable[[#This Row],[Sentido]]="URUGUAI para BRASIL",DataTable[[#This Row],[Valor]]&gt;350),1,0)</f>
        <v>0</v>
      </c>
      <c r="AA198" s="3">
        <f>IF(DataTable[[#This Row],[Valor]]&gt;1,0,0)</f>
        <v>0</v>
      </c>
    </row>
    <row r="199" spans="1:27" x14ac:dyDescent="0.25">
      <c r="A199" s="2" t="s">
        <v>21</v>
      </c>
      <c r="B199" s="2">
        <v>247</v>
      </c>
      <c r="C199" s="3">
        <f t="shared" si="60"/>
        <v>81.25</v>
      </c>
      <c r="D199" s="3">
        <f t="shared" si="61"/>
        <v>87.5</v>
      </c>
      <c r="E199" s="3">
        <f t="shared" si="62"/>
        <v>83.75</v>
      </c>
      <c r="F199" s="3">
        <f t="shared" si="63"/>
        <v>45.239999999999995</v>
      </c>
      <c r="G199" s="3">
        <f t="shared" si="64"/>
        <v>115.36</v>
      </c>
      <c r="H199" s="3">
        <f t="shared" si="65"/>
        <v>115.36</v>
      </c>
      <c r="I199" s="3"/>
      <c r="J199" s="3">
        <f t="shared" si="66"/>
        <v>75.452622047244105</v>
      </c>
      <c r="K199" s="3">
        <f t="shared" si="67"/>
        <v>87.5</v>
      </c>
      <c r="L199" s="34">
        <f t="shared" si="68"/>
        <v>83.75</v>
      </c>
      <c r="M199" s="3">
        <f t="shared" si="69"/>
        <v>-9.8800000000000008</v>
      </c>
      <c r="N199" s="3">
        <f t="shared" si="70"/>
        <v>150</v>
      </c>
      <c r="O199" s="3"/>
      <c r="P199" s="3">
        <f t="shared" si="71"/>
        <v>85.767370078740157</v>
      </c>
      <c r="Q199" s="3">
        <f t="shared" si="72"/>
        <v>119.7454211023622</v>
      </c>
      <c r="R199" s="3">
        <f>vd(DataTable[[#This Row],[Sentido]],DataTable[[#This Row],[Valor]])</f>
        <v>92.764800233304172</v>
      </c>
      <c r="S199" s="3">
        <f>IF(DataTable[[#This Row],[Valor]]&gt;1,1,1)</f>
        <v>1</v>
      </c>
      <c r="T199" s="3">
        <f>IF(DataTable[[#This Row],[Valor]]&gt;1,1,1)</f>
        <v>1</v>
      </c>
      <c r="U199" s="3">
        <f>angr(DataTable[[#This Row],[Sentido]],DataTable[[#This Row],[Valor]])</f>
        <v>45.720705745115197</v>
      </c>
      <c r="V199" s="3">
        <f>ANGI(DataTable[[#This Row],[Sentido]],DataTable[[#This Row],[Valor]])</f>
        <v>48.118635170603675</v>
      </c>
      <c r="W199" s="3">
        <f t="shared" si="73"/>
        <v>3</v>
      </c>
      <c r="X199" s="3">
        <f>IF(DataTable[[#This Row],[Valor]]&gt;1,1,1)</f>
        <v>1</v>
      </c>
      <c r="Y199" s="3">
        <f t="shared" si="74"/>
        <v>3</v>
      </c>
      <c r="Z199" s="3">
        <f>IF(AND(DataTable[[#This Row],[Sentido]]="URUGUAI para BRASIL",DataTable[[#This Row],[Valor]]&gt;350),1,0)</f>
        <v>0</v>
      </c>
      <c r="AA199" s="3">
        <f>IF(DataTable[[#This Row],[Valor]]&gt;1,0,0)</f>
        <v>0</v>
      </c>
    </row>
    <row r="200" spans="1:27" x14ac:dyDescent="0.25">
      <c r="A200" s="2" t="s">
        <v>21</v>
      </c>
      <c r="B200" s="2">
        <v>248</v>
      </c>
      <c r="C200" s="3">
        <f t="shared" si="60"/>
        <v>81.25</v>
      </c>
      <c r="D200" s="3">
        <f t="shared" si="61"/>
        <v>87.5</v>
      </c>
      <c r="E200" s="3">
        <f t="shared" si="62"/>
        <v>83.75</v>
      </c>
      <c r="F200" s="3">
        <f t="shared" si="63"/>
        <v>45.16</v>
      </c>
      <c r="G200" s="3">
        <f t="shared" si="64"/>
        <v>115.24000000000001</v>
      </c>
      <c r="H200" s="3">
        <f t="shared" si="65"/>
        <v>115.24000000000001</v>
      </c>
      <c r="I200" s="3"/>
      <c r="J200" s="3">
        <f t="shared" si="66"/>
        <v>75.877818897637795</v>
      </c>
      <c r="K200" s="3">
        <f t="shared" si="67"/>
        <v>87.5</v>
      </c>
      <c r="L200" s="34">
        <f t="shared" si="68"/>
        <v>83.75</v>
      </c>
      <c r="M200" s="3">
        <f t="shared" si="69"/>
        <v>-9.92</v>
      </c>
      <c r="N200" s="3">
        <f t="shared" si="70"/>
        <v>150</v>
      </c>
      <c r="O200" s="3"/>
      <c r="P200" s="3">
        <f t="shared" si="71"/>
        <v>86.020031496062998</v>
      </c>
      <c r="Q200" s="3">
        <f t="shared" si="72"/>
        <v>120.50908094488189</v>
      </c>
      <c r="R200" s="3">
        <f>vd(DataTable[[#This Row],[Sentido]],DataTable[[#This Row],[Valor]])</f>
        <v>93.012685914260715</v>
      </c>
      <c r="S200" s="3">
        <f>IF(DataTable[[#This Row],[Valor]]&gt;1,1,1)</f>
        <v>1</v>
      </c>
      <c r="T200" s="3">
        <f>IF(DataTable[[#This Row],[Valor]]&gt;1,1,1)</f>
        <v>1</v>
      </c>
      <c r="U200" s="3">
        <f>angr(DataTable[[#This Row],[Sentido]],DataTable[[#This Row],[Valor]])</f>
        <v>45.574890638670169</v>
      </c>
      <c r="V200" s="3">
        <f>ANGI(DataTable[[#This Row],[Sentido]],DataTable[[#This Row],[Valor]])</f>
        <v>47.987401574803151</v>
      </c>
      <c r="W200" s="3">
        <f t="shared" si="73"/>
        <v>3</v>
      </c>
      <c r="X200" s="3">
        <f>IF(DataTable[[#This Row],[Valor]]&gt;1,1,1)</f>
        <v>1</v>
      </c>
      <c r="Y200" s="3">
        <f t="shared" si="74"/>
        <v>3</v>
      </c>
      <c r="Z200" s="3">
        <f>IF(AND(DataTable[[#This Row],[Sentido]]="URUGUAI para BRASIL",DataTable[[#This Row],[Valor]]&gt;350),1,0)</f>
        <v>0</v>
      </c>
      <c r="AA200" s="3">
        <f>IF(DataTable[[#This Row],[Valor]]&gt;1,0,0)</f>
        <v>0</v>
      </c>
    </row>
    <row r="201" spans="1:27" x14ac:dyDescent="0.25">
      <c r="A201" s="2" t="s">
        <v>21</v>
      </c>
      <c r="B201" s="2">
        <v>249</v>
      </c>
      <c r="C201" s="3">
        <f t="shared" si="60"/>
        <v>81.25</v>
      </c>
      <c r="D201" s="3">
        <f t="shared" si="61"/>
        <v>87.5</v>
      </c>
      <c r="E201" s="3">
        <f t="shared" si="62"/>
        <v>83.75</v>
      </c>
      <c r="F201" s="3">
        <f t="shared" si="63"/>
        <v>45.08</v>
      </c>
      <c r="G201" s="3">
        <f t="shared" si="64"/>
        <v>115.12</v>
      </c>
      <c r="H201" s="3">
        <f t="shared" si="65"/>
        <v>115.12</v>
      </c>
      <c r="I201" s="3"/>
      <c r="J201" s="3">
        <f t="shared" si="66"/>
        <v>76.303015748031513</v>
      </c>
      <c r="K201" s="3">
        <f t="shared" si="67"/>
        <v>87.5</v>
      </c>
      <c r="L201" s="34">
        <f t="shared" si="68"/>
        <v>83.75</v>
      </c>
      <c r="M201" s="3">
        <f t="shared" si="69"/>
        <v>-9.9600000000000009</v>
      </c>
      <c r="N201" s="3">
        <f t="shared" si="70"/>
        <v>150</v>
      </c>
      <c r="O201" s="3"/>
      <c r="P201" s="3">
        <f t="shared" si="71"/>
        <v>86.272692913385839</v>
      </c>
      <c r="Q201" s="3">
        <f t="shared" si="72"/>
        <v>121.27274078740159</v>
      </c>
      <c r="R201" s="3">
        <f>vd(DataTable[[#This Row],[Sentido]],DataTable[[#This Row],[Valor]])</f>
        <v>93.260571595217272</v>
      </c>
      <c r="S201" s="3">
        <f>IF(DataTable[[#This Row],[Valor]]&gt;1,1,1)</f>
        <v>1</v>
      </c>
      <c r="T201" s="3">
        <f>IF(DataTable[[#This Row],[Valor]]&gt;1,1,1)</f>
        <v>1</v>
      </c>
      <c r="U201" s="3">
        <f>angr(DataTable[[#This Row],[Sentido]],DataTable[[#This Row],[Valor]])</f>
        <v>45.429075532225141</v>
      </c>
      <c r="V201" s="3">
        <f>ANGI(DataTable[[#This Row],[Sentido]],DataTable[[#This Row],[Valor]])</f>
        <v>47.85616797900262</v>
      </c>
      <c r="W201" s="3">
        <f t="shared" si="73"/>
        <v>3</v>
      </c>
      <c r="X201" s="3">
        <f>IF(DataTable[[#This Row],[Valor]]&gt;1,1,1)</f>
        <v>1</v>
      </c>
      <c r="Y201" s="3">
        <f t="shared" si="74"/>
        <v>3</v>
      </c>
      <c r="Z201" s="3">
        <f>IF(AND(DataTable[[#This Row],[Sentido]]="URUGUAI para BRASIL",DataTable[[#This Row],[Valor]]&gt;350),1,0)</f>
        <v>0</v>
      </c>
      <c r="AA201" s="3">
        <f>IF(DataTable[[#This Row],[Valor]]&gt;1,0,0)</f>
        <v>0</v>
      </c>
    </row>
    <row r="202" spans="1:27" x14ac:dyDescent="0.25">
      <c r="A202" s="2" t="s">
        <v>21</v>
      </c>
      <c r="B202" s="2">
        <v>250</v>
      </c>
      <c r="C202" s="3">
        <f t="shared" si="60"/>
        <v>81.25</v>
      </c>
      <c r="D202" s="3">
        <f t="shared" si="61"/>
        <v>87.5</v>
      </c>
      <c r="E202" s="3">
        <f t="shared" si="62"/>
        <v>83.75</v>
      </c>
      <c r="F202" s="3">
        <f t="shared" si="63"/>
        <v>45</v>
      </c>
      <c r="G202" s="3">
        <f t="shared" si="64"/>
        <v>115</v>
      </c>
      <c r="H202" s="3">
        <f t="shared" si="65"/>
        <v>115</v>
      </c>
      <c r="I202" s="3"/>
      <c r="J202" s="3">
        <f t="shared" si="66"/>
        <v>76.728212598425202</v>
      </c>
      <c r="K202" s="3">
        <f t="shared" si="67"/>
        <v>87.5</v>
      </c>
      <c r="L202" s="34">
        <f t="shared" si="68"/>
        <v>83.75</v>
      </c>
      <c r="M202" s="3">
        <f t="shared" si="69"/>
        <v>-10</v>
      </c>
      <c r="N202" s="3">
        <f t="shared" si="70"/>
        <v>150</v>
      </c>
      <c r="O202" s="3"/>
      <c r="P202" s="3">
        <f t="shared" si="71"/>
        <v>86.525354330708666</v>
      </c>
      <c r="Q202" s="3">
        <f t="shared" si="72"/>
        <v>122.03640062992126</v>
      </c>
      <c r="R202" s="3">
        <f>vd(DataTable[[#This Row],[Sentido]],DataTable[[#This Row],[Valor]])</f>
        <v>93.508457276173814</v>
      </c>
      <c r="S202" s="3">
        <f>IF(DataTable[[#This Row],[Valor]]&gt;1,1,1)</f>
        <v>1</v>
      </c>
      <c r="T202" s="3">
        <f>IF(DataTable[[#This Row],[Valor]]&gt;1,1,1)</f>
        <v>1</v>
      </c>
      <c r="U202" s="3">
        <f>angr(DataTable[[#This Row],[Sentido]],DataTable[[#This Row],[Valor]])</f>
        <v>45.283260425780114</v>
      </c>
      <c r="V202" s="3">
        <f>ANGI(DataTable[[#This Row],[Sentido]],DataTable[[#This Row],[Valor]])</f>
        <v>47.724934383202097</v>
      </c>
      <c r="W202" s="3">
        <f t="shared" si="73"/>
        <v>3</v>
      </c>
      <c r="X202" s="3">
        <f>IF(DataTable[[#This Row],[Valor]]&gt;1,1,1)</f>
        <v>1</v>
      </c>
      <c r="Y202" s="3">
        <f t="shared" si="74"/>
        <v>3</v>
      </c>
      <c r="Z202" s="3">
        <f>IF(AND(DataTable[[#This Row],[Sentido]]="URUGUAI para BRASIL",DataTable[[#This Row],[Valor]]&gt;350),1,0)</f>
        <v>0</v>
      </c>
      <c r="AA202" s="3">
        <f>IF(DataTable[[#This Row],[Valor]]&gt;1,0,0)</f>
        <v>0</v>
      </c>
    </row>
    <row r="203" spans="1:27" x14ac:dyDescent="0.25">
      <c r="A203" s="2" t="s">
        <v>21</v>
      </c>
      <c r="B203" s="2">
        <v>251</v>
      </c>
      <c r="C203" s="3">
        <f t="shared" si="60"/>
        <v>81.25</v>
      </c>
      <c r="D203" s="3">
        <f t="shared" si="61"/>
        <v>87.5</v>
      </c>
      <c r="E203" s="3">
        <f t="shared" si="62"/>
        <v>83.75</v>
      </c>
      <c r="F203" s="3">
        <f t="shared" si="63"/>
        <v>44.879999999999995</v>
      </c>
      <c r="G203" s="3">
        <f t="shared" si="64"/>
        <v>114.8</v>
      </c>
      <c r="H203" s="3">
        <f t="shared" si="65"/>
        <v>114.8</v>
      </c>
      <c r="I203" s="3"/>
      <c r="J203" s="3">
        <f t="shared" si="66"/>
        <v>77.153409448818906</v>
      </c>
      <c r="K203" s="3">
        <f t="shared" si="67"/>
        <v>87.5</v>
      </c>
      <c r="L203" s="34">
        <f t="shared" si="68"/>
        <v>83.75</v>
      </c>
      <c r="M203" s="3">
        <f t="shared" si="69"/>
        <v>-10.119999999999999</v>
      </c>
      <c r="N203" s="3">
        <f t="shared" si="70"/>
        <v>149.91999999999999</v>
      </c>
      <c r="O203" s="3"/>
      <c r="P203" s="3">
        <f t="shared" si="71"/>
        <v>86.778015748031493</v>
      </c>
      <c r="Q203" s="3">
        <f t="shared" si="72"/>
        <v>122.80006047244095</v>
      </c>
      <c r="R203" s="3">
        <f>vd(DataTable[[#This Row],[Sentido]],DataTable[[#This Row],[Valor]])</f>
        <v>93.756342957130357</v>
      </c>
      <c r="S203" s="3">
        <f>IF(DataTable[[#This Row],[Valor]]&gt;1,1,1)</f>
        <v>1</v>
      </c>
      <c r="T203" s="3">
        <f>IF(DataTable[[#This Row],[Valor]]&gt;1,1,1)</f>
        <v>1</v>
      </c>
      <c r="U203" s="3">
        <f>angr(DataTable[[#This Row],[Sentido]],DataTable[[#This Row],[Valor]])</f>
        <v>45.137445319335086</v>
      </c>
      <c r="V203" s="3">
        <f>ANGI(DataTable[[#This Row],[Sentido]],DataTable[[#This Row],[Valor]])</f>
        <v>47.593700787401573</v>
      </c>
      <c r="W203" s="3">
        <f t="shared" si="73"/>
        <v>3</v>
      </c>
      <c r="X203" s="3">
        <f>IF(DataTable[[#This Row],[Valor]]&gt;1,1,1)</f>
        <v>1</v>
      </c>
      <c r="Y203" s="3">
        <f t="shared" si="74"/>
        <v>3</v>
      </c>
      <c r="Z203" s="3">
        <f>IF(AND(DataTable[[#This Row],[Sentido]]="URUGUAI para BRASIL",DataTable[[#This Row],[Valor]]&gt;350),1,0)</f>
        <v>0</v>
      </c>
      <c r="AA203" s="3">
        <f>IF(DataTable[[#This Row],[Valor]]&gt;1,0,0)</f>
        <v>0</v>
      </c>
    </row>
    <row r="204" spans="1:27" x14ac:dyDescent="0.25">
      <c r="A204" s="2" t="s">
        <v>21</v>
      </c>
      <c r="B204" s="2">
        <v>252</v>
      </c>
      <c r="C204" s="3">
        <f t="shared" si="60"/>
        <v>81.25</v>
      </c>
      <c r="D204" s="3">
        <f t="shared" si="61"/>
        <v>87.5</v>
      </c>
      <c r="E204" s="3">
        <f t="shared" si="62"/>
        <v>83.75</v>
      </c>
      <c r="F204" s="3">
        <f t="shared" si="63"/>
        <v>44.760000000000005</v>
      </c>
      <c r="G204" s="3">
        <f t="shared" si="64"/>
        <v>114.6</v>
      </c>
      <c r="H204" s="3">
        <f t="shared" si="65"/>
        <v>114.6</v>
      </c>
      <c r="I204" s="3"/>
      <c r="J204" s="3">
        <f t="shared" si="66"/>
        <v>77.578606299212595</v>
      </c>
      <c r="K204" s="3">
        <f t="shared" si="67"/>
        <v>87.5</v>
      </c>
      <c r="L204" s="34">
        <f t="shared" si="68"/>
        <v>83.75</v>
      </c>
      <c r="M204" s="3">
        <f t="shared" si="69"/>
        <v>-10.24</v>
      </c>
      <c r="N204" s="3">
        <f t="shared" si="70"/>
        <v>149.84</v>
      </c>
      <c r="O204" s="3"/>
      <c r="P204" s="3">
        <f t="shared" si="71"/>
        <v>87.030677165354319</v>
      </c>
      <c r="Q204" s="3">
        <f t="shared" si="72"/>
        <v>123.56372031496062</v>
      </c>
      <c r="R204" s="3">
        <f>vd(DataTable[[#This Row],[Sentido]],DataTable[[#This Row],[Valor]])</f>
        <v>94.0042286380869</v>
      </c>
      <c r="S204" s="3">
        <f>IF(DataTable[[#This Row],[Valor]]&gt;1,1,1)</f>
        <v>1</v>
      </c>
      <c r="T204" s="3">
        <f>IF(DataTable[[#This Row],[Valor]]&gt;1,1,1)</f>
        <v>1</v>
      </c>
      <c r="U204" s="3">
        <f>angr(DataTable[[#This Row],[Sentido]],DataTable[[#This Row],[Valor]])</f>
        <v>44.991630212890058</v>
      </c>
      <c r="V204" s="3">
        <f>ANGI(DataTable[[#This Row],[Sentido]],DataTable[[#This Row],[Valor]])</f>
        <v>47.462467191601057</v>
      </c>
      <c r="W204" s="3">
        <f t="shared" si="73"/>
        <v>3</v>
      </c>
      <c r="X204" s="3">
        <f>IF(DataTable[[#This Row],[Valor]]&gt;1,1,1)</f>
        <v>1</v>
      </c>
      <c r="Y204" s="3">
        <f t="shared" si="74"/>
        <v>3</v>
      </c>
      <c r="Z204" s="3">
        <f>IF(AND(DataTable[[#This Row],[Sentido]]="URUGUAI para BRASIL",DataTable[[#This Row],[Valor]]&gt;350),1,0)</f>
        <v>0</v>
      </c>
      <c r="AA204" s="3">
        <f>IF(DataTable[[#This Row],[Valor]]&gt;1,0,0)</f>
        <v>0</v>
      </c>
    </row>
    <row r="205" spans="1:27" x14ac:dyDescent="0.25">
      <c r="A205" s="2" t="s">
        <v>21</v>
      </c>
      <c r="B205" s="2">
        <v>253</v>
      </c>
      <c r="C205" s="3">
        <f t="shared" si="60"/>
        <v>81.25</v>
      </c>
      <c r="D205" s="3">
        <f t="shared" si="61"/>
        <v>87.5</v>
      </c>
      <c r="E205" s="3">
        <f t="shared" si="62"/>
        <v>83.75</v>
      </c>
      <c r="F205" s="3">
        <f t="shared" si="63"/>
        <v>44.64</v>
      </c>
      <c r="G205" s="3">
        <f t="shared" si="64"/>
        <v>114.4</v>
      </c>
      <c r="H205" s="3">
        <f t="shared" si="65"/>
        <v>114.4</v>
      </c>
      <c r="I205" s="3"/>
      <c r="J205" s="3">
        <f t="shared" si="66"/>
        <v>78.003803149606313</v>
      </c>
      <c r="K205" s="3">
        <f t="shared" si="67"/>
        <v>87.5</v>
      </c>
      <c r="L205" s="34">
        <f t="shared" si="68"/>
        <v>83.75</v>
      </c>
      <c r="M205" s="3">
        <f t="shared" si="69"/>
        <v>-10.36</v>
      </c>
      <c r="N205" s="3">
        <f t="shared" si="70"/>
        <v>149.76</v>
      </c>
      <c r="O205" s="3"/>
      <c r="P205" s="3">
        <f t="shared" si="71"/>
        <v>87.283338582677175</v>
      </c>
      <c r="Q205" s="3">
        <f t="shared" si="72"/>
        <v>124.32738015748032</v>
      </c>
      <c r="R205" s="3">
        <f>vd(DataTable[[#This Row],[Sentido]],DataTable[[#This Row],[Valor]])</f>
        <v>94.252114319043457</v>
      </c>
      <c r="S205" s="3">
        <f>IF(DataTable[[#This Row],[Valor]]&gt;1,1,1)</f>
        <v>1</v>
      </c>
      <c r="T205" s="3">
        <f>IF(DataTable[[#This Row],[Valor]]&gt;1,1,1)</f>
        <v>1</v>
      </c>
      <c r="U205" s="3">
        <f>angr(DataTable[[#This Row],[Sentido]],DataTable[[#This Row],[Valor]])</f>
        <v>44.845815106445031</v>
      </c>
      <c r="V205" s="3">
        <f>ANGI(DataTable[[#This Row],[Sentido]],DataTable[[#This Row],[Valor]])</f>
        <v>47.331233595800526</v>
      </c>
      <c r="W205" s="3">
        <f t="shared" si="73"/>
        <v>3</v>
      </c>
      <c r="X205" s="3">
        <f>IF(DataTable[[#This Row],[Valor]]&gt;1,1,1)</f>
        <v>1</v>
      </c>
      <c r="Y205" s="3">
        <f t="shared" si="74"/>
        <v>3</v>
      </c>
      <c r="Z205" s="3">
        <f>IF(AND(DataTable[[#This Row],[Sentido]]="URUGUAI para BRASIL",DataTable[[#This Row],[Valor]]&gt;350),1,0)</f>
        <v>0</v>
      </c>
      <c r="AA205" s="3">
        <f>IF(DataTable[[#This Row],[Valor]]&gt;1,0,0)</f>
        <v>0</v>
      </c>
    </row>
    <row r="206" spans="1:27" x14ac:dyDescent="0.25">
      <c r="A206" s="2" t="s">
        <v>21</v>
      </c>
      <c r="B206" s="2">
        <v>254</v>
      </c>
      <c r="C206" s="3">
        <f t="shared" si="60"/>
        <v>81.25</v>
      </c>
      <c r="D206" s="3">
        <f t="shared" si="61"/>
        <v>87.5</v>
      </c>
      <c r="E206" s="3">
        <f t="shared" si="62"/>
        <v>83.75</v>
      </c>
      <c r="F206" s="3">
        <f t="shared" si="63"/>
        <v>44.519999999999996</v>
      </c>
      <c r="G206" s="3">
        <f t="shared" si="64"/>
        <v>114.2</v>
      </c>
      <c r="H206" s="3">
        <f t="shared" si="65"/>
        <v>114.2</v>
      </c>
      <c r="I206" s="3"/>
      <c r="J206" s="3">
        <f t="shared" si="66"/>
        <v>78.429000000000002</v>
      </c>
      <c r="K206" s="3">
        <f t="shared" si="67"/>
        <v>87.5</v>
      </c>
      <c r="L206" s="34">
        <f t="shared" si="68"/>
        <v>83.75</v>
      </c>
      <c r="M206" s="3">
        <f t="shared" si="69"/>
        <v>-10.48</v>
      </c>
      <c r="N206" s="3">
        <f t="shared" si="70"/>
        <v>149.68</v>
      </c>
      <c r="O206" s="3"/>
      <c r="P206" s="3">
        <f t="shared" si="71"/>
        <v>87.536000000000001</v>
      </c>
      <c r="Q206" s="3">
        <f t="shared" si="72"/>
        <v>125.09103999999999</v>
      </c>
      <c r="R206" s="3">
        <f>vd(DataTable[[#This Row],[Sentido]],DataTable[[#This Row],[Valor]])</f>
        <v>94.5</v>
      </c>
      <c r="S206" s="3">
        <f>IF(DataTable[[#This Row],[Valor]]&gt;1,1,1)</f>
        <v>1</v>
      </c>
      <c r="T206" s="3">
        <f>IF(DataTable[[#This Row],[Valor]]&gt;1,1,1)</f>
        <v>1</v>
      </c>
      <c r="U206" s="3">
        <f>angr(DataTable[[#This Row],[Sentido]],DataTable[[#This Row],[Valor]])</f>
        <v>44.7</v>
      </c>
      <c r="V206" s="3">
        <f>ANGI(DataTable[[#This Row],[Sentido]],DataTable[[#This Row],[Valor]])</f>
        <v>47.2</v>
      </c>
      <c r="W206" s="3">
        <f t="shared" si="73"/>
        <v>3</v>
      </c>
      <c r="X206" s="3">
        <f>IF(DataTable[[#This Row],[Valor]]&gt;1,1,1)</f>
        <v>1</v>
      </c>
      <c r="Y206" s="3">
        <f t="shared" si="74"/>
        <v>3</v>
      </c>
      <c r="Z206" s="3">
        <f>IF(AND(DataTable[[#This Row],[Sentido]]="URUGUAI para BRASIL",DataTable[[#This Row],[Valor]]&gt;350),1,0)</f>
        <v>0</v>
      </c>
      <c r="AA206" s="3">
        <f>IF(DataTable[[#This Row],[Valor]]&gt;1,0,0)</f>
        <v>0</v>
      </c>
    </row>
    <row r="207" spans="1:27" x14ac:dyDescent="0.25">
      <c r="A207" s="2" t="s">
        <v>21</v>
      </c>
      <c r="B207" s="2">
        <v>255</v>
      </c>
      <c r="C207" s="3">
        <f t="shared" si="60"/>
        <v>81.25</v>
      </c>
      <c r="D207" s="3">
        <f t="shared" si="61"/>
        <v>87.5</v>
      </c>
      <c r="E207" s="3">
        <f t="shared" si="62"/>
        <v>83.75</v>
      </c>
      <c r="F207" s="3">
        <f t="shared" si="63"/>
        <v>44.4</v>
      </c>
      <c r="G207" s="3">
        <f t="shared" si="64"/>
        <v>114</v>
      </c>
      <c r="H207" s="3">
        <f t="shared" si="65"/>
        <v>114</v>
      </c>
      <c r="I207" s="3"/>
      <c r="J207" s="3">
        <f t="shared" si="66"/>
        <v>78.854196850393706</v>
      </c>
      <c r="K207" s="3">
        <f t="shared" si="67"/>
        <v>87.5</v>
      </c>
      <c r="L207" s="34">
        <f t="shared" si="68"/>
        <v>83.75</v>
      </c>
      <c r="M207" s="3">
        <f t="shared" si="69"/>
        <v>-10.6</v>
      </c>
      <c r="N207" s="3">
        <f t="shared" si="70"/>
        <v>149.6</v>
      </c>
      <c r="O207" s="3"/>
      <c r="P207" s="3">
        <f t="shared" si="71"/>
        <v>87.788661417322828</v>
      </c>
      <c r="Q207" s="3">
        <f t="shared" si="72"/>
        <v>125.85469984251968</v>
      </c>
      <c r="R207" s="3">
        <f>vd(DataTable[[#This Row],[Sentido]],DataTable[[#This Row],[Valor]])</f>
        <v>94.811023622047244</v>
      </c>
      <c r="S207" s="3">
        <f>IF(DataTable[[#This Row],[Valor]]&gt;1,1,1)</f>
        <v>1</v>
      </c>
      <c r="T207" s="3">
        <f>IF(DataTable[[#This Row],[Valor]]&gt;1,1,1)</f>
        <v>1</v>
      </c>
      <c r="U207" s="3">
        <f>angr(DataTable[[#This Row],[Sentido]],DataTable[[#This Row],[Valor]])</f>
        <v>44.574015748031499</v>
      </c>
      <c r="V207" s="3">
        <f>ANGI(DataTable[[#This Row],[Sentido]],DataTable[[#This Row],[Valor]])</f>
        <v>47.074015748031499</v>
      </c>
      <c r="W207" s="3">
        <f t="shared" si="73"/>
        <v>3</v>
      </c>
      <c r="X207" s="3">
        <f>IF(DataTable[[#This Row],[Valor]]&gt;1,1,1)</f>
        <v>1</v>
      </c>
      <c r="Y207" s="3">
        <f t="shared" si="74"/>
        <v>3</v>
      </c>
      <c r="Z207" s="3">
        <f>IF(AND(DataTable[[#This Row],[Sentido]]="URUGUAI para BRASIL",DataTable[[#This Row],[Valor]]&gt;350),1,0)</f>
        <v>0</v>
      </c>
      <c r="AA207" s="3">
        <f>IF(DataTable[[#This Row],[Valor]]&gt;1,0,0)</f>
        <v>0</v>
      </c>
    </row>
    <row r="208" spans="1:27" x14ac:dyDescent="0.25">
      <c r="A208" s="2" t="s">
        <v>21</v>
      </c>
      <c r="B208" s="2">
        <v>256</v>
      </c>
      <c r="C208" s="3">
        <f t="shared" si="60"/>
        <v>81.25</v>
      </c>
      <c r="D208" s="3">
        <f t="shared" si="61"/>
        <v>87.5</v>
      </c>
      <c r="E208" s="3">
        <f t="shared" si="62"/>
        <v>83.75</v>
      </c>
      <c r="F208" s="3">
        <f t="shared" si="63"/>
        <v>44.28</v>
      </c>
      <c r="G208" s="3">
        <f t="shared" si="64"/>
        <v>113.8</v>
      </c>
      <c r="H208" s="3">
        <f t="shared" si="65"/>
        <v>113.8</v>
      </c>
      <c r="I208" s="3"/>
      <c r="J208" s="3">
        <f t="shared" si="66"/>
        <v>79.279393700787409</v>
      </c>
      <c r="K208" s="3">
        <f t="shared" si="67"/>
        <v>87.5</v>
      </c>
      <c r="L208" s="34">
        <f t="shared" si="68"/>
        <v>83.75</v>
      </c>
      <c r="M208" s="3">
        <f t="shared" si="69"/>
        <v>-10.72</v>
      </c>
      <c r="N208" s="3">
        <f t="shared" si="70"/>
        <v>149.52000000000001</v>
      </c>
      <c r="O208" s="3"/>
      <c r="P208" s="3">
        <f t="shared" si="71"/>
        <v>88.041322834645683</v>
      </c>
      <c r="Q208" s="3">
        <f t="shared" si="72"/>
        <v>126.61835968503938</v>
      </c>
      <c r="R208" s="3">
        <f>vd(DataTable[[#This Row],[Sentido]],DataTable[[#This Row],[Valor]])</f>
        <v>95.122047244094489</v>
      </c>
      <c r="S208" s="3">
        <f>IF(DataTable[[#This Row],[Valor]]&gt;1,1,1)</f>
        <v>1</v>
      </c>
      <c r="T208" s="3">
        <f>IF(DataTable[[#This Row],[Valor]]&gt;1,1,1)</f>
        <v>1</v>
      </c>
      <c r="U208" s="3">
        <f>angr(DataTable[[#This Row],[Sentido]],DataTable[[#This Row],[Valor]])</f>
        <v>44.448031496062995</v>
      </c>
      <c r="V208" s="3">
        <f>ANGI(DataTable[[#This Row],[Sentido]],DataTable[[#This Row],[Valor]])</f>
        <v>46.948031496062995</v>
      </c>
      <c r="W208" s="3">
        <f t="shared" si="73"/>
        <v>3</v>
      </c>
      <c r="X208" s="3">
        <f>IF(DataTable[[#This Row],[Valor]]&gt;1,1,1)</f>
        <v>1</v>
      </c>
      <c r="Y208" s="3">
        <f t="shared" si="74"/>
        <v>3</v>
      </c>
      <c r="Z208" s="3">
        <f>IF(AND(DataTable[[#This Row],[Sentido]]="URUGUAI para BRASIL",DataTable[[#This Row],[Valor]]&gt;350),1,0)</f>
        <v>0</v>
      </c>
      <c r="AA208" s="3">
        <f>IF(DataTable[[#This Row],[Valor]]&gt;1,0,0)</f>
        <v>0</v>
      </c>
    </row>
    <row r="209" spans="1:27" x14ac:dyDescent="0.25">
      <c r="A209" s="2" t="s">
        <v>21</v>
      </c>
      <c r="B209" s="2">
        <v>257</v>
      </c>
      <c r="C209" s="3">
        <f t="shared" si="60"/>
        <v>81.25</v>
      </c>
      <c r="D209" s="3">
        <f t="shared" si="61"/>
        <v>87.5</v>
      </c>
      <c r="E209" s="3">
        <f t="shared" si="62"/>
        <v>83.75</v>
      </c>
      <c r="F209" s="3">
        <f t="shared" si="63"/>
        <v>44.16</v>
      </c>
      <c r="G209" s="3">
        <f t="shared" si="64"/>
        <v>113.6</v>
      </c>
      <c r="H209" s="3">
        <f t="shared" si="65"/>
        <v>113.6</v>
      </c>
      <c r="I209" s="3"/>
      <c r="J209" s="3">
        <f t="shared" si="66"/>
        <v>79.704590551181113</v>
      </c>
      <c r="K209" s="3">
        <f t="shared" si="67"/>
        <v>87.5</v>
      </c>
      <c r="L209" s="34">
        <f t="shared" si="68"/>
        <v>83.75</v>
      </c>
      <c r="M209" s="3">
        <f t="shared" si="69"/>
        <v>-10.84</v>
      </c>
      <c r="N209" s="3">
        <f t="shared" si="70"/>
        <v>149.44</v>
      </c>
      <c r="O209" s="3"/>
      <c r="P209" s="3">
        <f t="shared" si="71"/>
        <v>88.29398425196851</v>
      </c>
      <c r="Q209" s="3">
        <f t="shared" si="72"/>
        <v>127.38201952755905</v>
      </c>
      <c r="R209" s="3">
        <f>vd(DataTable[[#This Row],[Sentido]],DataTable[[#This Row],[Valor]])</f>
        <v>95.433070866141733</v>
      </c>
      <c r="S209" s="3">
        <f>IF(DataTable[[#This Row],[Valor]]&gt;1,1,1)</f>
        <v>1</v>
      </c>
      <c r="T209" s="3">
        <f>IF(DataTable[[#This Row],[Valor]]&gt;1,1,1)</f>
        <v>1</v>
      </c>
      <c r="U209" s="3">
        <f>angr(DataTable[[#This Row],[Sentido]],DataTable[[#This Row],[Valor]])</f>
        <v>44.322047244094492</v>
      </c>
      <c r="V209" s="3">
        <f>ANGI(DataTable[[#This Row],[Sentido]],DataTable[[#This Row],[Valor]])</f>
        <v>46.822047244094492</v>
      </c>
      <c r="W209" s="3">
        <f t="shared" si="73"/>
        <v>3</v>
      </c>
      <c r="X209" s="3">
        <f>IF(DataTable[[#This Row],[Valor]]&gt;1,1,1)</f>
        <v>1</v>
      </c>
      <c r="Y209" s="3">
        <f t="shared" si="74"/>
        <v>3</v>
      </c>
      <c r="Z209" s="3">
        <f>IF(AND(DataTable[[#This Row],[Sentido]]="URUGUAI para BRASIL",DataTable[[#This Row],[Valor]]&gt;350),1,0)</f>
        <v>0</v>
      </c>
      <c r="AA209" s="3">
        <f>IF(DataTable[[#This Row],[Valor]]&gt;1,0,0)</f>
        <v>0</v>
      </c>
    </row>
    <row r="210" spans="1:27" x14ac:dyDescent="0.25">
      <c r="A210" s="2" t="s">
        <v>21</v>
      </c>
      <c r="B210" s="2">
        <v>258</v>
      </c>
      <c r="C210" s="3">
        <f t="shared" si="60"/>
        <v>81.25</v>
      </c>
      <c r="D210" s="3">
        <f t="shared" si="61"/>
        <v>87.5</v>
      </c>
      <c r="E210" s="3">
        <f t="shared" si="62"/>
        <v>83.75</v>
      </c>
      <c r="F210" s="3">
        <f t="shared" si="63"/>
        <v>44.04</v>
      </c>
      <c r="G210" s="3">
        <f t="shared" si="64"/>
        <v>113.4</v>
      </c>
      <c r="H210" s="3">
        <f t="shared" si="65"/>
        <v>113.4</v>
      </c>
      <c r="I210" s="3"/>
      <c r="J210" s="3">
        <f t="shared" si="66"/>
        <v>80.129787401574802</v>
      </c>
      <c r="K210" s="3">
        <f t="shared" si="67"/>
        <v>87.5</v>
      </c>
      <c r="L210" s="34">
        <f t="shared" si="68"/>
        <v>83.75</v>
      </c>
      <c r="M210" s="3">
        <f t="shared" si="69"/>
        <v>-10.96</v>
      </c>
      <c r="N210" s="3">
        <f t="shared" si="70"/>
        <v>149.36000000000001</v>
      </c>
      <c r="O210" s="3"/>
      <c r="P210" s="3">
        <f t="shared" si="71"/>
        <v>88.546645669291337</v>
      </c>
      <c r="Q210" s="3">
        <f t="shared" si="72"/>
        <v>128.14567937007874</v>
      </c>
      <c r="R210" s="3">
        <f>vd(DataTable[[#This Row],[Sentido]],DataTable[[#This Row],[Valor]])</f>
        <v>95.744094488188978</v>
      </c>
      <c r="S210" s="3">
        <f>IF(DataTable[[#This Row],[Valor]]&gt;1,1,1)</f>
        <v>1</v>
      </c>
      <c r="T210" s="3">
        <f>IF(DataTable[[#This Row],[Valor]]&gt;1,1,1)</f>
        <v>1</v>
      </c>
      <c r="U210" s="3">
        <f>angr(DataTable[[#This Row],[Sentido]],DataTable[[#This Row],[Valor]])</f>
        <v>44.196062992125988</v>
      </c>
      <c r="V210" s="3">
        <f>ANGI(DataTable[[#This Row],[Sentido]],DataTable[[#This Row],[Valor]])</f>
        <v>46.696062992125988</v>
      </c>
      <c r="W210" s="3">
        <f t="shared" si="73"/>
        <v>3</v>
      </c>
      <c r="X210" s="3">
        <f>IF(DataTable[[#This Row],[Valor]]&gt;1,1,1)</f>
        <v>1</v>
      </c>
      <c r="Y210" s="3">
        <f t="shared" si="74"/>
        <v>3</v>
      </c>
      <c r="Z210" s="3">
        <f>IF(AND(DataTable[[#This Row],[Sentido]]="URUGUAI para BRASIL",DataTable[[#This Row],[Valor]]&gt;350),1,0)</f>
        <v>0</v>
      </c>
      <c r="AA210" s="3">
        <f>IF(DataTable[[#This Row],[Valor]]&gt;1,0,0)</f>
        <v>0</v>
      </c>
    </row>
    <row r="211" spans="1:27" x14ac:dyDescent="0.25">
      <c r="A211" s="2" t="s">
        <v>21</v>
      </c>
      <c r="B211" s="2">
        <v>259</v>
      </c>
      <c r="C211" s="3">
        <f t="shared" si="60"/>
        <v>81.25</v>
      </c>
      <c r="D211" s="3">
        <f t="shared" si="61"/>
        <v>87.5</v>
      </c>
      <c r="E211" s="3">
        <f t="shared" si="62"/>
        <v>83.75</v>
      </c>
      <c r="F211" s="3">
        <f t="shared" si="63"/>
        <v>43.92</v>
      </c>
      <c r="G211" s="3">
        <f t="shared" si="64"/>
        <v>113.2</v>
      </c>
      <c r="H211" s="3">
        <f t="shared" si="65"/>
        <v>113.2</v>
      </c>
      <c r="I211" s="3"/>
      <c r="J211" s="3">
        <f t="shared" si="66"/>
        <v>80.554984251968506</v>
      </c>
      <c r="K211" s="3">
        <f t="shared" si="67"/>
        <v>87.5</v>
      </c>
      <c r="L211" s="34">
        <f t="shared" si="68"/>
        <v>83.75</v>
      </c>
      <c r="M211" s="3">
        <f t="shared" si="69"/>
        <v>-11.08</v>
      </c>
      <c r="N211" s="3">
        <f t="shared" si="70"/>
        <v>149.28</v>
      </c>
      <c r="O211" s="3"/>
      <c r="P211" s="3">
        <f t="shared" si="71"/>
        <v>88.799307086614164</v>
      </c>
      <c r="Q211" s="3">
        <f t="shared" si="72"/>
        <v>128.90933921259841</v>
      </c>
      <c r="R211" s="3">
        <f>vd(DataTable[[#This Row],[Sentido]],DataTable[[#This Row],[Valor]])</f>
        <v>96.055118110236222</v>
      </c>
      <c r="S211" s="3">
        <f>IF(DataTable[[#This Row],[Valor]]&gt;1,1,1)</f>
        <v>1</v>
      </c>
      <c r="T211" s="3">
        <f>IF(DataTable[[#This Row],[Valor]]&gt;1,1,1)</f>
        <v>1</v>
      </c>
      <c r="U211" s="3">
        <f>angr(DataTable[[#This Row],[Sentido]],DataTable[[#This Row],[Valor]])</f>
        <v>44.070078740157484</v>
      </c>
      <c r="V211" s="3">
        <f>ANGI(DataTable[[#This Row],[Sentido]],DataTable[[#This Row],[Valor]])</f>
        <v>46.570078740157484</v>
      </c>
      <c r="W211" s="3">
        <f t="shared" si="73"/>
        <v>3</v>
      </c>
      <c r="X211" s="3">
        <f>IF(DataTable[[#This Row],[Valor]]&gt;1,1,1)</f>
        <v>1</v>
      </c>
      <c r="Y211" s="3">
        <f t="shared" si="74"/>
        <v>3</v>
      </c>
      <c r="Z211" s="3">
        <f>IF(AND(DataTable[[#This Row],[Sentido]]="URUGUAI para BRASIL",DataTable[[#This Row],[Valor]]&gt;350),1,0)</f>
        <v>0</v>
      </c>
      <c r="AA211" s="3">
        <f>IF(DataTable[[#This Row],[Valor]]&gt;1,0,0)</f>
        <v>0</v>
      </c>
    </row>
    <row r="212" spans="1:27" x14ac:dyDescent="0.25">
      <c r="A212" s="2" t="s">
        <v>21</v>
      </c>
      <c r="B212" s="2">
        <v>260</v>
      </c>
      <c r="C212" s="3">
        <f t="shared" si="60"/>
        <v>81.25</v>
      </c>
      <c r="D212" s="3">
        <f t="shared" si="61"/>
        <v>87.5</v>
      </c>
      <c r="E212" s="3">
        <f t="shared" si="62"/>
        <v>83.75</v>
      </c>
      <c r="F212" s="3">
        <f t="shared" si="63"/>
        <v>43.8</v>
      </c>
      <c r="G212" s="3">
        <f t="shared" si="64"/>
        <v>113</v>
      </c>
      <c r="H212" s="3">
        <f t="shared" si="65"/>
        <v>113</v>
      </c>
      <c r="I212" s="3"/>
      <c r="J212" s="3">
        <f t="shared" si="66"/>
        <v>80.980181102362209</v>
      </c>
      <c r="K212" s="3">
        <f t="shared" si="67"/>
        <v>87.5</v>
      </c>
      <c r="L212" s="34">
        <f t="shared" si="68"/>
        <v>83.75</v>
      </c>
      <c r="M212" s="3">
        <f t="shared" si="69"/>
        <v>-11.2</v>
      </c>
      <c r="N212" s="3">
        <f t="shared" si="70"/>
        <v>149.19999999999999</v>
      </c>
      <c r="O212" s="3"/>
      <c r="P212" s="3">
        <f t="shared" si="71"/>
        <v>89.051968503937005</v>
      </c>
      <c r="Q212" s="3">
        <f t="shared" si="72"/>
        <v>129.67299905511811</v>
      </c>
      <c r="R212" s="3">
        <f>vd(DataTable[[#This Row],[Sentido]],DataTable[[#This Row],[Valor]])</f>
        <v>96.366141732283467</v>
      </c>
      <c r="S212" s="3">
        <f>IF(DataTable[[#This Row],[Valor]]&gt;1,1,1)</f>
        <v>1</v>
      </c>
      <c r="T212" s="3">
        <f>IF(DataTable[[#This Row],[Valor]]&gt;1,1,1)</f>
        <v>1</v>
      </c>
      <c r="U212" s="3">
        <f>angr(DataTable[[#This Row],[Sentido]],DataTable[[#This Row],[Valor]])</f>
        <v>43.944094488188981</v>
      </c>
      <c r="V212" s="3">
        <f>ANGI(DataTable[[#This Row],[Sentido]],DataTable[[#This Row],[Valor]])</f>
        <v>46.444094488188981</v>
      </c>
      <c r="W212" s="3">
        <f t="shared" si="73"/>
        <v>3</v>
      </c>
      <c r="X212" s="3">
        <f>IF(DataTable[[#This Row],[Valor]]&gt;1,1,1)</f>
        <v>1</v>
      </c>
      <c r="Y212" s="3">
        <f t="shared" si="74"/>
        <v>3</v>
      </c>
      <c r="Z212" s="3">
        <f>IF(AND(DataTable[[#This Row],[Sentido]]="URUGUAI para BRASIL",DataTable[[#This Row],[Valor]]&gt;350),1,0)</f>
        <v>0</v>
      </c>
      <c r="AA212" s="3">
        <f>IF(DataTable[[#This Row],[Valor]]&gt;1,0,0)</f>
        <v>0</v>
      </c>
    </row>
    <row r="213" spans="1:27" x14ac:dyDescent="0.25">
      <c r="A213" s="2" t="s">
        <v>21</v>
      </c>
      <c r="B213" s="2">
        <v>261</v>
      </c>
      <c r="C213" s="3">
        <f t="shared" si="60"/>
        <v>81.25</v>
      </c>
      <c r="D213" s="3">
        <f t="shared" si="61"/>
        <v>87.5</v>
      </c>
      <c r="E213" s="3">
        <f t="shared" si="62"/>
        <v>83.75</v>
      </c>
      <c r="F213" s="3">
        <f t="shared" si="63"/>
        <v>43.68</v>
      </c>
      <c r="G213" s="3">
        <f t="shared" si="64"/>
        <v>112.8</v>
      </c>
      <c r="H213" s="3">
        <f t="shared" si="65"/>
        <v>112.8</v>
      </c>
      <c r="I213" s="3"/>
      <c r="J213" s="3">
        <f t="shared" si="66"/>
        <v>81.405377952755913</v>
      </c>
      <c r="K213" s="3">
        <f t="shared" si="67"/>
        <v>87.5</v>
      </c>
      <c r="L213" s="34">
        <f t="shared" si="68"/>
        <v>83.75</v>
      </c>
      <c r="M213" s="3">
        <f t="shared" si="69"/>
        <v>-11.32</v>
      </c>
      <c r="N213" s="3">
        <f t="shared" si="70"/>
        <v>149.12</v>
      </c>
      <c r="O213" s="3"/>
      <c r="P213" s="3">
        <f t="shared" si="71"/>
        <v>89.304629921259846</v>
      </c>
      <c r="Q213" s="3">
        <f t="shared" si="72"/>
        <v>130.43665889763778</v>
      </c>
      <c r="R213" s="3">
        <f>vd(DataTable[[#This Row],[Sentido]],DataTable[[#This Row],[Valor]])</f>
        <v>96.677165354330711</v>
      </c>
      <c r="S213" s="3">
        <f>IF(DataTable[[#This Row],[Valor]]&gt;1,1,1)</f>
        <v>1</v>
      </c>
      <c r="T213" s="3">
        <f>IF(DataTable[[#This Row],[Valor]]&gt;1,1,1)</f>
        <v>1</v>
      </c>
      <c r="U213" s="3">
        <f>angr(DataTable[[#This Row],[Sentido]],DataTable[[#This Row],[Valor]])</f>
        <v>43.818110236220477</v>
      </c>
      <c r="V213" s="3">
        <f>ANGI(DataTable[[#This Row],[Sentido]],DataTable[[#This Row],[Valor]])</f>
        <v>46.318110236220477</v>
      </c>
      <c r="W213" s="3">
        <f t="shared" si="73"/>
        <v>3</v>
      </c>
      <c r="X213" s="3">
        <f>IF(DataTable[[#This Row],[Valor]]&gt;1,1,1)</f>
        <v>1</v>
      </c>
      <c r="Y213" s="3">
        <f t="shared" si="74"/>
        <v>3</v>
      </c>
      <c r="Z213" s="3">
        <f>IF(AND(DataTable[[#This Row],[Sentido]]="URUGUAI para BRASIL",DataTable[[#This Row],[Valor]]&gt;350),1,0)</f>
        <v>0</v>
      </c>
      <c r="AA213" s="3">
        <f>IF(DataTable[[#This Row],[Valor]]&gt;1,0,0)</f>
        <v>0</v>
      </c>
    </row>
    <row r="214" spans="1:27" x14ac:dyDescent="0.25">
      <c r="A214" s="2" t="s">
        <v>21</v>
      </c>
      <c r="B214" s="2">
        <v>262</v>
      </c>
      <c r="C214" s="3">
        <f t="shared" si="60"/>
        <v>81.25</v>
      </c>
      <c r="D214" s="3">
        <f t="shared" si="61"/>
        <v>87.5</v>
      </c>
      <c r="E214" s="3">
        <f t="shared" si="62"/>
        <v>83.75</v>
      </c>
      <c r="F214" s="3">
        <f t="shared" si="63"/>
        <v>43.56</v>
      </c>
      <c r="G214" s="3">
        <f t="shared" si="64"/>
        <v>112.6</v>
      </c>
      <c r="H214" s="3">
        <f t="shared" si="65"/>
        <v>112.6</v>
      </c>
      <c r="I214" s="3"/>
      <c r="J214" s="3">
        <f t="shared" si="66"/>
        <v>82.336495275590551</v>
      </c>
      <c r="K214" s="3">
        <f t="shared" si="67"/>
        <v>87.5</v>
      </c>
      <c r="L214" s="34">
        <f t="shared" si="68"/>
        <v>83.75</v>
      </c>
      <c r="M214" s="3">
        <f t="shared" si="69"/>
        <v>-11.44</v>
      </c>
      <c r="N214" s="3">
        <f t="shared" si="70"/>
        <v>149.04</v>
      </c>
      <c r="O214" s="3"/>
      <c r="P214" s="3">
        <f t="shared" si="71"/>
        <v>89.557291338582672</v>
      </c>
      <c r="Q214" s="3">
        <f t="shared" si="72"/>
        <v>131.20031874015746</v>
      </c>
      <c r="R214" s="3">
        <f>vd(DataTable[[#This Row],[Sentido]],DataTable[[#This Row],[Valor]])</f>
        <v>96.988188976377955</v>
      </c>
      <c r="S214" s="3">
        <f>IF(DataTable[[#This Row],[Valor]]&gt;1,1,1)</f>
        <v>1</v>
      </c>
      <c r="T214" s="3">
        <f>IF(DataTable[[#This Row],[Valor]]&gt;1,1,1)</f>
        <v>1</v>
      </c>
      <c r="U214" s="3">
        <f>angr(DataTable[[#This Row],[Sentido]],DataTable[[#This Row],[Valor]])</f>
        <v>43.692125984251973</v>
      </c>
      <c r="V214" s="3">
        <f>ANGI(DataTable[[#This Row],[Sentido]],DataTable[[#This Row],[Valor]])</f>
        <v>46.192125984251973</v>
      </c>
      <c r="W214" s="3">
        <f t="shared" si="73"/>
        <v>3</v>
      </c>
      <c r="X214" s="3">
        <f>IF(DataTable[[#This Row],[Valor]]&gt;1,1,1)</f>
        <v>1</v>
      </c>
      <c r="Y214" s="3">
        <f t="shared" si="74"/>
        <v>3</v>
      </c>
      <c r="Z214" s="3">
        <f>IF(AND(DataTable[[#This Row],[Sentido]]="URUGUAI para BRASIL",DataTable[[#This Row],[Valor]]&gt;350),1,0)</f>
        <v>0</v>
      </c>
      <c r="AA214" s="3">
        <f>IF(DataTable[[#This Row],[Valor]]&gt;1,0,0)</f>
        <v>0</v>
      </c>
    </row>
    <row r="215" spans="1:27" x14ac:dyDescent="0.25">
      <c r="A215" s="2" t="s">
        <v>21</v>
      </c>
      <c r="B215" s="2">
        <v>263</v>
      </c>
      <c r="C215" s="3">
        <f t="shared" si="60"/>
        <v>81.25</v>
      </c>
      <c r="D215" s="3">
        <f t="shared" si="61"/>
        <v>87.5</v>
      </c>
      <c r="E215" s="3">
        <f t="shared" si="62"/>
        <v>83.75</v>
      </c>
      <c r="F215" s="3">
        <f t="shared" si="63"/>
        <v>43.44</v>
      </c>
      <c r="G215" s="3">
        <f t="shared" si="64"/>
        <v>112.4</v>
      </c>
      <c r="H215" s="3">
        <f t="shared" si="65"/>
        <v>112.4</v>
      </c>
      <c r="I215" s="3"/>
      <c r="J215" s="3">
        <f t="shared" si="66"/>
        <v>82.408719685039372</v>
      </c>
      <c r="K215" s="3">
        <f t="shared" si="67"/>
        <v>87.5</v>
      </c>
      <c r="L215" s="34">
        <f t="shared" si="68"/>
        <v>83.75</v>
      </c>
      <c r="M215" s="3">
        <f t="shared" si="69"/>
        <v>-11.56</v>
      </c>
      <c r="N215" s="3">
        <f t="shared" si="70"/>
        <v>148.96</v>
      </c>
      <c r="O215" s="3"/>
      <c r="P215" s="3">
        <f t="shared" si="71"/>
        <v>89.809952755905513</v>
      </c>
      <c r="Q215" s="3">
        <f t="shared" si="72"/>
        <v>131.96397858267716</v>
      </c>
      <c r="R215" s="3">
        <f>vd(DataTable[[#This Row],[Sentido]],DataTable[[#This Row],[Valor]])</f>
        <v>97.2992125984252</v>
      </c>
      <c r="S215" s="3">
        <f>IF(DataTable[[#This Row],[Valor]]&gt;1,1,1)</f>
        <v>1</v>
      </c>
      <c r="T215" s="3">
        <f>IF(DataTable[[#This Row],[Valor]]&gt;1,1,1)</f>
        <v>1</v>
      </c>
      <c r="U215" s="3">
        <f>angr(DataTable[[#This Row],[Sentido]],DataTable[[#This Row],[Valor]])</f>
        <v>43.566141732283462</v>
      </c>
      <c r="V215" s="3">
        <f>ANGI(DataTable[[#This Row],[Sentido]],DataTable[[#This Row],[Valor]])</f>
        <v>46.066141732283462</v>
      </c>
      <c r="W215" s="3">
        <f t="shared" si="73"/>
        <v>3</v>
      </c>
      <c r="X215" s="3">
        <f>IF(DataTable[[#This Row],[Valor]]&gt;1,1,1)</f>
        <v>1</v>
      </c>
      <c r="Y215" s="3">
        <f t="shared" si="74"/>
        <v>3</v>
      </c>
      <c r="Z215" s="3">
        <f>IF(AND(DataTable[[#This Row],[Sentido]]="URUGUAI para BRASIL",DataTable[[#This Row],[Valor]]&gt;350),1,0)</f>
        <v>0</v>
      </c>
      <c r="AA215" s="3">
        <f>IF(DataTable[[#This Row],[Valor]]&gt;1,0,0)</f>
        <v>0</v>
      </c>
    </row>
    <row r="216" spans="1:27" x14ac:dyDescent="0.25">
      <c r="A216" s="2" t="s">
        <v>21</v>
      </c>
      <c r="B216" s="2">
        <v>264</v>
      </c>
      <c r="C216" s="3">
        <f t="shared" si="60"/>
        <v>81.25</v>
      </c>
      <c r="D216" s="3">
        <f t="shared" si="61"/>
        <v>87.5</v>
      </c>
      <c r="E216" s="3">
        <f t="shared" si="62"/>
        <v>83.75</v>
      </c>
      <c r="F216" s="3">
        <f t="shared" si="63"/>
        <v>43.32</v>
      </c>
      <c r="G216" s="3">
        <f t="shared" si="64"/>
        <v>112.2</v>
      </c>
      <c r="H216" s="3">
        <f t="shared" si="65"/>
        <v>112.2</v>
      </c>
      <c r="I216" s="3"/>
      <c r="J216" s="3">
        <f t="shared" si="66"/>
        <v>82.480944094488194</v>
      </c>
      <c r="K216" s="3">
        <f t="shared" si="67"/>
        <v>87.5</v>
      </c>
      <c r="L216" s="34">
        <f t="shared" si="68"/>
        <v>83.75</v>
      </c>
      <c r="M216" s="3">
        <f t="shared" si="69"/>
        <v>-11.68</v>
      </c>
      <c r="N216" s="3">
        <f t="shared" si="70"/>
        <v>148.88</v>
      </c>
      <c r="O216" s="3"/>
      <c r="P216" s="3">
        <f t="shared" si="71"/>
        <v>90.062614173228354</v>
      </c>
      <c r="Q216" s="3">
        <f t="shared" si="72"/>
        <v>132.72763842519686</v>
      </c>
      <c r="R216" s="3">
        <f>vd(DataTable[[#This Row],[Sentido]],DataTable[[#This Row],[Valor]])</f>
        <v>97.610236220472444</v>
      </c>
      <c r="S216" s="3">
        <f>IF(DataTable[[#This Row],[Valor]]&gt;1,1,1)</f>
        <v>1</v>
      </c>
      <c r="T216" s="3">
        <f>IF(DataTable[[#This Row],[Valor]]&gt;1,1,1)</f>
        <v>1</v>
      </c>
      <c r="U216" s="3">
        <f>angr(DataTable[[#This Row],[Sentido]],DataTable[[#This Row],[Valor]])</f>
        <v>43.440157480314966</v>
      </c>
      <c r="V216" s="3">
        <f>ANGI(DataTable[[#This Row],[Sentido]],DataTable[[#This Row],[Valor]])</f>
        <v>45.940157480314966</v>
      </c>
      <c r="W216" s="3">
        <f t="shared" si="73"/>
        <v>3</v>
      </c>
      <c r="X216" s="3">
        <f>IF(DataTable[[#This Row],[Valor]]&gt;1,1,1)</f>
        <v>1</v>
      </c>
      <c r="Y216" s="3">
        <f t="shared" si="74"/>
        <v>3</v>
      </c>
      <c r="Z216" s="3">
        <f>IF(AND(DataTable[[#This Row],[Sentido]]="URUGUAI para BRASIL",DataTable[[#This Row],[Valor]]&gt;350),1,0)</f>
        <v>0</v>
      </c>
      <c r="AA216" s="3">
        <f>IF(DataTable[[#This Row],[Valor]]&gt;1,0,0)</f>
        <v>0</v>
      </c>
    </row>
    <row r="217" spans="1:27" x14ac:dyDescent="0.25">
      <c r="A217" s="2" t="s">
        <v>21</v>
      </c>
      <c r="B217" s="2">
        <v>265</v>
      </c>
      <c r="C217" s="3">
        <f t="shared" si="60"/>
        <v>81.535468503937011</v>
      </c>
      <c r="D217" s="3">
        <f t="shared" si="61"/>
        <v>87.785468503937011</v>
      </c>
      <c r="E217" s="3">
        <f t="shared" si="62"/>
        <v>84.035468503937011</v>
      </c>
      <c r="F217" s="3">
        <f t="shared" si="63"/>
        <v>43.2</v>
      </c>
      <c r="G217" s="3">
        <f t="shared" si="64"/>
        <v>112</v>
      </c>
      <c r="H217" s="3">
        <f t="shared" si="65"/>
        <v>112</v>
      </c>
      <c r="I217" s="3"/>
      <c r="J217" s="3">
        <f t="shared" si="66"/>
        <v>82.553168503937002</v>
      </c>
      <c r="K217" s="3">
        <f t="shared" si="67"/>
        <v>87.785468503937011</v>
      </c>
      <c r="L217" s="34">
        <f t="shared" si="68"/>
        <v>84.035468503937011</v>
      </c>
      <c r="M217" s="3">
        <f t="shared" si="69"/>
        <v>-11.8</v>
      </c>
      <c r="N217" s="3">
        <f t="shared" si="70"/>
        <v>148.80000000000001</v>
      </c>
      <c r="O217" s="3"/>
      <c r="P217" s="3">
        <f t="shared" si="71"/>
        <v>90.315275590551181</v>
      </c>
      <c r="Q217" s="3">
        <f t="shared" si="72"/>
        <v>132.83513700787404</v>
      </c>
      <c r="R217" s="3">
        <f>vd(DataTable[[#This Row],[Sentido]],DataTable[[#This Row],[Valor]])</f>
        <v>97.921259842519689</v>
      </c>
      <c r="S217" s="3">
        <f>IF(DataTable[[#This Row],[Valor]]&gt;1,1,1)</f>
        <v>1</v>
      </c>
      <c r="T217" s="3">
        <f>IF(DataTable[[#This Row],[Valor]]&gt;1,1,1)</f>
        <v>1</v>
      </c>
      <c r="U217" s="3">
        <f>angr(DataTable[[#This Row],[Sentido]],DataTable[[#This Row],[Valor]])</f>
        <v>43.314173228346462</v>
      </c>
      <c r="V217" s="3">
        <f>ANGI(DataTable[[#This Row],[Sentido]],DataTable[[#This Row],[Valor]])</f>
        <v>45.814173228346462</v>
      </c>
      <c r="W217" s="3">
        <f t="shared" si="73"/>
        <v>3</v>
      </c>
      <c r="X217" s="3">
        <f>IF(DataTable[[#This Row],[Valor]]&gt;1,1,1)</f>
        <v>1</v>
      </c>
      <c r="Y217" s="3">
        <f t="shared" si="74"/>
        <v>3</v>
      </c>
      <c r="Z217" s="3">
        <f>IF(AND(DataTable[[#This Row],[Sentido]]="URUGUAI para BRASIL",DataTable[[#This Row],[Valor]]&gt;350),1,0)</f>
        <v>0</v>
      </c>
      <c r="AA217" s="3">
        <f>IF(DataTable[[#This Row],[Valor]]&gt;1,0,0)</f>
        <v>0</v>
      </c>
    </row>
    <row r="218" spans="1:27" x14ac:dyDescent="0.25">
      <c r="A218" s="2" t="s">
        <v>21</v>
      </c>
      <c r="B218" s="2">
        <v>266</v>
      </c>
      <c r="C218" s="3">
        <f t="shared" si="60"/>
        <v>81.607692913385833</v>
      </c>
      <c r="D218" s="3">
        <f t="shared" si="61"/>
        <v>87.857692913385833</v>
      </c>
      <c r="E218" s="3">
        <f t="shared" si="62"/>
        <v>84.107692913385833</v>
      </c>
      <c r="F218" s="3">
        <f t="shared" si="63"/>
        <v>43.08</v>
      </c>
      <c r="G218" s="3">
        <f t="shared" si="64"/>
        <v>111.8</v>
      </c>
      <c r="H218" s="3">
        <f t="shared" si="65"/>
        <v>111.8</v>
      </c>
      <c r="I218" s="3"/>
      <c r="J218" s="3">
        <f t="shared" si="66"/>
        <v>82.625392913385824</v>
      </c>
      <c r="K218" s="3">
        <f t="shared" si="67"/>
        <v>87.857692913385833</v>
      </c>
      <c r="L218" s="34">
        <f t="shared" si="68"/>
        <v>84.107692913385833</v>
      </c>
      <c r="M218" s="3">
        <f t="shared" si="69"/>
        <v>-11.92</v>
      </c>
      <c r="N218" s="3">
        <f t="shared" si="70"/>
        <v>148.72</v>
      </c>
      <c r="O218" s="3"/>
      <c r="P218" s="3">
        <f t="shared" si="71"/>
        <v>90.567937007874022</v>
      </c>
      <c r="Q218" s="3">
        <f t="shared" si="72"/>
        <v>132.94058582677167</v>
      </c>
      <c r="R218" s="3">
        <f>vd(DataTable[[#This Row],[Sentido]],DataTable[[#This Row],[Valor]])</f>
        <v>98.232283464566933</v>
      </c>
      <c r="S218" s="3">
        <f>IF(DataTable[[#This Row],[Valor]]&gt;1,1,1)</f>
        <v>1</v>
      </c>
      <c r="T218" s="3">
        <f>IF(DataTable[[#This Row],[Valor]]&gt;1,1,1)</f>
        <v>1</v>
      </c>
      <c r="U218" s="3">
        <f>angr(DataTable[[#This Row],[Sentido]],DataTable[[#This Row],[Valor]])</f>
        <v>43.188188976377951</v>
      </c>
      <c r="V218" s="3">
        <f>ANGI(DataTable[[#This Row],[Sentido]],DataTable[[#This Row],[Valor]])</f>
        <v>45.688188976377951</v>
      </c>
      <c r="W218" s="3">
        <f t="shared" si="73"/>
        <v>3</v>
      </c>
      <c r="X218" s="3">
        <f>IF(DataTable[[#This Row],[Valor]]&gt;1,1,1)</f>
        <v>1</v>
      </c>
      <c r="Y218" s="3">
        <f t="shared" si="74"/>
        <v>3</v>
      </c>
      <c r="Z218" s="3">
        <f>IF(AND(DataTable[[#This Row],[Sentido]]="URUGUAI para BRASIL",DataTable[[#This Row],[Valor]]&gt;350),1,0)</f>
        <v>0</v>
      </c>
      <c r="AA218" s="3">
        <f>IF(DataTable[[#This Row],[Valor]]&gt;1,0,0)</f>
        <v>0</v>
      </c>
    </row>
    <row r="219" spans="1:27" x14ac:dyDescent="0.25">
      <c r="A219" s="2" t="s">
        <v>21</v>
      </c>
      <c r="B219" s="2">
        <v>267</v>
      </c>
      <c r="C219" s="3">
        <f t="shared" si="60"/>
        <v>81.67991732283464</v>
      </c>
      <c r="D219" s="3">
        <f t="shared" si="61"/>
        <v>87.92991732283464</v>
      </c>
      <c r="E219" s="3">
        <f t="shared" si="62"/>
        <v>84.17991732283464</v>
      </c>
      <c r="F219" s="3">
        <f t="shared" si="63"/>
        <v>42.96</v>
      </c>
      <c r="G219" s="3">
        <f t="shared" si="64"/>
        <v>111.6</v>
      </c>
      <c r="H219" s="3">
        <f t="shared" si="65"/>
        <v>111.6</v>
      </c>
      <c r="I219" s="3"/>
      <c r="J219" s="3">
        <f t="shared" si="66"/>
        <v>82.697617322834645</v>
      </c>
      <c r="K219" s="3">
        <f t="shared" si="67"/>
        <v>87.92991732283464</v>
      </c>
      <c r="L219" s="34">
        <f t="shared" si="68"/>
        <v>84.17991732283464</v>
      </c>
      <c r="M219" s="3">
        <f t="shared" si="69"/>
        <v>-12.04</v>
      </c>
      <c r="N219" s="3">
        <f t="shared" si="70"/>
        <v>148.63999999999999</v>
      </c>
      <c r="O219" s="3"/>
      <c r="P219" s="3">
        <f t="shared" si="71"/>
        <v>90.820598425196849</v>
      </c>
      <c r="Q219" s="3">
        <f t="shared" si="72"/>
        <v>133.04603464566929</v>
      </c>
      <c r="R219" s="3">
        <f>vd(DataTable[[#This Row],[Sentido]],DataTable[[#This Row],[Valor]])</f>
        <v>98.543307086614178</v>
      </c>
      <c r="S219" s="3">
        <f>IF(DataTable[[#This Row],[Valor]]&gt;1,1,1)</f>
        <v>1</v>
      </c>
      <c r="T219" s="3">
        <f>IF(DataTable[[#This Row],[Valor]]&gt;1,1,1)</f>
        <v>1</v>
      </c>
      <c r="U219" s="3">
        <f>angr(DataTable[[#This Row],[Sentido]],DataTable[[#This Row],[Valor]])</f>
        <v>43.062204724409447</v>
      </c>
      <c r="V219" s="3">
        <f>ANGI(DataTable[[#This Row],[Sentido]],DataTable[[#This Row],[Valor]])</f>
        <v>45.562204724409447</v>
      </c>
      <c r="W219" s="3">
        <f t="shared" si="73"/>
        <v>3</v>
      </c>
      <c r="X219" s="3">
        <f>IF(DataTable[[#This Row],[Valor]]&gt;1,1,1)</f>
        <v>1</v>
      </c>
      <c r="Y219" s="3">
        <f t="shared" si="74"/>
        <v>3</v>
      </c>
      <c r="Z219" s="3">
        <f>IF(AND(DataTable[[#This Row],[Sentido]]="URUGUAI para BRASIL",DataTable[[#This Row],[Valor]]&gt;350),1,0)</f>
        <v>0</v>
      </c>
      <c r="AA219" s="3">
        <f>IF(DataTable[[#This Row],[Valor]]&gt;1,0,0)</f>
        <v>0</v>
      </c>
    </row>
    <row r="220" spans="1:27" x14ac:dyDescent="0.25">
      <c r="A220" s="2" t="s">
        <v>21</v>
      </c>
      <c r="B220" s="2">
        <v>268</v>
      </c>
      <c r="C220" s="3">
        <f t="shared" si="60"/>
        <v>81.752141732283462</v>
      </c>
      <c r="D220" s="3">
        <f t="shared" si="61"/>
        <v>88.002141732283462</v>
      </c>
      <c r="E220" s="3">
        <f t="shared" si="62"/>
        <v>84.252141732283462</v>
      </c>
      <c r="F220" s="3">
        <f t="shared" si="63"/>
        <v>42.84</v>
      </c>
      <c r="G220" s="3">
        <f t="shared" si="64"/>
        <v>111.4</v>
      </c>
      <c r="H220" s="3">
        <f t="shared" si="65"/>
        <v>111.4</v>
      </c>
      <c r="I220" s="3"/>
      <c r="J220" s="3">
        <f t="shared" si="66"/>
        <v>82.769841732283467</v>
      </c>
      <c r="K220" s="3">
        <f t="shared" si="67"/>
        <v>88.002141732283462</v>
      </c>
      <c r="L220" s="34">
        <f t="shared" si="68"/>
        <v>84.252141732283462</v>
      </c>
      <c r="M220" s="3">
        <f t="shared" si="69"/>
        <v>-12.16</v>
      </c>
      <c r="N220" s="3">
        <f t="shared" si="70"/>
        <v>148.56</v>
      </c>
      <c r="O220" s="3"/>
      <c r="P220" s="3">
        <f t="shared" si="71"/>
        <v>91.07325984251969</v>
      </c>
      <c r="Q220" s="3">
        <f t="shared" si="72"/>
        <v>133.15148346456692</v>
      </c>
      <c r="R220" s="3">
        <f>vd(DataTable[[#This Row],[Sentido]],DataTable[[#This Row],[Valor]])</f>
        <v>98.854330708661422</v>
      </c>
      <c r="S220" s="3">
        <f>IF(DataTable[[#This Row],[Valor]]&gt;1,1,1)</f>
        <v>1</v>
      </c>
      <c r="T220" s="3">
        <f>IF(DataTable[[#This Row],[Valor]]&gt;1,1,1)</f>
        <v>1</v>
      </c>
      <c r="U220" s="3">
        <f>angr(DataTable[[#This Row],[Sentido]],DataTable[[#This Row],[Valor]])</f>
        <v>42.936220472440944</v>
      </c>
      <c r="V220" s="3">
        <f>ANGI(DataTable[[#This Row],[Sentido]],DataTable[[#This Row],[Valor]])</f>
        <v>45.436220472440944</v>
      </c>
      <c r="W220" s="3">
        <f t="shared" si="73"/>
        <v>3</v>
      </c>
      <c r="X220" s="3">
        <f>IF(DataTable[[#This Row],[Valor]]&gt;1,1,1)</f>
        <v>1</v>
      </c>
      <c r="Y220" s="3">
        <f t="shared" si="74"/>
        <v>3</v>
      </c>
      <c r="Z220" s="3">
        <f>IF(AND(DataTable[[#This Row],[Sentido]]="URUGUAI para BRASIL",DataTable[[#This Row],[Valor]]&gt;350),1,0)</f>
        <v>0</v>
      </c>
      <c r="AA220" s="3">
        <f>IF(DataTable[[#This Row],[Valor]]&gt;1,0,0)</f>
        <v>0</v>
      </c>
    </row>
    <row r="221" spans="1:27" x14ac:dyDescent="0.25">
      <c r="A221" s="2" t="s">
        <v>21</v>
      </c>
      <c r="B221" s="2">
        <v>269</v>
      </c>
      <c r="C221" s="3">
        <f t="shared" si="60"/>
        <v>81.824366141732284</v>
      </c>
      <c r="D221" s="3">
        <f t="shared" si="61"/>
        <v>88.074366141732284</v>
      </c>
      <c r="E221" s="3">
        <f t="shared" si="62"/>
        <v>84.324366141732284</v>
      </c>
      <c r="F221" s="3">
        <f t="shared" si="63"/>
        <v>42.72</v>
      </c>
      <c r="G221" s="3">
        <f t="shared" si="64"/>
        <v>111.2</v>
      </c>
      <c r="H221" s="3">
        <f t="shared" si="65"/>
        <v>111.2</v>
      </c>
      <c r="I221" s="3"/>
      <c r="J221" s="3">
        <f t="shared" si="66"/>
        <v>82.842066141732289</v>
      </c>
      <c r="K221" s="3">
        <f t="shared" si="67"/>
        <v>88.074366141732284</v>
      </c>
      <c r="L221" s="34">
        <f t="shared" si="68"/>
        <v>84.324366141732284</v>
      </c>
      <c r="M221" s="3">
        <f t="shared" si="69"/>
        <v>-12.28</v>
      </c>
      <c r="N221" s="3">
        <f t="shared" si="70"/>
        <v>148.47999999999999</v>
      </c>
      <c r="O221" s="3"/>
      <c r="P221" s="3">
        <f t="shared" si="71"/>
        <v>91.325921259842517</v>
      </c>
      <c r="Q221" s="3">
        <f t="shared" si="72"/>
        <v>133.25693228346455</v>
      </c>
      <c r="R221" s="3">
        <f>vd(DataTable[[#This Row],[Sentido]],DataTable[[#This Row],[Valor]])</f>
        <v>99.165354330708652</v>
      </c>
      <c r="S221" s="3">
        <f>IF(DataTable[[#This Row],[Valor]]&gt;1,1,1)</f>
        <v>1</v>
      </c>
      <c r="T221" s="3">
        <f>IF(DataTable[[#This Row],[Valor]]&gt;1,1,1)</f>
        <v>1</v>
      </c>
      <c r="U221" s="3">
        <f>angr(DataTable[[#This Row],[Sentido]],DataTable[[#This Row],[Valor]])</f>
        <v>42.810236220472447</v>
      </c>
      <c r="V221" s="3">
        <f>ANGI(DataTable[[#This Row],[Sentido]],DataTable[[#This Row],[Valor]])</f>
        <v>45.310236220472447</v>
      </c>
      <c r="W221" s="3">
        <f t="shared" si="73"/>
        <v>3</v>
      </c>
      <c r="X221" s="3">
        <f>IF(DataTable[[#This Row],[Valor]]&gt;1,1,1)</f>
        <v>1</v>
      </c>
      <c r="Y221" s="3">
        <f t="shared" si="74"/>
        <v>3</v>
      </c>
      <c r="Z221" s="3">
        <f>IF(AND(DataTable[[#This Row],[Sentido]]="URUGUAI para BRASIL",DataTable[[#This Row],[Valor]]&gt;350),1,0)</f>
        <v>0</v>
      </c>
      <c r="AA221" s="3">
        <f>IF(DataTable[[#This Row],[Valor]]&gt;1,0,0)</f>
        <v>0</v>
      </c>
    </row>
    <row r="222" spans="1:27" x14ac:dyDescent="0.25">
      <c r="A222" s="2" t="s">
        <v>21</v>
      </c>
      <c r="B222" s="2">
        <v>270</v>
      </c>
      <c r="C222" s="3">
        <f t="shared" si="60"/>
        <v>81.896590551181106</v>
      </c>
      <c r="D222" s="3">
        <f t="shared" si="61"/>
        <v>88.146590551181106</v>
      </c>
      <c r="E222" s="3">
        <f t="shared" si="62"/>
        <v>84.396590551181106</v>
      </c>
      <c r="F222" s="3">
        <f t="shared" si="63"/>
        <v>42.6</v>
      </c>
      <c r="G222" s="3">
        <f t="shared" si="64"/>
        <v>111</v>
      </c>
      <c r="H222" s="3">
        <f t="shared" si="65"/>
        <v>111</v>
      </c>
      <c r="I222" s="3"/>
      <c r="J222" s="3">
        <f t="shared" si="66"/>
        <v>82.914290551181111</v>
      </c>
      <c r="K222" s="3">
        <f t="shared" si="67"/>
        <v>88.146590551181106</v>
      </c>
      <c r="L222" s="34">
        <f t="shared" si="68"/>
        <v>84.396590551181106</v>
      </c>
      <c r="M222" s="3">
        <f t="shared" si="69"/>
        <v>-12.4</v>
      </c>
      <c r="N222" s="3">
        <f t="shared" si="70"/>
        <v>148.4</v>
      </c>
      <c r="O222" s="3"/>
      <c r="P222" s="3">
        <f t="shared" si="71"/>
        <v>91.578582677165357</v>
      </c>
      <c r="Q222" s="3">
        <f t="shared" si="72"/>
        <v>133.36238110236221</v>
      </c>
      <c r="R222" s="3">
        <f>vd(DataTable[[#This Row],[Sentido]],DataTable[[#This Row],[Valor]])</f>
        <v>99.476377952755911</v>
      </c>
      <c r="S222" s="3">
        <f>IF(DataTable[[#This Row],[Valor]]&gt;1,1,1)</f>
        <v>1</v>
      </c>
      <c r="T222" s="3">
        <f>IF(DataTable[[#This Row],[Valor]]&gt;1,1,1)</f>
        <v>1</v>
      </c>
      <c r="U222" s="3">
        <f>angr(DataTable[[#This Row],[Sentido]],DataTable[[#This Row],[Valor]])</f>
        <v>42.684251968503936</v>
      </c>
      <c r="V222" s="3">
        <f>ANGI(DataTable[[#This Row],[Sentido]],DataTable[[#This Row],[Valor]])</f>
        <v>45.184251968503936</v>
      </c>
      <c r="W222" s="3">
        <f t="shared" si="73"/>
        <v>3</v>
      </c>
      <c r="X222" s="3">
        <f>IF(DataTable[[#This Row],[Valor]]&gt;1,1,1)</f>
        <v>1</v>
      </c>
      <c r="Y222" s="3">
        <f t="shared" si="74"/>
        <v>3</v>
      </c>
      <c r="Z222" s="3">
        <f>IF(AND(DataTable[[#This Row],[Sentido]]="URUGUAI para BRASIL",DataTable[[#This Row],[Valor]]&gt;350),1,0)</f>
        <v>0</v>
      </c>
      <c r="AA222" s="3">
        <f>IF(DataTable[[#This Row],[Valor]]&gt;1,0,0)</f>
        <v>0</v>
      </c>
    </row>
    <row r="223" spans="1:27" x14ac:dyDescent="0.25">
      <c r="A223" s="2" t="s">
        <v>21</v>
      </c>
      <c r="B223" s="2">
        <v>271</v>
      </c>
      <c r="C223" s="3">
        <f t="shared" si="60"/>
        <v>81.968814960629928</v>
      </c>
      <c r="D223" s="3">
        <f t="shared" si="61"/>
        <v>88.218814960629928</v>
      </c>
      <c r="E223" s="3">
        <f t="shared" si="62"/>
        <v>84.468814960629928</v>
      </c>
      <c r="F223" s="3">
        <f t="shared" si="63"/>
        <v>42.480000000000004</v>
      </c>
      <c r="G223" s="3">
        <f t="shared" si="64"/>
        <v>110.8</v>
      </c>
      <c r="H223" s="3">
        <f t="shared" si="65"/>
        <v>110.8</v>
      </c>
      <c r="I223" s="3"/>
      <c r="J223" s="3">
        <f t="shared" si="66"/>
        <v>82.986514960629918</v>
      </c>
      <c r="K223" s="3">
        <f t="shared" si="67"/>
        <v>88.218814960629928</v>
      </c>
      <c r="L223" s="34">
        <f t="shared" si="68"/>
        <v>84.468814960629928</v>
      </c>
      <c r="M223" s="3">
        <f t="shared" si="69"/>
        <v>-12.52</v>
      </c>
      <c r="N223" s="3">
        <f t="shared" si="70"/>
        <v>148.32</v>
      </c>
      <c r="O223" s="3"/>
      <c r="P223" s="3">
        <f t="shared" si="71"/>
        <v>91.831244094488198</v>
      </c>
      <c r="Q223" s="3">
        <f t="shared" si="72"/>
        <v>133.46782992125983</v>
      </c>
      <c r="R223" s="3">
        <f>vd(DataTable[[#This Row],[Sentido]],DataTable[[#This Row],[Valor]])</f>
        <v>99.787401574803155</v>
      </c>
      <c r="S223" s="3">
        <f>IF(DataTable[[#This Row],[Valor]]&gt;1,1,1)</f>
        <v>1</v>
      </c>
      <c r="T223" s="3">
        <f>IF(DataTable[[#This Row],[Valor]]&gt;1,1,1)</f>
        <v>1</v>
      </c>
      <c r="U223" s="3">
        <f>angr(DataTable[[#This Row],[Sentido]],DataTable[[#This Row],[Valor]])</f>
        <v>42.558267716535433</v>
      </c>
      <c r="V223" s="3">
        <f>ANGI(DataTable[[#This Row],[Sentido]],DataTable[[#This Row],[Valor]])</f>
        <v>45.058267716535433</v>
      </c>
      <c r="W223" s="3">
        <f t="shared" si="73"/>
        <v>3</v>
      </c>
      <c r="X223" s="3">
        <f>IF(DataTable[[#This Row],[Valor]]&gt;1,1,1)</f>
        <v>1</v>
      </c>
      <c r="Y223" s="3">
        <f t="shared" si="74"/>
        <v>3</v>
      </c>
      <c r="Z223" s="3">
        <f>IF(AND(DataTable[[#This Row],[Sentido]]="URUGUAI para BRASIL",DataTable[[#This Row],[Valor]]&gt;350),1,0)</f>
        <v>0</v>
      </c>
      <c r="AA223" s="3">
        <f>IF(DataTable[[#This Row],[Valor]]&gt;1,0,0)</f>
        <v>0</v>
      </c>
    </row>
    <row r="224" spans="1:27" x14ac:dyDescent="0.25">
      <c r="A224" s="2" t="s">
        <v>21</v>
      </c>
      <c r="B224" s="2">
        <v>272</v>
      </c>
      <c r="C224" s="3">
        <f t="shared" si="60"/>
        <v>82.041039370078735</v>
      </c>
      <c r="D224" s="3">
        <f t="shared" si="61"/>
        <v>88.291039370078735</v>
      </c>
      <c r="E224" s="3">
        <f t="shared" si="62"/>
        <v>84.541039370078735</v>
      </c>
      <c r="F224" s="3">
        <f t="shared" si="63"/>
        <v>42.36</v>
      </c>
      <c r="G224" s="3">
        <f t="shared" si="64"/>
        <v>110.6</v>
      </c>
      <c r="H224" s="3">
        <f t="shared" si="65"/>
        <v>110.6</v>
      </c>
      <c r="I224" s="3"/>
      <c r="J224" s="3">
        <f t="shared" si="66"/>
        <v>83.05873937007874</v>
      </c>
      <c r="K224" s="3">
        <f t="shared" si="67"/>
        <v>88.291039370078735</v>
      </c>
      <c r="L224" s="34">
        <f t="shared" si="68"/>
        <v>84.541039370078735</v>
      </c>
      <c r="M224" s="3">
        <f t="shared" si="69"/>
        <v>-12.64</v>
      </c>
      <c r="N224" s="3">
        <f t="shared" si="70"/>
        <v>148.24</v>
      </c>
      <c r="O224" s="3"/>
      <c r="P224" s="3">
        <f t="shared" si="71"/>
        <v>92.083905511811025</v>
      </c>
      <c r="Q224" s="3">
        <f t="shared" si="72"/>
        <v>133.57327874015749</v>
      </c>
      <c r="R224" s="3">
        <f>vd(DataTable[[#This Row],[Sentido]],DataTable[[#This Row],[Valor]])</f>
        <v>100.0984251968504</v>
      </c>
      <c r="S224" s="3">
        <f>IF(DataTable[[#This Row],[Valor]]&gt;1,1,1)</f>
        <v>1</v>
      </c>
      <c r="T224" s="3">
        <f>IF(DataTable[[#This Row],[Valor]]&gt;1,1,1)</f>
        <v>1</v>
      </c>
      <c r="U224" s="3">
        <f>angr(DataTable[[#This Row],[Sentido]],DataTable[[#This Row],[Valor]])</f>
        <v>42.432283464566929</v>
      </c>
      <c r="V224" s="3">
        <f>ANGI(DataTable[[#This Row],[Sentido]],DataTable[[#This Row],[Valor]])</f>
        <v>44.932283464566929</v>
      </c>
      <c r="W224" s="3">
        <f t="shared" si="73"/>
        <v>3</v>
      </c>
      <c r="X224" s="3">
        <f>IF(DataTable[[#This Row],[Valor]]&gt;1,1,1)</f>
        <v>1</v>
      </c>
      <c r="Y224" s="3">
        <f t="shared" si="74"/>
        <v>3</v>
      </c>
      <c r="Z224" s="3">
        <f>IF(AND(DataTable[[#This Row],[Sentido]]="URUGUAI para BRASIL",DataTable[[#This Row],[Valor]]&gt;350),1,0)</f>
        <v>0</v>
      </c>
      <c r="AA224" s="3">
        <f>IF(DataTable[[#This Row],[Valor]]&gt;1,0,0)</f>
        <v>0</v>
      </c>
    </row>
    <row r="225" spans="1:27" x14ac:dyDescent="0.25">
      <c r="A225" s="2" t="s">
        <v>21</v>
      </c>
      <c r="B225" s="2">
        <v>273</v>
      </c>
      <c r="C225" s="3">
        <f t="shared" si="60"/>
        <v>82.113263779527557</v>
      </c>
      <c r="D225" s="3">
        <f t="shared" si="61"/>
        <v>88.363263779527557</v>
      </c>
      <c r="E225" s="3">
        <f t="shared" si="62"/>
        <v>84.613263779527557</v>
      </c>
      <c r="F225" s="3">
        <f t="shared" si="63"/>
        <v>42.239999999999995</v>
      </c>
      <c r="G225" s="3">
        <f t="shared" si="64"/>
        <v>110.4</v>
      </c>
      <c r="H225" s="3">
        <f t="shared" si="65"/>
        <v>110.4</v>
      </c>
      <c r="I225" s="3"/>
      <c r="J225" s="3">
        <f t="shared" si="66"/>
        <v>83.130963779527562</v>
      </c>
      <c r="K225" s="3">
        <f t="shared" si="67"/>
        <v>88.363263779527557</v>
      </c>
      <c r="L225" s="34">
        <f t="shared" si="68"/>
        <v>84.613263779527557</v>
      </c>
      <c r="M225" s="3">
        <f t="shared" si="69"/>
        <v>-12.76</v>
      </c>
      <c r="N225" s="3">
        <f t="shared" si="70"/>
        <v>148.16</v>
      </c>
      <c r="O225" s="3"/>
      <c r="P225" s="3">
        <f t="shared" si="71"/>
        <v>92.336566929133852</v>
      </c>
      <c r="Q225" s="3">
        <f t="shared" si="72"/>
        <v>133.67872755905512</v>
      </c>
      <c r="R225" s="3">
        <f>vd(DataTable[[#This Row],[Sentido]],DataTable[[#This Row],[Valor]])</f>
        <v>100.40944881889764</v>
      </c>
      <c r="S225" s="3">
        <f>IF(DataTable[[#This Row],[Valor]]&gt;1,1,1)</f>
        <v>1</v>
      </c>
      <c r="T225" s="3">
        <f>IF(DataTable[[#This Row],[Valor]]&gt;1,1,1)</f>
        <v>1</v>
      </c>
      <c r="U225" s="3">
        <f>angr(DataTable[[#This Row],[Sentido]],DataTable[[#This Row],[Valor]])</f>
        <v>42.306299212598425</v>
      </c>
      <c r="V225" s="3">
        <f>ANGI(DataTable[[#This Row],[Sentido]],DataTable[[#This Row],[Valor]])</f>
        <v>44.806299212598425</v>
      </c>
      <c r="W225" s="3">
        <f t="shared" si="73"/>
        <v>3</v>
      </c>
      <c r="X225" s="3">
        <f>IF(DataTable[[#This Row],[Valor]]&gt;1,1,1)</f>
        <v>1</v>
      </c>
      <c r="Y225" s="3">
        <f t="shared" si="74"/>
        <v>3</v>
      </c>
      <c r="Z225" s="3">
        <f>IF(AND(DataTable[[#This Row],[Sentido]]="URUGUAI para BRASIL",DataTable[[#This Row],[Valor]]&gt;350),1,0)</f>
        <v>0</v>
      </c>
      <c r="AA225" s="3">
        <f>IF(DataTable[[#This Row],[Valor]]&gt;1,0,0)</f>
        <v>0</v>
      </c>
    </row>
    <row r="226" spans="1:27" x14ac:dyDescent="0.25">
      <c r="A226" s="2" t="s">
        <v>21</v>
      </c>
      <c r="B226" s="2">
        <v>274</v>
      </c>
      <c r="C226" s="3">
        <f t="shared" si="60"/>
        <v>82.185488188976379</v>
      </c>
      <c r="D226" s="3">
        <f t="shared" si="61"/>
        <v>88.435488188976379</v>
      </c>
      <c r="E226" s="3">
        <f t="shared" si="62"/>
        <v>84.685488188976379</v>
      </c>
      <c r="F226" s="3">
        <f t="shared" si="63"/>
        <v>42.120000000000005</v>
      </c>
      <c r="G226" s="3">
        <f t="shared" si="64"/>
        <v>110.2</v>
      </c>
      <c r="H226" s="3">
        <f t="shared" si="65"/>
        <v>110.2</v>
      </c>
      <c r="I226" s="3"/>
      <c r="J226" s="3">
        <f t="shared" si="66"/>
        <v>83.203188188976384</v>
      </c>
      <c r="K226" s="3">
        <f t="shared" si="67"/>
        <v>88.435488188976379</v>
      </c>
      <c r="L226" s="34">
        <f t="shared" si="68"/>
        <v>84.685488188976379</v>
      </c>
      <c r="M226" s="3">
        <f t="shared" si="69"/>
        <v>-12.879999999999999</v>
      </c>
      <c r="N226" s="3">
        <f t="shared" si="70"/>
        <v>148.08000000000001</v>
      </c>
      <c r="O226" s="3"/>
      <c r="P226" s="3">
        <f t="shared" si="71"/>
        <v>92.589228346456693</v>
      </c>
      <c r="Q226" s="3">
        <f t="shared" si="72"/>
        <v>133.78417637795275</v>
      </c>
      <c r="R226" s="3">
        <f>vd(DataTable[[#This Row],[Sentido]],DataTable[[#This Row],[Valor]])</f>
        <v>100.72047244094489</v>
      </c>
      <c r="S226" s="3">
        <f>IF(DataTable[[#This Row],[Valor]]&gt;1,1,1)</f>
        <v>1</v>
      </c>
      <c r="T226" s="3">
        <f>IF(DataTable[[#This Row],[Valor]]&gt;1,1,1)</f>
        <v>1</v>
      </c>
      <c r="U226" s="3">
        <f>angr(DataTable[[#This Row],[Sentido]],DataTable[[#This Row],[Valor]])</f>
        <v>42.180314960629921</v>
      </c>
      <c r="V226" s="3">
        <f>ANGI(DataTable[[#This Row],[Sentido]],DataTable[[#This Row],[Valor]])</f>
        <v>44.680314960629921</v>
      </c>
      <c r="W226" s="3">
        <f t="shared" si="73"/>
        <v>3</v>
      </c>
      <c r="X226" s="3">
        <f>IF(DataTable[[#This Row],[Valor]]&gt;1,1,1)</f>
        <v>1</v>
      </c>
      <c r="Y226" s="3">
        <f t="shared" si="74"/>
        <v>3</v>
      </c>
      <c r="Z226" s="3">
        <f>IF(AND(DataTable[[#This Row],[Sentido]]="URUGUAI para BRASIL",DataTable[[#This Row],[Valor]]&gt;350),1,0)</f>
        <v>0</v>
      </c>
      <c r="AA226" s="3">
        <f>IF(DataTable[[#This Row],[Valor]]&gt;1,0,0)</f>
        <v>0</v>
      </c>
    </row>
    <row r="227" spans="1:27" x14ac:dyDescent="0.25">
      <c r="A227" s="2" t="s">
        <v>21</v>
      </c>
      <c r="B227" s="2">
        <v>275</v>
      </c>
      <c r="C227" s="3">
        <f t="shared" si="60"/>
        <v>82.257712598425201</v>
      </c>
      <c r="D227" s="3">
        <f t="shared" si="61"/>
        <v>88.507712598425201</v>
      </c>
      <c r="E227" s="3">
        <f t="shared" si="62"/>
        <v>84.757712598425201</v>
      </c>
      <c r="F227" s="3">
        <f t="shared" si="63"/>
        <v>42</v>
      </c>
      <c r="G227" s="3">
        <f t="shared" si="64"/>
        <v>110</v>
      </c>
      <c r="H227" s="3">
        <f t="shared" si="65"/>
        <v>110</v>
      </c>
      <c r="I227" s="3"/>
      <c r="J227" s="3">
        <f t="shared" si="66"/>
        <v>83.275412598425191</v>
      </c>
      <c r="K227" s="3">
        <f t="shared" si="67"/>
        <v>88.507712598425201</v>
      </c>
      <c r="L227" s="34">
        <f t="shared" si="68"/>
        <v>84.757712598425201</v>
      </c>
      <c r="M227" s="3">
        <f t="shared" si="69"/>
        <v>-13</v>
      </c>
      <c r="N227" s="3">
        <f t="shared" si="70"/>
        <v>148</v>
      </c>
      <c r="O227" s="3"/>
      <c r="P227" s="3">
        <f t="shared" si="71"/>
        <v>92.84188976377952</v>
      </c>
      <c r="Q227" s="3">
        <f t="shared" si="72"/>
        <v>133.8896251968504</v>
      </c>
      <c r="R227" s="3">
        <f>vd(DataTable[[#This Row],[Sentido]],DataTable[[#This Row],[Valor]])</f>
        <v>101.03149606299213</v>
      </c>
      <c r="S227" s="3">
        <f>IF(DataTable[[#This Row],[Valor]]&gt;1,1,1)</f>
        <v>1</v>
      </c>
      <c r="T227" s="3">
        <f>IF(DataTable[[#This Row],[Valor]]&gt;1,1,1)</f>
        <v>1</v>
      </c>
      <c r="U227" s="3">
        <f>angr(DataTable[[#This Row],[Sentido]],DataTable[[#This Row],[Valor]])</f>
        <v>42.054330708661418</v>
      </c>
      <c r="V227" s="3">
        <f>ANGI(DataTable[[#This Row],[Sentido]],DataTable[[#This Row],[Valor]])</f>
        <v>44.554330708661418</v>
      </c>
      <c r="W227" s="3">
        <f t="shared" si="73"/>
        <v>3</v>
      </c>
      <c r="X227" s="3">
        <f>IF(DataTable[[#This Row],[Valor]]&gt;1,1,1)</f>
        <v>1</v>
      </c>
      <c r="Y227" s="3">
        <f t="shared" si="74"/>
        <v>3</v>
      </c>
      <c r="Z227" s="3">
        <f>IF(AND(DataTable[[#This Row],[Sentido]]="URUGUAI para BRASIL",DataTable[[#This Row],[Valor]]&gt;350),1,0)</f>
        <v>0</v>
      </c>
      <c r="AA227" s="3">
        <f>IF(DataTable[[#This Row],[Valor]]&gt;1,0,0)</f>
        <v>0</v>
      </c>
    </row>
    <row r="228" spans="1:27" x14ac:dyDescent="0.25">
      <c r="A228" s="2" t="s">
        <v>21</v>
      </c>
      <c r="B228" s="2">
        <v>276</v>
      </c>
      <c r="C228" s="3">
        <f t="shared" si="60"/>
        <v>82.329937007874022</v>
      </c>
      <c r="D228" s="3">
        <f t="shared" si="61"/>
        <v>88.579937007874022</v>
      </c>
      <c r="E228" s="3">
        <f t="shared" si="62"/>
        <v>84.829937007874022</v>
      </c>
      <c r="F228" s="3">
        <f t="shared" si="63"/>
        <v>41.879999999999995</v>
      </c>
      <c r="G228" s="3">
        <f t="shared" si="64"/>
        <v>109.8</v>
      </c>
      <c r="H228" s="3">
        <f t="shared" si="65"/>
        <v>109.8</v>
      </c>
      <c r="I228" s="3"/>
      <c r="J228" s="3">
        <f t="shared" si="66"/>
        <v>83.347637007874013</v>
      </c>
      <c r="K228" s="3">
        <f t="shared" si="67"/>
        <v>88.579937007874022</v>
      </c>
      <c r="L228" s="34">
        <f t="shared" si="68"/>
        <v>84.829937007874022</v>
      </c>
      <c r="M228" s="3">
        <f t="shared" si="69"/>
        <v>-13.12</v>
      </c>
      <c r="N228" s="3">
        <f t="shared" si="70"/>
        <v>147.91999999999999</v>
      </c>
      <c r="O228" s="3"/>
      <c r="P228" s="3">
        <f t="shared" si="71"/>
        <v>93.094551181102375</v>
      </c>
      <c r="Q228" s="3">
        <f t="shared" si="72"/>
        <v>133.99507401574803</v>
      </c>
      <c r="R228" s="3">
        <f>vd(DataTable[[#This Row],[Sentido]],DataTable[[#This Row],[Valor]])</f>
        <v>101.34251968503938</v>
      </c>
      <c r="S228" s="3">
        <f>IF(DataTable[[#This Row],[Valor]]&gt;1,1,1)</f>
        <v>1</v>
      </c>
      <c r="T228" s="3">
        <f>IF(DataTable[[#This Row],[Valor]]&gt;1,1,1)</f>
        <v>1</v>
      </c>
      <c r="U228" s="3">
        <f>angr(DataTable[[#This Row],[Sentido]],DataTable[[#This Row],[Valor]])</f>
        <v>41.928346456692914</v>
      </c>
      <c r="V228" s="3">
        <f>ANGI(DataTable[[#This Row],[Sentido]],DataTable[[#This Row],[Valor]])</f>
        <v>44.428346456692914</v>
      </c>
      <c r="W228" s="3">
        <f t="shared" si="73"/>
        <v>3</v>
      </c>
      <c r="X228" s="3">
        <f>IF(DataTable[[#This Row],[Valor]]&gt;1,1,1)</f>
        <v>1</v>
      </c>
      <c r="Y228" s="3">
        <f t="shared" si="74"/>
        <v>3</v>
      </c>
      <c r="Z228" s="3">
        <f>IF(AND(DataTable[[#This Row],[Sentido]]="URUGUAI para BRASIL",DataTable[[#This Row],[Valor]]&gt;350),1,0)</f>
        <v>0</v>
      </c>
      <c r="AA228" s="3">
        <f>IF(DataTable[[#This Row],[Valor]]&gt;1,0,0)</f>
        <v>0</v>
      </c>
    </row>
    <row r="229" spans="1:27" x14ac:dyDescent="0.25">
      <c r="A229" s="2" t="s">
        <v>21</v>
      </c>
      <c r="B229" s="2">
        <v>277</v>
      </c>
      <c r="C229" s="3">
        <f t="shared" si="60"/>
        <v>82.40216141732283</v>
      </c>
      <c r="D229" s="3">
        <f t="shared" si="61"/>
        <v>88.65216141732283</v>
      </c>
      <c r="E229" s="3">
        <f t="shared" si="62"/>
        <v>84.90216141732283</v>
      </c>
      <c r="F229" s="3">
        <f t="shared" si="63"/>
        <v>41.760000000000005</v>
      </c>
      <c r="G229" s="3">
        <f t="shared" si="64"/>
        <v>109.6</v>
      </c>
      <c r="H229" s="3">
        <f t="shared" si="65"/>
        <v>109.6</v>
      </c>
      <c r="I229" s="3"/>
      <c r="J229" s="3">
        <f t="shared" si="66"/>
        <v>83.419861417322835</v>
      </c>
      <c r="K229" s="3">
        <f t="shared" si="67"/>
        <v>88.65216141732283</v>
      </c>
      <c r="L229" s="34">
        <f t="shared" si="68"/>
        <v>84.90216141732283</v>
      </c>
      <c r="M229" s="3">
        <f t="shared" si="69"/>
        <v>-13.24</v>
      </c>
      <c r="N229" s="3">
        <f t="shared" si="70"/>
        <v>147.84</v>
      </c>
      <c r="O229" s="3"/>
      <c r="P229" s="3">
        <f t="shared" si="71"/>
        <v>93.347212598425202</v>
      </c>
      <c r="Q229" s="3">
        <f t="shared" si="72"/>
        <v>134.10052283464569</v>
      </c>
      <c r="R229" s="3">
        <f>vd(DataTable[[#This Row],[Sentido]],DataTable[[#This Row],[Valor]])</f>
        <v>101.65354330708662</v>
      </c>
      <c r="S229" s="3">
        <f>IF(DataTable[[#This Row],[Valor]]&gt;1,1,1)</f>
        <v>1</v>
      </c>
      <c r="T229" s="3">
        <f>IF(DataTable[[#This Row],[Valor]]&gt;1,1,1)</f>
        <v>1</v>
      </c>
      <c r="U229" s="3">
        <f>angr(DataTable[[#This Row],[Sentido]],DataTable[[#This Row],[Valor]])</f>
        <v>41.80236220472441</v>
      </c>
      <c r="V229" s="3">
        <f>ANGI(DataTable[[#This Row],[Sentido]],DataTable[[#This Row],[Valor]])</f>
        <v>44.30236220472441</v>
      </c>
      <c r="W229" s="3">
        <f t="shared" si="73"/>
        <v>3</v>
      </c>
      <c r="X229" s="3">
        <f>IF(DataTable[[#This Row],[Valor]]&gt;1,1,1)</f>
        <v>1</v>
      </c>
      <c r="Y229" s="3">
        <f t="shared" si="74"/>
        <v>3</v>
      </c>
      <c r="Z229" s="3">
        <f>IF(AND(DataTable[[#This Row],[Sentido]]="URUGUAI para BRASIL",DataTable[[#This Row],[Valor]]&gt;350),1,0)</f>
        <v>0</v>
      </c>
      <c r="AA229" s="3">
        <f>IF(DataTable[[#This Row],[Valor]]&gt;1,0,0)</f>
        <v>0</v>
      </c>
    </row>
    <row r="230" spans="1:27" x14ac:dyDescent="0.25">
      <c r="A230" s="2" t="s">
        <v>21</v>
      </c>
      <c r="B230" s="2">
        <v>278</v>
      </c>
      <c r="C230" s="3">
        <f t="shared" si="60"/>
        <v>82.474385826771652</v>
      </c>
      <c r="D230" s="3">
        <f t="shared" si="61"/>
        <v>88.724385826771652</v>
      </c>
      <c r="E230" s="3">
        <f t="shared" si="62"/>
        <v>84.974385826771652</v>
      </c>
      <c r="F230" s="3">
        <f t="shared" si="63"/>
        <v>41.64</v>
      </c>
      <c r="G230" s="3">
        <f t="shared" si="64"/>
        <v>109.4</v>
      </c>
      <c r="H230" s="3">
        <f t="shared" si="65"/>
        <v>109.4</v>
      </c>
      <c r="I230" s="3"/>
      <c r="J230" s="3">
        <f t="shared" si="66"/>
        <v>83.492085826771657</v>
      </c>
      <c r="K230" s="3">
        <f t="shared" si="67"/>
        <v>88.724385826771652</v>
      </c>
      <c r="L230" s="34">
        <f t="shared" si="68"/>
        <v>84.974385826771652</v>
      </c>
      <c r="M230" s="3">
        <f t="shared" si="69"/>
        <v>-13.36</v>
      </c>
      <c r="N230" s="3">
        <f t="shared" si="70"/>
        <v>147.76</v>
      </c>
      <c r="O230" s="3"/>
      <c r="P230" s="3">
        <f t="shared" si="71"/>
        <v>93.599874015748043</v>
      </c>
      <c r="Q230" s="3">
        <f t="shared" si="72"/>
        <v>134.20597165354332</v>
      </c>
      <c r="R230" s="3">
        <f>vd(DataTable[[#This Row],[Sentido]],DataTable[[#This Row],[Valor]])</f>
        <v>101.96456692913387</v>
      </c>
      <c r="S230" s="3">
        <f>IF(DataTable[[#This Row],[Valor]]&gt;1,1,1)</f>
        <v>1</v>
      </c>
      <c r="T230" s="3">
        <f>IF(DataTable[[#This Row],[Valor]]&gt;1,1,1)</f>
        <v>1</v>
      </c>
      <c r="U230" s="3">
        <f>angr(DataTable[[#This Row],[Sentido]],DataTable[[#This Row],[Valor]])</f>
        <v>41.676377952755907</v>
      </c>
      <c r="V230" s="3">
        <f>ANGI(DataTable[[#This Row],[Sentido]],DataTable[[#This Row],[Valor]])</f>
        <v>44.176377952755907</v>
      </c>
      <c r="W230" s="3">
        <f t="shared" si="73"/>
        <v>3</v>
      </c>
      <c r="X230" s="3">
        <f>IF(DataTable[[#This Row],[Valor]]&gt;1,1,1)</f>
        <v>1</v>
      </c>
      <c r="Y230" s="3">
        <f t="shared" si="74"/>
        <v>3</v>
      </c>
      <c r="Z230" s="3">
        <f>IF(AND(DataTable[[#This Row],[Sentido]]="URUGUAI para BRASIL",DataTable[[#This Row],[Valor]]&gt;350),1,0)</f>
        <v>0</v>
      </c>
      <c r="AA230" s="3">
        <f>IF(DataTable[[#This Row],[Valor]]&gt;1,0,0)</f>
        <v>0</v>
      </c>
    </row>
    <row r="231" spans="1:27" x14ac:dyDescent="0.25">
      <c r="A231" s="2" t="s">
        <v>21</v>
      </c>
      <c r="B231" s="2">
        <v>279</v>
      </c>
      <c r="C231" s="3">
        <f t="shared" si="60"/>
        <v>82.546610236220474</v>
      </c>
      <c r="D231" s="3">
        <f t="shared" si="61"/>
        <v>88.796610236220474</v>
      </c>
      <c r="E231" s="3">
        <f t="shared" si="62"/>
        <v>85.046610236220474</v>
      </c>
      <c r="F231" s="3">
        <f t="shared" si="63"/>
        <v>41.519999999999996</v>
      </c>
      <c r="G231" s="3">
        <f t="shared" si="64"/>
        <v>109.2</v>
      </c>
      <c r="H231" s="3">
        <f t="shared" si="65"/>
        <v>109.2</v>
      </c>
      <c r="I231" s="3"/>
      <c r="J231" s="3">
        <f t="shared" si="66"/>
        <v>83.564310236220479</v>
      </c>
      <c r="K231" s="3">
        <f t="shared" si="67"/>
        <v>88.796610236220474</v>
      </c>
      <c r="L231" s="34">
        <f t="shared" si="68"/>
        <v>85.046610236220474</v>
      </c>
      <c r="M231" s="3">
        <f t="shared" si="69"/>
        <v>-13.48</v>
      </c>
      <c r="N231" s="3">
        <f t="shared" si="70"/>
        <v>147.68</v>
      </c>
      <c r="O231" s="3"/>
      <c r="P231" s="3">
        <f t="shared" si="71"/>
        <v>93.852535433070869</v>
      </c>
      <c r="Q231" s="3">
        <f t="shared" si="72"/>
        <v>134.31142047244094</v>
      </c>
      <c r="R231" s="3">
        <f>vd(DataTable[[#This Row],[Sentido]],DataTable[[#This Row],[Valor]])</f>
        <v>102.2755905511811</v>
      </c>
      <c r="S231" s="3">
        <f>IF(DataTable[[#This Row],[Valor]]&gt;1,1,1)</f>
        <v>1</v>
      </c>
      <c r="T231" s="3">
        <f>IF(DataTable[[#This Row],[Valor]]&gt;1,1,1)</f>
        <v>1</v>
      </c>
      <c r="U231" s="3">
        <f>angr(DataTable[[#This Row],[Sentido]],DataTable[[#This Row],[Valor]])</f>
        <v>41.550393700787403</v>
      </c>
      <c r="V231" s="3">
        <f>ANGI(DataTable[[#This Row],[Sentido]],DataTable[[#This Row],[Valor]])</f>
        <v>44.050393700787403</v>
      </c>
      <c r="W231" s="3">
        <f t="shared" si="73"/>
        <v>3</v>
      </c>
      <c r="X231" s="3">
        <f>IF(DataTable[[#This Row],[Valor]]&gt;1,1,1)</f>
        <v>1</v>
      </c>
      <c r="Y231" s="3">
        <f t="shared" si="74"/>
        <v>3</v>
      </c>
      <c r="Z231" s="3">
        <f>IF(AND(DataTable[[#This Row],[Sentido]]="URUGUAI para BRASIL",DataTable[[#This Row],[Valor]]&gt;350),1,0)</f>
        <v>0</v>
      </c>
      <c r="AA231" s="3">
        <f>IF(DataTable[[#This Row],[Valor]]&gt;1,0,0)</f>
        <v>0</v>
      </c>
    </row>
    <row r="232" spans="1:27" x14ac:dyDescent="0.25">
      <c r="A232" s="2" t="s">
        <v>21</v>
      </c>
      <c r="B232" s="2">
        <v>280</v>
      </c>
      <c r="C232" s="3">
        <f t="shared" si="60"/>
        <v>82.618834645669295</v>
      </c>
      <c r="D232" s="3">
        <f t="shared" si="61"/>
        <v>88.868834645669295</v>
      </c>
      <c r="E232" s="3">
        <f t="shared" si="62"/>
        <v>85.118834645669295</v>
      </c>
      <c r="F232" s="3">
        <f t="shared" si="63"/>
        <v>41.4</v>
      </c>
      <c r="G232" s="3">
        <f t="shared" si="64"/>
        <v>109</v>
      </c>
      <c r="H232" s="3">
        <f t="shared" si="65"/>
        <v>109</v>
      </c>
      <c r="I232" s="3"/>
      <c r="J232" s="3">
        <f t="shared" si="66"/>
        <v>83.636534645669286</v>
      </c>
      <c r="K232" s="3">
        <f t="shared" si="67"/>
        <v>88.868834645669295</v>
      </c>
      <c r="L232" s="34">
        <f t="shared" si="68"/>
        <v>85.118834645669295</v>
      </c>
      <c r="M232" s="3">
        <f t="shared" si="69"/>
        <v>-13.6</v>
      </c>
      <c r="N232" s="3">
        <f t="shared" si="70"/>
        <v>147.6</v>
      </c>
      <c r="O232" s="3"/>
      <c r="P232" s="3">
        <f t="shared" si="71"/>
        <v>94.105196850393696</v>
      </c>
      <c r="Q232" s="3">
        <f t="shared" si="72"/>
        <v>134.4168692913386</v>
      </c>
      <c r="R232" s="3">
        <f>vd(DataTable[[#This Row],[Sentido]],DataTable[[#This Row],[Valor]])</f>
        <v>102.59370078740159</v>
      </c>
      <c r="S232" s="3">
        <f>IF(DataTable[[#This Row],[Valor]]&gt;1,1,1)</f>
        <v>1</v>
      </c>
      <c r="T232" s="3">
        <f>IF(DataTable[[#This Row],[Valor]]&gt;1,1,1)</f>
        <v>1</v>
      </c>
      <c r="U232" s="3">
        <f>angr(DataTable[[#This Row],[Sentido]],DataTable[[#This Row],[Valor]])</f>
        <v>41.424409448818899</v>
      </c>
      <c r="V232" s="3">
        <f>ANGI(DataTable[[#This Row],[Sentido]],DataTable[[#This Row],[Valor]])</f>
        <v>43.929133858267718</v>
      </c>
      <c r="W232" s="3">
        <f t="shared" si="73"/>
        <v>3</v>
      </c>
      <c r="X232" s="3">
        <f>IF(DataTable[[#This Row],[Valor]]&gt;1,1,1)</f>
        <v>1</v>
      </c>
      <c r="Y232" s="3">
        <f t="shared" si="74"/>
        <v>3</v>
      </c>
      <c r="Z232" s="3">
        <f>IF(AND(DataTable[[#This Row],[Sentido]]="URUGUAI para BRASIL",DataTable[[#This Row],[Valor]]&gt;350),1,0)</f>
        <v>0</v>
      </c>
      <c r="AA232" s="3">
        <f>IF(DataTable[[#This Row],[Valor]]&gt;1,0,0)</f>
        <v>0</v>
      </c>
    </row>
    <row r="233" spans="1:27" x14ac:dyDescent="0.25">
      <c r="A233" s="2" t="s">
        <v>21</v>
      </c>
      <c r="B233" s="2">
        <v>281</v>
      </c>
      <c r="C233" s="3">
        <f t="shared" si="60"/>
        <v>82.691059055118117</v>
      </c>
      <c r="D233" s="3">
        <f t="shared" si="61"/>
        <v>88.941059055118117</v>
      </c>
      <c r="E233" s="3">
        <f t="shared" si="62"/>
        <v>85.191059055118117</v>
      </c>
      <c r="F233" s="3">
        <f t="shared" si="63"/>
        <v>41.28</v>
      </c>
      <c r="G233" s="3">
        <f t="shared" si="64"/>
        <v>108.8</v>
      </c>
      <c r="H233" s="3">
        <f t="shared" si="65"/>
        <v>108.8</v>
      </c>
      <c r="I233" s="3"/>
      <c r="J233" s="3">
        <f t="shared" si="66"/>
        <v>83.708759055118108</v>
      </c>
      <c r="K233" s="3">
        <f t="shared" si="67"/>
        <v>88.941059055118117</v>
      </c>
      <c r="L233" s="34">
        <f t="shared" si="68"/>
        <v>85.191059055118117</v>
      </c>
      <c r="M233" s="3">
        <f t="shared" si="69"/>
        <v>-13.72</v>
      </c>
      <c r="N233" s="3">
        <f t="shared" si="70"/>
        <v>147.52000000000001</v>
      </c>
      <c r="O233" s="3"/>
      <c r="P233" s="3">
        <f t="shared" si="71"/>
        <v>94.357858267716537</v>
      </c>
      <c r="Q233" s="3">
        <f t="shared" si="72"/>
        <v>134.52231811023623</v>
      </c>
      <c r="R233" s="3">
        <f>vd(DataTable[[#This Row],[Sentido]],DataTable[[#This Row],[Valor]])</f>
        <v>102.91653543307088</v>
      </c>
      <c r="S233" s="3">
        <f>IF(DataTable[[#This Row],[Valor]]&gt;1,1,1)</f>
        <v>1</v>
      </c>
      <c r="T233" s="3">
        <f>IF(DataTable[[#This Row],[Valor]]&gt;1,1,1)</f>
        <v>1</v>
      </c>
      <c r="U233" s="3">
        <f>angr(DataTable[[#This Row],[Sentido]],DataTable[[#This Row],[Valor]])</f>
        <v>41.298425196850395</v>
      </c>
      <c r="V233" s="3">
        <f>ANGI(DataTable[[#This Row],[Sentido]],DataTable[[#This Row],[Valor]])</f>
        <v>43.811023622047244</v>
      </c>
      <c r="W233" s="3">
        <f t="shared" si="73"/>
        <v>3</v>
      </c>
      <c r="X233" s="3">
        <f>IF(DataTable[[#This Row],[Valor]]&gt;1,1,1)</f>
        <v>1</v>
      </c>
      <c r="Y233" s="3">
        <f t="shared" si="74"/>
        <v>3</v>
      </c>
      <c r="Z233" s="3">
        <f>IF(AND(DataTable[[#This Row],[Sentido]]="URUGUAI para BRASIL",DataTable[[#This Row],[Valor]]&gt;350),1,0)</f>
        <v>0</v>
      </c>
      <c r="AA233" s="3">
        <f>IF(DataTable[[#This Row],[Valor]]&gt;1,0,0)</f>
        <v>0</v>
      </c>
    </row>
    <row r="234" spans="1:27" x14ac:dyDescent="0.25">
      <c r="A234" s="2" t="s">
        <v>21</v>
      </c>
      <c r="B234" s="2">
        <v>282</v>
      </c>
      <c r="C234" s="3">
        <f t="shared" si="60"/>
        <v>82.763283464566925</v>
      </c>
      <c r="D234" s="3">
        <f t="shared" si="61"/>
        <v>89.013283464566925</v>
      </c>
      <c r="E234" s="3">
        <f t="shared" si="62"/>
        <v>85.263283464566925</v>
      </c>
      <c r="F234" s="3">
        <f t="shared" si="63"/>
        <v>41.16</v>
      </c>
      <c r="G234" s="3">
        <f t="shared" si="64"/>
        <v>108.6</v>
      </c>
      <c r="H234" s="3">
        <f t="shared" si="65"/>
        <v>108.6</v>
      </c>
      <c r="I234" s="3"/>
      <c r="J234" s="3">
        <f t="shared" si="66"/>
        <v>83.78098346456693</v>
      </c>
      <c r="K234" s="3">
        <f t="shared" si="67"/>
        <v>89.013283464566925</v>
      </c>
      <c r="L234" s="34">
        <f t="shared" si="68"/>
        <v>85.263283464566925</v>
      </c>
      <c r="M234" s="3">
        <f t="shared" si="69"/>
        <v>-13.84</v>
      </c>
      <c r="N234" s="3">
        <f t="shared" si="70"/>
        <v>147.44</v>
      </c>
      <c r="O234" s="3"/>
      <c r="P234" s="3">
        <f t="shared" si="71"/>
        <v>94.610519685039364</v>
      </c>
      <c r="Q234" s="3">
        <f t="shared" si="72"/>
        <v>134.62776692913386</v>
      </c>
      <c r="R234" s="3">
        <f>vd(DataTable[[#This Row],[Sentido]],DataTable[[#This Row],[Valor]])</f>
        <v>103.23937007874015</v>
      </c>
      <c r="S234" s="3">
        <f>IF(DataTable[[#This Row],[Valor]]&gt;1,1,1)</f>
        <v>1</v>
      </c>
      <c r="T234" s="3">
        <f>IF(DataTable[[#This Row],[Valor]]&gt;1,1,1)</f>
        <v>1</v>
      </c>
      <c r="U234" s="3">
        <f>angr(DataTable[[#This Row],[Sentido]],DataTable[[#This Row],[Valor]])</f>
        <v>41.172440944881892</v>
      </c>
      <c r="V234" s="3">
        <f>ANGI(DataTable[[#This Row],[Sentido]],DataTable[[#This Row],[Valor]])</f>
        <v>43.69291338582677</v>
      </c>
      <c r="W234" s="3">
        <f t="shared" si="73"/>
        <v>3</v>
      </c>
      <c r="X234" s="3">
        <f>IF(DataTable[[#This Row],[Valor]]&gt;1,1,1)</f>
        <v>1</v>
      </c>
      <c r="Y234" s="3">
        <f t="shared" si="74"/>
        <v>3</v>
      </c>
      <c r="Z234" s="3">
        <f>IF(AND(DataTable[[#This Row],[Sentido]]="URUGUAI para BRASIL",DataTable[[#This Row],[Valor]]&gt;350),1,0)</f>
        <v>0</v>
      </c>
      <c r="AA234" s="3">
        <f>IF(DataTable[[#This Row],[Valor]]&gt;1,0,0)</f>
        <v>0</v>
      </c>
    </row>
    <row r="235" spans="1:27" x14ac:dyDescent="0.25">
      <c r="A235" s="2" t="s">
        <v>21</v>
      </c>
      <c r="B235" s="2">
        <v>283</v>
      </c>
      <c r="C235" s="3">
        <f t="shared" si="60"/>
        <v>82.835507874015747</v>
      </c>
      <c r="D235" s="3">
        <f t="shared" si="61"/>
        <v>89.085507874015747</v>
      </c>
      <c r="E235" s="3">
        <f t="shared" si="62"/>
        <v>85.335507874015747</v>
      </c>
      <c r="F235" s="3">
        <f t="shared" si="63"/>
        <v>41.04</v>
      </c>
      <c r="G235" s="3">
        <f t="shared" si="64"/>
        <v>108.4</v>
      </c>
      <c r="H235" s="3">
        <f t="shared" si="65"/>
        <v>108.4</v>
      </c>
      <c r="I235" s="3"/>
      <c r="J235" s="3">
        <f t="shared" si="66"/>
        <v>83.853207874015752</v>
      </c>
      <c r="K235" s="3">
        <f t="shared" si="67"/>
        <v>89.085507874015747</v>
      </c>
      <c r="L235" s="34">
        <f t="shared" si="68"/>
        <v>85.335507874015747</v>
      </c>
      <c r="M235" s="3">
        <f t="shared" si="69"/>
        <v>-13.959999999999999</v>
      </c>
      <c r="N235" s="3">
        <f t="shared" si="70"/>
        <v>147.36000000000001</v>
      </c>
      <c r="O235" s="3"/>
      <c r="P235" s="3">
        <f t="shared" si="71"/>
        <v>94.863181102362205</v>
      </c>
      <c r="Q235" s="3">
        <f t="shared" si="72"/>
        <v>134.73321574803148</v>
      </c>
      <c r="R235" s="3">
        <f>vd(DataTable[[#This Row],[Sentido]],DataTable[[#This Row],[Valor]])</f>
        <v>103.56220472440945</v>
      </c>
      <c r="S235" s="3">
        <f>IF(DataTable[[#This Row],[Valor]]&gt;1,1,1)</f>
        <v>1</v>
      </c>
      <c r="T235" s="3">
        <f>IF(DataTable[[#This Row],[Valor]]&gt;1,1,1)</f>
        <v>1</v>
      </c>
      <c r="U235" s="3">
        <f>angr(DataTable[[#This Row],[Sentido]],DataTable[[#This Row],[Valor]])</f>
        <v>41.046456692913381</v>
      </c>
      <c r="V235" s="3">
        <f>ANGI(DataTable[[#This Row],[Sentido]],DataTable[[#This Row],[Valor]])</f>
        <v>43.574803149606296</v>
      </c>
      <c r="W235" s="3">
        <f t="shared" si="73"/>
        <v>3</v>
      </c>
      <c r="X235" s="3">
        <f>IF(DataTable[[#This Row],[Valor]]&gt;1,1,1)</f>
        <v>1</v>
      </c>
      <c r="Y235" s="3">
        <f t="shared" si="74"/>
        <v>3</v>
      </c>
      <c r="Z235" s="3">
        <f>IF(AND(DataTable[[#This Row],[Sentido]]="URUGUAI para BRASIL",DataTable[[#This Row],[Valor]]&gt;350),1,0)</f>
        <v>0</v>
      </c>
      <c r="AA235" s="3">
        <f>IF(DataTable[[#This Row],[Valor]]&gt;1,0,0)</f>
        <v>0</v>
      </c>
    </row>
    <row r="236" spans="1:27" x14ac:dyDescent="0.25">
      <c r="A236" s="2" t="s">
        <v>21</v>
      </c>
      <c r="B236" s="2">
        <v>284</v>
      </c>
      <c r="C236" s="3">
        <f t="shared" si="60"/>
        <v>82.907732283464568</v>
      </c>
      <c r="D236" s="3">
        <f t="shared" si="61"/>
        <v>89.157732283464568</v>
      </c>
      <c r="E236" s="3">
        <f t="shared" si="62"/>
        <v>85.407732283464568</v>
      </c>
      <c r="F236" s="3">
        <f t="shared" si="63"/>
        <v>40.92</v>
      </c>
      <c r="G236" s="3">
        <f t="shared" si="64"/>
        <v>108.2</v>
      </c>
      <c r="H236" s="3">
        <f t="shared" si="65"/>
        <v>108.2</v>
      </c>
      <c r="I236" s="3"/>
      <c r="J236" s="3">
        <f t="shared" si="66"/>
        <v>83.925432283464573</v>
      </c>
      <c r="K236" s="3">
        <f t="shared" si="67"/>
        <v>89.157732283464568</v>
      </c>
      <c r="L236" s="34">
        <f t="shared" si="68"/>
        <v>85.407732283464568</v>
      </c>
      <c r="M236" s="3">
        <f t="shared" si="69"/>
        <v>-14.08</v>
      </c>
      <c r="N236" s="3">
        <f t="shared" si="70"/>
        <v>147.28</v>
      </c>
      <c r="O236" s="3"/>
      <c r="P236" s="3">
        <f t="shared" si="71"/>
        <v>95.115842519685046</v>
      </c>
      <c r="Q236" s="3">
        <f t="shared" si="72"/>
        <v>134.83866456692914</v>
      </c>
      <c r="R236" s="3">
        <f>vd(DataTable[[#This Row],[Sentido]],DataTable[[#This Row],[Valor]])</f>
        <v>103.88503937007874</v>
      </c>
      <c r="S236" s="3">
        <f>IF(DataTable[[#This Row],[Valor]]&gt;1,1,1)</f>
        <v>1</v>
      </c>
      <c r="T236" s="3">
        <f>IF(DataTable[[#This Row],[Valor]]&gt;1,1,1)</f>
        <v>1</v>
      </c>
      <c r="U236" s="3">
        <f>angr(DataTable[[#This Row],[Sentido]],DataTable[[#This Row],[Valor]])</f>
        <v>40.920472440944884</v>
      </c>
      <c r="V236" s="3">
        <f>ANGI(DataTable[[#This Row],[Sentido]],DataTable[[#This Row],[Valor]])</f>
        <v>43.45669291338583</v>
      </c>
      <c r="W236" s="3">
        <f t="shared" si="73"/>
        <v>3</v>
      </c>
      <c r="X236" s="3">
        <f>IF(DataTable[[#This Row],[Valor]]&gt;1,1,1)</f>
        <v>1</v>
      </c>
      <c r="Y236" s="3">
        <f t="shared" si="74"/>
        <v>3</v>
      </c>
      <c r="Z236" s="3">
        <f>IF(AND(DataTable[[#This Row],[Sentido]]="URUGUAI para BRASIL",DataTable[[#This Row],[Valor]]&gt;350),1,0)</f>
        <v>0</v>
      </c>
      <c r="AA236" s="3">
        <f>IF(DataTable[[#This Row],[Valor]]&gt;1,0,0)</f>
        <v>0</v>
      </c>
    </row>
    <row r="237" spans="1:27" x14ac:dyDescent="0.25">
      <c r="A237" s="2" t="s">
        <v>21</v>
      </c>
      <c r="B237" s="2">
        <v>285</v>
      </c>
      <c r="C237" s="3">
        <f t="shared" si="60"/>
        <v>82.97995669291339</v>
      </c>
      <c r="D237" s="3">
        <f t="shared" si="61"/>
        <v>89.22995669291339</v>
      </c>
      <c r="E237" s="3">
        <f t="shared" si="62"/>
        <v>85.47995669291339</v>
      </c>
      <c r="F237" s="3">
        <f t="shared" si="63"/>
        <v>40.799999999999997</v>
      </c>
      <c r="G237" s="3">
        <f t="shared" si="64"/>
        <v>108</v>
      </c>
      <c r="H237" s="3">
        <f t="shared" si="65"/>
        <v>108</v>
      </c>
      <c r="I237" s="3"/>
      <c r="J237" s="3">
        <f t="shared" si="66"/>
        <v>83.997656692913381</v>
      </c>
      <c r="K237" s="3">
        <f t="shared" si="67"/>
        <v>89.22995669291339</v>
      </c>
      <c r="L237" s="34">
        <f t="shared" si="68"/>
        <v>85.47995669291339</v>
      </c>
      <c r="M237" s="3">
        <f t="shared" si="69"/>
        <v>-14.2</v>
      </c>
      <c r="N237" s="3">
        <f t="shared" si="70"/>
        <v>147.19999999999999</v>
      </c>
      <c r="O237" s="3"/>
      <c r="P237" s="3">
        <f t="shared" si="71"/>
        <v>95.368503937007873</v>
      </c>
      <c r="Q237" s="3">
        <f t="shared" si="72"/>
        <v>134.94411338582677</v>
      </c>
      <c r="R237" s="3">
        <f>vd(DataTable[[#This Row],[Sentido]],DataTable[[#This Row],[Valor]])</f>
        <v>104.20787401574803</v>
      </c>
      <c r="S237" s="3">
        <f>IF(DataTable[[#This Row],[Valor]]&gt;1,1,1)</f>
        <v>1</v>
      </c>
      <c r="T237" s="3">
        <f>IF(DataTable[[#This Row],[Valor]]&gt;1,1,1)</f>
        <v>1</v>
      </c>
      <c r="U237" s="3">
        <f>angr(DataTable[[#This Row],[Sentido]],DataTable[[#This Row],[Valor]])</f>
        <v>40.794488188976381</v>
      </c>
      <c r="V237" s="3">
        <f>ANGI(DataTable[[#This Row],[Sentido]],DataTable[[#This Row],[Valor]])</f>
        <v>43.338582677165356</v>
      </c>
      <c r="W237" s="3">
        <f t="shared" si="73"/>
        <v>3</v>
      </c>
      <c r="X237" s="3">
        <f>IF(DataTable[[#This Row],[Valor]]&gt;1,1,1)</f>
        <v>1</v>
      </c>
      <c r="Y237" s="3">
        <f t="shared" si="74"/>
        <v>3</v>
      </c>
      <c r="Z237" s="3">
        <f>IF(AND(DataTable[[#This Row],[Sentido]]="URUGUAI para BRASIL",DataTable[[#This Row],[Valor]]&gt;350),1,0)</f>
        <v>0</v>
      </c>
      <c r="AA237" s="3">
        <f>IF(DataTable[[#This Row],[Valor]]&gt;1,0,0)</f>
        <v>0</v>
      </c>
    </row>
    <row r="238" spans="1:27" x14ac:dyDescent="0.25">
      <c r="A238" s="2" t="s">
        <v>21</v>
      </c>
      <c r="B238" s="2">
        <v>286</v>
      </c>
      <c r="C238" s="3">
        <f t="shared" si="60"/>
        <v>83.052181102362212</v>
      </c>
      <c r="D238" s="3">
        <f t="shared" si="61"/>
        <v>89.302181102362212</v>
      </c>
      <c r="E238" s="3">
        <f t="shared" si="62"/>
        <v>85.552181102362212</v>
      </c>
      <c r="F238" s="3">
        <f t="shared" si="63"/>
        <v>40.68</v>
      </c>
      <c r="G238" s="3">
        <f t="shared" si="64"/>
        <v>107.8</v>
      </c>
      <c r="H238" s="3">
        <f t="shared" si="65"/>
        <v>107.8</v>
      </c>
      <c r="I238" s="3"/>
      <c r="J238" s="3">
        <f t="shared" si="66"/>
        <v>84.069881102362203</v>
      </c>
      <c r="K238" s="3">
        <f t="shared" si="67"/>
        <v>89.302181102362212</v>
      </c>
      <c r="L238" s="34">
        <f t="shared" si="68"/>
        <v>85.552181102362212</v>
      </c>
      <c r="M238" s="3">
        <f t="shared" si="69"/>
        <v>-14.32</v>
      </c>
      <c r="N238" s="3">
        <f t="shared" si="70"/>
        <v>147.12</v>
      </c>
      <c r="O238" s="3"/>
      <c r="P238" s="3">
        <f t="shared" si="71"/>
        <v>95.621165354330714</v>
      </c>
      <c r="Q238" s="3">
        <f t="shared" si="72"/>
        <v>135.0495622047244</v>
      </c>
      <c r="R238" s="3">
        <f>vd(DataTable[[#This Row],[Sentido]],DataTable[[#This Row],[Valor]])</f>
        <v>104.53070866141734</v>
      </c>
      <c r="S238" s="3">
        <f>IF(DataTable[[#This Row],[Valor]]&gt;1,1,1)</f>
        <v>1</v>
      </c>
      <c r="T238" s="3">
        <f>IF(DataTable[[#This Row],[Valor]]&gt;1,1,1)</f>
        <v>1</v>
      </c>
      <c r="U238" s="3">
        <f>angr(DataTable[[#This Row],[Sentido]],DataTable[[#This Row],[Valor]])</f>
        <v>40.66850393700787</v>
      </c>
      <c r="V238" s="3">
        <f>ANGI(DataTable[[#This Row],[Sentido]],DataTable[[#This Row],[Valor]])</f>
        <v>43.220472440944881</v>
      </c>
      <c r="W238" s="3">
        <f t="shared" si="73"/>
        <v>3</v>
      </c>
      <c r="X238" s="3">
        <f>IF(DataTable[[#This Row],[Valor]]&gt;1,1,1)</f>
        <v>1</v>
      </c>
      <c r="Y238" s="3">
        <f t="shared" si="74"/>
        <v>3</v>
      </c>
      <c r="Z238" s="3">
        <f>IF(AND(DataTable[[#This Row],[Sentido]]="URUGUAI para BRASIL",DataTable[[#This Row],[Valor]]&gt;350),1,0)</f>
        <v>0</v>
      </c>
      <c r="AA238" s="3">
        <f>IF(DataTable[[#This Row],[Valor]]&gt;1,0,0)</f>
        <v>0</v>
      </c>
    </row>
    <row r="239" spans="1:27" x14ac:dyDescent="0.25">
      <c r="A239" s="2" t="s">
        <v>21</v>
      </c>
      <c r="B239" s="2">
        <v>287</v>
      </c>
      <c r="C239" s="3">
        <f t="shared" si="60"/>
        <v>83.12440551181102</v>
      </c>
      <c r="D239" s="3">
        <f t="shared" si="61"/>
        <v>89.37440551181102</v>
      </c>
      <c r="E239" s="3">
        <f t="shared" si="62"/>
        <v>85.62440551181102</v>
      </c>
      <c r="F239" s="3">
        <f t="shared" si="63"/>
        <v>40.56</v>
      </c>
      <c r="G239" s="3">
        <f t="shared" si="64"/>
        <v>107.6</v>
      </c>
      <c r="H239" s="3">
        <f t="shared" si="65"/>
        <v>107.6</v>
      </c>
      <c r="I239" s="3"/>
      <c r="J239" s="3">
        <f t="shared" si="66"/>
        <v>84.142105511811025</v>
      </c>
      <c r="K239" s="3">
        <f t="shared" si="67"/>
        <v>89.37440551181102</v>
      </c>
      <c r="L239" s="34">
        <f t="shared" si="68"/>
        <v>85.62440551181102</v>
      </c>
      <c r="M239" s="3">
        <f t="shared" si="69"/>
        <v>-14.44</v>
      </c>
      <c r="N239" s="3">
        <f t="shared" si="70"/>
        <v>147.04</v>
      </c>
      <c r="O239" s="3"/>
      <c r="P239" s="3">
        <f t="shared" si="71"/>
        <v>95.87382677165354</v>
      </c>
      <c r="Q239" s="3">
        <f t="shared" si="72"/>
        <v>135.15501102362205</v>
      </c>
      <c r="R239" s="3">
        <f>vd(DataTable[[#This Row],[Sentido]],DataTable[[#This Row],[Valor]])</f>
        <v>104.85354330708662</v>
      </c>
      <c r="S239" s="3">
        <f>IF(DataTable[[#This Row],[Valor]]&gt;1,1,1)</f>
        <v>1</v>
      </c>
      <c r="T239" s="3">
        <f>IF(DataTable[[#This Row],[Valor]]&gt;1,1,1)</f>
        <v>1</v>
      </c>
      <c r="U239" s="3">
        <f>angr(DataTable[[#This Row],[Sentido]],DataTable[[#This Row],[Valor]])</f>
        <v>40.542519685039366</v>
      </c>
      <c r="V239" s="3">
        <f>ANGI(DataTable[[#This Row],[Sentido]],DataTable[[#This Row],[Valor]])</f>
        <v>43.102362204724407</v>
      </c>
      <c r="W239" s="3">
        <f t="shared" si="73"/>
        <v>3</v>
      </c>
      <c r="X239" s="3">
        <f>IF(DataTable[[#This Row],[Valor]]&gt;1,1,1)</f>
        <v>1</v>
      </c>
      <c r="Y239" s="3">
        <f t="shared" si="74"/>
        <v>3</v>
      </c>
      <c r="Z239" s="3">
        <f>IF(AND(DataTable[[#This Row],[Sentido]]="URUGUAI para BRASIL",DataTable[[#This Row],[Valor]]&gt;350),1,0)</f>
        <v>0</v>
      </c>
      <c r="AA239" s="3">
        <f>IF(DataTable[[#This Row],[Valor]]&gt;1,0,0)</f>
        <v>0</v>
      </c>
    </row>
    <row r="240" spans="1:27" x14ac:dyDescent="0.25">
      <c r="A240" s="2" t="s">
        <v>21</v>
      </c>
      <c r="B240" s="2">
        <v>288</v>
      </c>
      <c r="C240" s="3">
        <f t="shared" si="60"/>
        <v>83.196629921259841</v>
      </c>
      <c r="D240" s="3">
        <f t="shared" si="61"/>
        <v>89.446629921259841</v>
      </c>
      <c r="E240" s="3">
        <f t="shared" si="62"/>
        <v>85.696629921259841</v>
      </c>
      <c r="F240" s="3">
        <f t="shared" si="63"/>
        <v>40.44</v>
      </c>
      <c r="G240" s="3">
        <f t="shared" si="64"/>
        <v>107.4</v>
      </c>
      <c r="H240" s="3">
        <f t="shared" si="65"/>
        <v>107.4</v>
      </c>
      <c r="I240" s="3"/>
      <c r="J240" s="3">
        <f t="shared" si="66"/>
        <v>84.214329921259846</v>
      </c>
      <c r="K240" s="3">
        <f t="shared" si="67"/>
        <v>89.446629921259841</v>
      </c>
      <c r="L240" s="34">
        <f t="shared" si="68"/>
        <v>85.696629921259841</v>
      </c>
      <c r="M240" s="3">
        <f t="shared" si="69"/>
        <v>-14.56</v>
      </c>
      <c r="N240" s="3">
        <f t="shared" si="70"/>
        <v>146.96</v>
      </c>
      <c r="O240" s="3"/>
      <c r="P240" s="3">
        <f t="shared" si="71"/>
        <v>96.126488188976367</v>
      </c>
      <c r="Q240" s="3">
        <f t="shared" si="72"/>
        <v>135.26045984251968</v>
      </c>
      <c r="R240" s="3">
        <f>vd(DataTable[[#This Row],[Sentido]],DataTable[[#This Row],[Valor]])</f>
        <v>105.1763779527559</v>
      </c>
      <c r="S240" s="3">
        <f>IF(DataTable[[#This Row],[Valor]]&gt;1,1,1)</f>
        <v>1</v>
      </c>
      <c r="T240" s="3">
        <f>IF(DataTable[[#This Row],[Valor]]&gt;1,1,1)</f>
        <v>1</v>
      </c>
      <c r="U240" s="3">
        <f>angr(DataTable[[#This Row],[Sentido]],DataTable[[#This Row],[Valor]])</f>
        <v>40.416535433070862</v>
      </c>
      <c r="V240" s="3">
        <f>ANGI(DataTable[[#This Row],[Sentido]],DataTable[[#This Row],[Valor]])</f>
        <v>42.984251968503941</v>
      </c>
      <c r="W240" s="3">
        <f t="shared" si="73"/>
        <v>3</v>
      </c>
      <c r="X240" s="3">
        <f>IF(DataTable[[#This Row],[Valor]]&gt;1,1,1)</f>
        <v>1</v>
      </c>
      <c r="Y240" s="3">
        <f t="shared" si="74"/>
        <v>3</v>
      </c>
      <c r="Z240" s="3">
        <f>IF(AND(DataTable[[#This Row],[Sentido]]="URUGUAI para BRASIL",DataTable[[#This Row],[Valor]]&gt;350),1,0)</f>
        <v>0</v>
      </c>
      <c r="AA240" s="3">
        <f>IF(DataTable[[#This Row],[Valor]]&gt;1,0,0)</f>
        <v>0</v>
      </c>
    </row>
    <row r="241" spans="1:27" x14ac:dyDescent="0.25">
      <c r="A241" s="2" t="s">
        <v>21</v>
      </c>
      <c r="B241" s="2">
        <v>289</v>
      </c>
      <c r="C241" s="3">
        <f t="shared" si="60"/>
        <v>83.268854330708663</v>
      </c>
      <c r="D241" s="3">
        <f t="shared" si="61"/>
        <v>89.518854330708663</v>
      </c>
      <c r="E241" s="3">
        <f t="shared" si="62"/>
        <v>85.768854330708663</v>
      </c>
      <c r="F241" s="3">
        <f t="shared" si="63"/>
        <v>40.32</v>
      </c>
      <c r="G241" s="3">
        <f t="shared" si="64"/>
        <v>107.2</v>
      </c>
      <c r="H241" s="3">
        <f t="shared" si="65"/>
        <v>107.2</v>
      </c>
      <c r="I241" s="3"/>
      <c r="J241" s="3">
        <f t="shared" si="66"/>
        <v>84.286554330708668</v>
      </c>
      <c r="K241" s="3">
        <f t="shared" si="67"/>
        <v>89.518854330708663</v>
      </c>
      <c r="L241" s="34">
        <f t="shared" si="68"/>
        <v>85.768854330708663</v>
      </c>
      <c r="M241" s="3">
        <f t="shared" si="69"/>
        <v>-14.68</v>
      </c>
      <c r="N241" s="3">
        <f t="shared" si="70"/>
        <v>146.88</v>
      </c>
      <c r="O241" s="3"/>
      <c r="P241" s="3">
        <f t="shared" si="71"/>
        <v>96.379149606299208</v>
      </c>
      <c r="Q241" s="3">
        <f t="shared" si="72"/>
        <v>135.36590866141734</v>
      </c>
      <c r="R241" s="3">
        <f>vd(DataTable[[#This Row],[Sentido]],DataTable[[#This Row],[Valor]])</f>
        <v>105.49921259842519</v>
      </c>
      <c r="S241" s="3">
        <f>IF(DataTable[[#This Row],[Valor]]&gt;1,1,1)</f>
        <v>1</v>
      </c>
      <c r="T241" s="3">
        <f>IF(DataTable[[#This Row],[Valor]]&gt;1,1,1)</f>
        <v>1</v>
      </c>
      <c r="U241" s="3">
        <f>angr(DataTable[[#This Row],[Sentido]],DataTable[[#This Row],[Valor]])</f>
        <v>40.290551181102366</v>
      </c>
      <c r="V241" s="3">
        <f>ANGI(DataTable[[#This Row],[Sentido]],DataTable[[#This Row],[Valor]])</f>
        <v>42.866141732283467</v>
      </c>
      <c r="W241" s="3">
        <f t="shared" si="73"/>
        <v>3</v>
      </c>
      <c r="X241" s="3">
        <f>IF(DataTable[[#This Row],[Valor]]&gt;1,1,1)</f>
        <v>1</v>
      </c>
      <c r="Y241" s="3">
        <f t="shared" si="74"/>
        <v>3</v>
      </c>
      <c r="Z241" s="3">
        <f>IF(AND(DataTable[[#This Row],[Sentido]]="URUGUAI para BRASIL",DataTable[[#This Row],[Valor]]&gt;350),1,0)</f>
        <v>0</v>
      </c>
      <c r="AA241" s="3">
        <f>IF(DataTable[[#This Row],[Valor]]&gt;1,0,0)</f>
        <v>0</v>
      </c>
    </row>
    <row r="242" spans="1:27" x14ac:dyDescent="0.25">
      <c r="A242" s="2" t="s">
        <v>21</v>
      </c>
      <c r="B242" s="2">
        <v>290</v>
      </c>
      <c r="C242" s="3">
        <f t="shared" si="60"/>
        <v>83.341078740157485</v>
      </c>
      <c r="D242" s="3">
        <f t="shared" si="61"/>
        <v>89.591078740157485</v>
      </c>
      <c r="E242" s="3">
        <f t="shared" si="62"/>
        <v>85.841078740157485</v>
      </c>
      <c r="F242" s="3">
        <f t="shared" si="63"/>
        <v>40.200000000000003</v>
      </c>
      <c r="G242" s="3">
        <f t="shared" si="64"/>
        <v>107</v>
      </c>
      <c r="H242" s="3">
        <f t="shared" si="65"/>
        <v>107</v>
      </c>
      <c r="I242" s="3"/>
      <c r="J242" s="3">
        <f t="shared" si="66"/>
        <v>84.358778740157476</v>
      </c>
      <c r="K242" s="3">
        <f t="shared" si="67"/>
        <v>89.591078740157485</v>
      </c>
      <c r="L242" s="34">
        <f t="shared" si="68"/>
        <v>85.841078740157485</v>
      </c>
      <c r="M242" s="3">
        <f t="shared" si="69"/>
        <v>-14.8</v>
      </c>
      <c r="N242" s="3">
        <f t="shared" si="70"/>
        <v>146.80000000000001</v>
      </c>
      <c r="O242" s="3"/>
      <c r="P242" s="3">
        <f t="shared" si="71"/>
        <v>96.631811023622049</v>
      </c>
      <c r="Q242" s="3">
        <f t="shared" si="72"/>
        <v>135.47135748031496</v>
      </c>
      <c r="R242" s="3">
        <f>vd(DataTable[[#This Row],[Sentido]],DataTable[[#This Row],[Valor]])</f>
        <v>105.82204724409449</v>
      </c>
      <c r="S242" s="3">
        <f>IF(DataTable[[#This Row],[Valor]]&gt;1,1,1)</f>
        <v>1</v>
      </c>
      <c r="T242" s="3">
        <f>IF(DataTable[[#This Row],[Valor]]&gt;1,1,1)</f>
        <v>1</v>
      </c>
      <c r="U242" s="3">
        <f>angr(DataTable[[#This Row],[Sentido]],DataTable[[#This Row],[Valor]])</f>
        <v>40.164566929133855</v>
      </c>
      <c r="V242" s="3">
        <f>ANGI(DataTable[[#This Row],[Sentido]],DataTable[[#This Row],[Valor]])</f>
        <v>42.748031496062993</v>
      </c>
      <c r="W242" s="3">
        <f t="shared" si="73"/>
        <v>3</v>
      </c>
      <c r="X242" s="3">
        <f>IF(DataTable[[#This Row],[Valor]]&gt;1,1,1)</f>
        <v>1</v>
      </c>
      <c r="Y242" s="3">
        <f t="shared" si="74"/>
        <v>3</v>
      </c>
      <c r="Z242" s="3">
        <f>IF(AND(DataTable[[#This Row],[Sentido]]="URUGUAI para BRASIL",DataTable[[#This Row],[Valor]]&gt;350),1,0)</f>
        <v>0</v>
      </c>
      <c r="AA242" s="3">
        <f>IF(DataTable[[#This Row],[Valor]]&gt;1,0,0)</f>
        <v>0</v>
      </c>
    </row>
    <row r="243" spans="1:27" x14ac:dyDescent="0.25">
      <c r="A243" s="2" t="s">
        <v>21</v>
      </c>
      <c r="B243" s="2">
        <v>291</v>
      </c>
      <c r="C243" s="3">
        <f t="shared" si="60"/>
        <v>83.413303149606307</v>
      </c>
      <c r="D243" s="3">
        <f t="shared" si="61"/>
        <v>89.663303149606307</v>
      </c>
      <c r="E243" s="3">
        <f t="shared" si="62"/>
        <v>85.913303149606307</v>
      </c>
      <c r="F243" s="3">
        <f t="shared" si="63"/>
        <v>40.08</v>
      </c>
      <c r="G243" s="3">
        <f t="shared" si="64"/>
        <v>106.8</v>
      </c>
      <c r="H243" s="3">
        <f t="shared" si="65"/>
        <v>106.8</v>
      </c>
      <c r="I243" s="3"/>
      <c r="J243" s="3">
        <f t="shared" si="66"/>
        <v>84.431003149606298</v>
      </c>
      <c r="K243" s="3">
        <f t="shared" si="67"/>
        <v>89.663303149606307</v>
      </c>
      <c r="L243" s="34">
        <f t="shared" si="68"/>
        <v>85.913303149606307</v>
      </c>
      <c r="M243" s="3">
        <f t="shared" si="69"/>
        <v>-14.92</v>
      </c>
      <c r="N243" s="3">
        <f t="shared" si="70"/>
        <v>146.72</v>
      </c>
      <c r="O243" s="3"/>
      <c r="P243" s="3">
        <f t="shared" si="71"/>
        <v>96.88447244094489</v>
      </c>
      <c r="Q243" s="3">
        <f t="shared" si="72"/>
        <v>135.57680629921259</v>
      </c>
      <c r="R243" s="3">
        <f>vd(DataTable[[#This Row],[Sentido]],DataTable[[#This Row],[Valor]])</f>
        <v>106.14488188976378</v>
      </c>
      <c r="S243" s="3">
        <f>IF(DataTable[[#This Row],[Valor]]&gt;1,1,1)</f>
        <v>1</v>
      </c>
      <c r="T243" s="3">
        <f>IF(DataTable[[#This Row],[Valor]]&gt;1,1,1)</f>
        <v>1</v>
      </c>
      <c r="U243" s="3">
        <f>angr(DataTable[[#This Row],[Sentido]],DataTable[[#This Row],[Valor]])</f>
        <v>40.038582677165351</v>
      </c>
      <c r="V243" s="3">
        <f>ANGI(DataTable[[#This Row],[Sentido]],DataTable[[#This Row],[Valor]])</f>
        <v>42.629921259842519</v>
      </c>
      <c r="W243" s="3">
        <f t="shared" si="73"/>
        <v>3</v>
      </c>
      <c r="X243" s="3">
        <f>IF(DataTable[[#This Row],[Valor]]&gt;1,1,1)</f>
        <v>1</v>
      </c>
      <c r="Y243" s="3">
        <f t="shared" si="74"/>
        <v>3</v>
      </c>
      <c r="Z243" s="3">
        <f>IF(AND(DataTable[[#This Row],[Sentido]]="URUGUAI para BRASIL",DataTable[[#This Row],[Valor]]&gt;350),1,0)</f>
        <v>0</v>
      </c>
      <c r="AA243" s="3">
        <f>IF(DataTable[[#This Row],[Valor]]&gt;1,0,0)</f>
        <v>0</v>
      </c>
    </row>
    <row r="244" spans="1:27" x14ac:dyDescent="0.25">
      <c r="A244" s="2" t="s">
        <v>21</v>
      </c>
      <c r="B244" s="2">
        <v>292</v>
      </c>
      <c r="C244" s="3">
        <f t="shared" si="60"/>
        <v>83.485527559055114</v>
      </c>
      <c r="D244" s="3">
        <f t="shared" si="61"/>
        <v>89.735527559055114</v>
      </c>
      <c r="E244" s="3">
        <f t="shared" si="62"/>
        <v>85.985527559055114</v>
      </c>
      <c r="F244" s="3">
        <f t="shared" si="63"/>
        <v>39.96</v>
      </c>
      <c r="G244" s="3">
        <f t="shared" si="64"/>
        <v>106.6</v>
      </c>
      <c r="H244" s="3">
        <f t="shared" si="65"/>
        <v>106.6</v>
      </c>
      <c r="I244" s="3"/>
      <c r="J244" s="3">
        <f t="shared" si="66"/>
        <v>84.503227559055119</v>
      </c>
      <c r="K244" s="3">
        <f t="shared" si="67"/>
        <v>89.735527559055114</v>
      </c>
      <c r="L244" s="34">
        <f t="shared" si="68"/>
        <v>85.985527559055114</v>
      </c>
      <c r="M244" s="3">
        <f t="shared" si="69"/>
        <v>-15.04</v>
      </c>
      <c r="N244" s="3">
        <f t="shared" si="70"/>
        <v>146.63999999999999</v>
      </c>
      <c r="O244" s="3"/>
      <c r="P244" s="3">
        <f t="shared" si="71"/>
        <v>97.137133858267717</v>
      </c>
      <c r="Q244" s="3">
        <f t="shared" si="72"/>
        <v>135.68225511811025</v>
      </c>
      <c r="R244" s="3">
        <f>vd(DataTable[[#This Row],[Sentido]],DataTable[[#This Row],[Valor]])</f>
        <v>106.46771653543307</v>
      </c>
      <c r="S244" s="3">
        <f>IF(DataTable[[#This Row],[Valor]]&gt;1,1,1)</f>
        <v>1</v>
      </c>
      <c r="T244" s="3">
        <f>IF(DataTable[[#This Row],[Valor]]&gt;1,1,1)</f>
        <v>1</v>
      </c>
      <c r="U244" s="3">
        <f>angr(DataTable[[#This Row],[Sentido]],DataTable[[#This Row],[Valor]])</f>
        <v>39.912598425196848</v>
      </c>
      <c r="V244" s="3">
        <f>ANGI(DataTable[[#This Row],[Sentido]],DataTable[[#This Row],[Valor]])</f>
        <v>42.511811023622052</v>
      </c>
      <c r="W244" s="3">
        <f t="shared" si="73"/>
        <v>3</v>
      </c>
      <c r="X244" s="3">
        <f>IF(DataTable[[#This Row],[Valor]]&gt;1,1,1)</f>
        <v>1</v>
      </c>
      <c r="Y244" s="3">
        <f t="shared" si="74"/>
        <v>3</v>
      </c>
      <c r="Z244" s="3">
        <f>IF(AND(DataTable[[#This Row],[Sentido]]="URUGUAI para BRASIL",DataTable[[#This Row],[Valor]]&gt;350),1,0)</f>
        <v>0</v>
      </c>
      <c r="AA244" s="3">
        <f>IF(DataTable[[#This Row],[Valor]]&gt;1,0,0)</f>
        <v>0</v>
      </c>
    </row>
    <row r="245" spans="1:27" x14ac:dyDescent="0.25">
      <c r="A245" s="2" t="s">
        <v>21</v>
      </c>
      <c r="B245" s="2">
        <v>293</v>
      </c>
      <c r="C245" s="3">
        <f t="shared" si="60"/>
        <v>83.557751968503936</v>
      </c>
      <c r="D245" s="3">
        <f t="shared" si="61"/>
        <v>89.807751968503936</v>
      </c>
      <c r="E245" s="3">
        <f t="shared" si="62"/>
        <v>86.057751968503936</v>
      </c>
      <c r="F245" s="3">
        <f t="shared" si="63"/>
        <v>39.840000000000003</v>
      </c>
      <c r="G245" s="3">
        <f t="shared" si="64"/>
        <v>106.4</v>
      </c>
      <c r="H245" s="3">
        <f t="shared" si="65"/>
        <v>106.4</v>
      </c>
      <c r="I245" s="3"/>
      <c r="J245" s="3">
        <f t="shared" si="66"/>
        <v>84.575451968503941</v>
      </c>
      <c r="K245" s="3">
        <f t="shared" si="67"/>
        <v>89.807751968503936</v>
      </c>
      <c r="L245" s="34">
        <f t="shared" si="68"/>
        <v>86.057751968503936</v>
      </c>
      <c r="M245" s="3">
        <f t="shared" si="69"/>
        <v>-15.16</v>
      </c>
      <c r="N245" s="3">
        <f t="shared" si="70"/>
        <v>146.56</v>
      </c>
      <c r="O245" s="3"/>
      <c r="P245" s="3">
        <f t="shared" si="71"/>
        <v>97.389795275590558</v>
      </c>
      <c r="Q245" s="3">
        <f t="shared" si="72"/>
        <v>135.78770393700788</v>
      </c>
      <c r="R245" s="3">
        <f>vd(DataTable[[#This Row],[Sentido]],DataTable[[#This Row],[Valor]])</f>
        <v>106.79055118110236</v>
      </c>
      <c r="S245" s="3">
        <f>IF(DataTable[[#This Row],[Valor]]&gt;1,1,1)</f>
        <v>1</v>
      </c>
      <c r="T245" s="3">
        <f>IF(DataTable[[#This Row],[Valor]]&gt;1,1,1)</f>
        <v>1</v>
      </c>
      <c r="U245" s="3">
        <f>angr(DataTable[[#This Row],[Sentido]],DataTable[[#This Row],[Valor]])</f>
        <v>39.786614173228344</v>
      </c>
      <c r="V245" s="3">
        <f>ANGI(DataTable[[#This Row],[Sentido]],DataTable[[#This Row],[Valor]])</f>
        <v>42.393700787401571</v>
      </c>
      <c r="W245" s="3">
        <f t="shared" si="73"/>
        <v>3</v>
      </c>
      <c r="X245" s="3">
        <f>IF(DataTable[[#This Row],[Valor]]&gt;1,1,1)</f>
        <v>1</v>
      </c>
      <c r="Y245" s="3">
        <f t="shared" si="74"/>
        <v>3</v>
      </c>
      <c r="Z245" s="3">
        <f>IF(AND(DataTable[[#This Row],[Sentido]]="URUGUAI para BRASIL",DataTable[[#This Row],[Valor]]&gt;350),1,0)</f>
        <v>0</v>
      </c>
      <c r="AA245" s="3">
        <f>IF(DataTable[[#This Row],[Valor]]&gt;1,0,0)</f>
        <v>0</v>
      </c>
    </row>
    <row r="246" spans="1:27" x14ac:dyDescent="0.25">
      <c r="A246" s="2" t="s">
        <v>21</v>
      </c>
      <c r="B246" s="2">
        <v>294</v>
      </c>
      <c r="C246" s="3">
        <f t="shared" si="60"/>
        <v>83.629976377952758</v>
      </c>
      <c r="D246" s="3">
        <f t="shared" si="61"/>
        <v>89.879976377952758</v>
      </c>
      <c r="E246" s="3">
        <f t="shared" si="62"/>
        <v>86.129976377952758</v>
      </c>
      <c r="F246" s="3">
        <f t="shared" si="63"/>
        <v>39.72</v>
      </c>
      <c r="G246" s="3">
        <f t="shared" si="64"/>
        <v>106.2</v>
      </c>
      <c r="H246" s="3">
        <f t="shared" si="65"/>
        <v>106.2</v>
      </c>
      <c r="I246" s="3"/>
      <c r="J246" s="3">
        <f t="shared" si="66"/>
        <v>84.647676377952763</v>
      </c>
      <c r="K246" s="3">
        <f t="shared" si="67"/>
        <v>89.879976377952758</v>
      </c>
      <c r="L246" s="34">
        <f t="shared" si="68"/>
        <v>86.129976377952758</v>
      </c>
      <c r="M246" s="3">
        <f t="shared" si="69"/>
        <v>-15.28</v>
      </c>
      <c r="N246" s="3">
        <f t="shared" si="70"/>
        <v>146.47999999999999</v>
      </c>
      <c r="O246" s="3"/>
      <c r="P246" s="3">
        <f t="shared" si="71"/>
        <v>97.642456692913385</v>
      </c>
      <c r="Q246" s="3">
        <f t="shared" si="72"/>
        <v>135.89315275590553</v>
      </c>
      <c r="R246" s="3">
        <f>vd(DataTable[[#This Row],[Sentido]],DataTable[[#This Row],[Valor]])</f>
        <v>107.11338582677165</v>
      </c>
      <c r="S246" s="3">
        <f>IF(DataTable[[#This Row],[Valor]]&gt;1,1,1)</f>
        <v>1</v>
      </c>
      <c r="T246" s="3">
        <f>IF(DataTable[[#This Row],[Valor]]&gt;1,1,1)</f>
        <v>1</v>
      </c>
      <c r="U246" s="3">
        <f>angr(DataTable[[#This Row],[Sentido]],DataTable[[#This Row],[Valor]])</f>
        <v>39.66062992125984</v>
      </c>
      <c r="V246" s="3">
        <f>ANGI(DataTable[[#This Row],[Sentido]],DataTable[[#This Row],[Valor]])</f>
        <v>42.275590551181104</v>
      </c>
      <c r="W246" s="3">
        <f t="shared" si="73"/>
        <v>3</v>
      </c>
      <c r="X246" s="3">
        <f>IF(DataTable[[#This Row],[Valor]]&gt;1,1,1)</f>
        <v>1</v>
      </c>
      <c r="Y246" s="3">
        <f t="shared" si="74"/>
        <v>3</v>
      </c>
      <c r="Z246" s="3">
        <f>IF(AND(DataTable[[#This Row],[Sentido]]="URUGUAI para BRASIL",DataTable[[#This Row],[Valor]]&gt;350),1,0)</f>
        <v>0</v>
      </c>
      <c r="AA246" s="3">
        <f>IF(DataTable[[#This Row],[Valor]]&gt;1,0,0)</f>
        <v>0</v>
      </c>
    </row>
    <row r="247" spans="1:27" x14ac:dyDescent="0.25">
      <c r="A247" s="2" t="s">
        <v>21</v>
      </c>
      <c r="B247" s="2">
        <v>295</v>
      </c>
      <c r="C247" s="3">
        <f t="shared" si="60"/>
        <v>83.70220078740158</v>
      </c>
      <c r="D247" s="3">
        <f t="shared" si="61"/>
        <v>89.95220078740158</v>
      </c>
      <c r="E247" s="3">
        <f t="shared" si="62"/>
        <v>86.20220078740158</v>
      </c>
      <c r="F247" s="3">
        <f t="shared" si="63"/>
        <v>39.6</v>
      </c>
      <c r="G247" s="3">
        <f t="shared" si="64"/>
        <v>106</v>
      </c>
      <c r="H247" s="3">
        <f t="shared" si="65"/>
        <v>106</v>
      </c>
      <c r="I247" s="3"/>
      <c r="J247" s="3">
        <f t="shared" si="66"/>
        <v>84.719900787401571</v>
      </c>
      <c r="K247" s="3">
        <f t="shared" si="67"/>
        <v>89.95220078740158</v>
      </c>
      <c r="L247" s="34">
        <f t="shared" si="68"/>
        <v>86.20220078740158</v>
      </c>
      <c r="M247" s="3">
        <f t="shared" si="69"/>
        <v>-15.4</v>
      </c>
      <c r="N247" s="3">
        <f t="shared" si="70"/>
        <v>146.4</v>
      </c>
      <c r="O247" s="3"/>
      <c r="P247" s="3">
        <f t="shared" si="71"/>
        <v>97.895118110236211</v>
      </c>
      <c r="Q247" s="3">
        <f t="shared" si="72"/>
        <v>135.99860157480316</v>
      </c>
      <c r="R247" s="3">
        <f>vd(DataTable[[#This Row],[Sentido]],DataTable[[#This Row],[Valor]])</f>
        <v>107.43622047244094</v>
      </c>
      <c r="S247" s="3">
        <f>IF(DataTable[[#This Row],[Valor]]&gt;1,1,1)</f>
        <v>1</v>
      </c>
      <c r="T247" s="3">
        <f>IF(DataTable[[#This Row],[Valor]]&gt;1,1,1)</f>
        <v>1</v>
      </c>
      <c r="U247" s="3">
        <f>angr(DataTable[[#This Row],[Sentido]],DataTable[[#This Row],[Valor]])</f>
        <v>39.534645669291336</v>
      </c>
      <c r="V247" s="3">
        <f>ANGI(DataTable[[#This Row],[Sentido]],DataTable[[#This Row],[Valor]])</f>
        <v>42.15748031496063</v>
      </c>
      <c r="W247" s="3">
        <f t="shared" si="73"/>
        <v>3</v>
      </c>
      <c r="X247" s="3">
        <f>IF(DataTable[[#This Row],[Valor]]&gt;1,1,1)</f>
        <v>1</v>
      </c>
      <c r="Y247" s="3">
        <f t="shared" si="74"/>
        <v>3</v>
      </c>
      <c r="Z247" s="3">
        <f>IF(AND(DataTable[[#This Row],[Sentido]]="URUGUAI para BRASIL",DataTable[[#This Row],[Valor]]&gt;350),1,0)</f>
        <v>0</v>
      </c>
      <c r="AA247" s="3">
        <f>IF(DataTable[[#This Row],[Valor]]&gt;1,0,0)</f>
        <v>0</v>
      </c>
    </row>
    <row r="248" spans="1:27" x14ac:dyDescent="0.25">
      <c r="A248" s="2" t="s">
        <v>21</v>
      </c>
      <c r="B248" s="2">
        <v>296</v>
      </c>
      <c r="C248" s="3">
        <f t="shared" si="60"/>
        <v>83.774425196850402</v>
      </c>
      <c r="D248" s="3">
        <f t="shared" si="61"/>
        <v>90.024425196850402</v>
      </c>
      <c r="E248" s="3">
        <f t="shared" si="62"/>
        <v>86.274425196850402</v>
      </c>
      <c r="F248" s="3">
        <f t="shared" si="63"/>
        <v>39.480000000000004</v>
      </c>
      <c r="G248" s="3">
        <f t="shared" si="64"/>
        <v>105.8</v>
      </c>
      <c r="H248" s="3">
        <f t="shared" si="65"/>
        <v>105.8</v>
      </c>
      <c r="I248" s="3"/>
      <c r="J248" s="3">
        <f t="shared" si="66"/>
        <v>84.792125196850392</v>
      </c>
      <c r="K248" s="3">
        <f t="shared" si="67"/>
        <v>90.024425196850402</v>
      </c>
      <c r="L248" s="34">
        <f t="shared" si="68"/>
        <v>86.274425196850402</v>
      </c>
      <c r="M248" s="3">
        <f t="shared" si="69"/>
        <v>-15.52</v>
      </c>
      <c r="N248" s="3">
        <f t="shared" si="70"/>
        <v>146.32</v>
      </c>
      <c r="O248" s="3"/>
      <c r="P248" s="3">
        <f t="shared" si="71"/>
        <v>98.147779527559052</v>
      </c>
      <c r="Q248" s="3">
        <f t="shared" si="72"/>
        <v>136.10405039370079</v>
      </c>
      <c r="R248" s="3">
        <f>vd(DataTable[[#This Row],[Sentido]],DataTable[[#This Row],[Valor]])</f>
        <v>107.75905511811024</v>
      </c>
      <c r="S248" s="3">
        <f>IF(DataTable[[#This Row],[Valor]]&gt;1,1,1)</f>
        <v>1</v>
      </c>
      <c r="T248" s="3">
        <f>IF(DataTable[[#This Row],[Valor]]&gt;1,1,1)</f>
        <v>1</v>
      </c>
      <c r="U248" s="3">
        <f>angr(DataTable[[#This Row],[Sentido]],DataTable[[#This Row],[Valor]])</f>
        <v>39.408661417322833</v>
      </c>
      <c r="V248" s="3">
        <f>ANGI(DataTable[[#This Row],[Sentido]],DataTable[[#This Row],[Valor]])</f>
        <v>42.039370078740156</v>
      </c>
      <c r="W248" s="3">
        <f t="shared" si="73"/>
        <v>3</v>
      </c>
      <c r="X248" s="3">
        <f>IF(DataTable[[#This Row],[Valor]]&gt;1,1,1)</f>
        <v>1</v>
      </c>
      <c r="Y248" s="3">
        <f t="shared" si="74"/>
        <v>3</v>
      </c>
      <c r="Z248" s="3">
        <f>IF(AND(DataTable[[#This Row],[Sentido]]="URUGUAI para BRASIL",DataTable[[#This Row],[Valor]]&gt;350),1,0)</f>
        <v>0</v>
      </c>
      <c r="AA248" s="3">
        <f>IF(DataTable[[#This Row],[Valor]]&gt;1,0,0)</f>
        <v>0</v>
      </c>
    </row>
    <row r="249" spans="1:27" x14ac:dyDescent="0.25">
      <c r="A249" s="2" t="s">
        <v>21</v>
      </c>
      <c r="B249" s="2">
        <v>297</v>
      </c>
      <c r="C249" s="3">
        <f t="shared" si="60"/>
        <v>83.846649606299209</v>
      </c>
      <c r="D249" s="3">
        <f t="shared" si="61"/>
        <v>90.096649606299209</v>
      </c>
      <c r="E249" s="3">
        <f t="shared" si="62"/>
        <v>86.346649606299209</v>
      </c>
      <c r="F249" s="3">
        <f t="shared" si="63"/>
        <v>39.36</v>
      </c>
      <c r="G249" s="3">
        <f t="shared" si="64"/>
        <v>105.6</v>
      </c>
      <c r="H249" s="3">
        <f t="shared" si="65"/>
        <v>105.6</v>
      </c>
      <c r="I249" s="3"/>
      <c r="J249" s="3">
        <f t="shared" si="66"/>
        <v>84.864349606299214</v>
      </c>
      <c r="K249" s="3">
        <f t="shared" si="67"/>
        <v>90.096649606299209</v>
      </c>
      <c r="L249" s="34">
        <f t="shared" si="68"/>
        <v>86.346649606299209</v>
      </c>
      <c r="M249" s="3">
        <f t="shared" si="69"/>
        <v>-15.64</v>
      </c>
      <c r="N249" s="3">
        <f t="shared" si="70"/>
        <v>146.24</v>
      </c>
      <c r="O249" s="3"/>
      <c r="P249" s="3">
        <f t="shared" si="71"/>
        <v>98.400440944881893</v>
      </c>
      <c r="Q249" s="3">
        <f t="shared" si="72"/>
        <v>136.20949921259844</v>
      </c>
      <c r="R249" s="3">
        <f>vd(DataTable[[#This Row],[Sentido]],DataTable[[#This Row],[Valor]])</f>
        <v>108.08188976377953</v>
      </c>
      <c r="S249" s="3">
        <f>IF(DataTable[[#This Row],[Valor]]&gt;1,1,1)</f>
        <v>1</v>
      </c>
      <c r="T249" s="3">
        <f>IF(DataTable[[#This Row],[Valor]]&gt;1,1,1)</f>
        <v>1</v>
      </c>
      <c r="U249" s="3">
        <f>angr(DataTable[[#This Row],[Sentido]],DataTable[[#This Row],[Valor]])</f>
        <v>39.282677165354329</v>
      </c>
      <c r="V249" s="3">
        <f>ANGI(DataTable[[#This Row],[Sentido]],DataTable[[#This Row],[Valor]])</f>
        <v>41.921259842519682</v>
      </c>
      <c r="W249" s="3">
        <f t="shared" si="73"/>
        <v>3</v>
      </c>
      <c r="X249" s="3">
        <f>IF(DataTable[[#This Row],[Valor]]&gt;1,1,1)</f>
        <v>1</v>
      </c>
      <c r="Y249" s="3">
        <f t="shared" si="74"/>
        <v>3</v>
      </c>
      <c r="Z249" s="3">
        <f>IF(AND(DataTable[[#This Row],[Sentido]]="URUGUAI para BRASIL",DataTable[[#This Row],[Valor]]&gt;350),1,0)</f>
        <v>0</v>
      </c>
      <c r="AA249" s="3">
        <f>IF(DataTable[[#This Row],[Valor]]&gt;1,0,0)</f>
        <v>0</v>
      </c>
    </row>
    <row r="250" spans="1:27" x14ac:dyDescent="0.25">
      <c r="A250" s="2" t="s">
        <v>21</v>
      </c>
      <c r="B250" s="2">
        <v>298</v>
      </c>
      <c r="C250" s="3">
        <f t="shared" si="60"/>
        <v>83.918874015748031</v>
      </c>
      <c r="D250" s="3">
        <f t="shared" si="61"/>
        <v>90.168874015748031</v>
      </c>
      <c r="E250" s="3">
        <f t="shared" si="62"/>
        <v>86.418874015748031</v>
      </c>
      <c r="F250" s="3">
        <f t="shared" si="63"/>
        <v>39.24</v>
      </c>
      <c r="G250" s="3">
        <f t="shared" si="64"/>
        <v>105.4</v>
      </c>
      <c r="H250" s="3">
        <f t="shared" si="65"/>
        <v>105.4</v>
      </c>
      <c r="I250" s="3"/>
      <c r="J250" s="3">
        <f t="shared" si="66"/>
        <v>84.936574015748036</v>
      </c>
      <c r="K250" s="3">
        <f t="shared" si="67"/>
        <v>90.168874015748031</v>
      </c>
      <c r="L250" s="34">
        <f t="shared" si="68"/>
        <v>86.418874015748031</v>
      </c>
      <c r="M250" s="3">
        <f t="shared" si="69"/>
        <v>-15.76</v>
      </c>
      <c r="N250" s="3">
        <f t="shared" si="70"/>
        <v>146.16</v>
      </c>
      <c r="O250" s="3"/>
      <c r="P250" s="3">
        <f t="shared" si="71"/>
        <v>98.65310236220472</v>
      </c>
      <c r="Q250" s="3">
        <f t="shared" si="72"/>
        <v>136.31494803149604</v>
      </c>
      <c r="R250" s="3">
        <f>vd(DataTable[[#This Row],[Sentido]],DataTable[[#This Row],[Valor]])</f>
        <v>108.40472440944882</v>
      </c>
      <c r="S250" s="3">
        <f>IF(DataTable[[#This Row],[Valor]]&gt;1,1,1)</f>
        <v>1</v>
      </c>
      <c r="T250" s="3">
        <f>IF(DataTable[[#This Row],[Valor]]&gt;1,1,1)</f>
        <v>1</v>
      </c>
      <c r="U250" s="3">
        <f>angr(DataTable[[#This Row],[Sentido]],DataTable[[#This Row],[Valor]])</f>
        <v>39.156692913385825</v>
      </c>
      <c r="V250" s="3">
        <f>ANGI(DataTable[[#This Row],[Sentido]],DataTable[[#This Row],[Valor]])</f>
        <v>41.803149606299215</v>
      </c>
      <c r="W250" s="3">
        <f t="shared" si="73"/>
        <v>3</v>
      </c>
      <c r="X250" s="3">
        <f>IF(DataTable[[#This Row],[Valor]]&gt;1,1,1)</f>
        <v>1</v>
      </c>
      <c r="Y250" s="3">
        <f t="shared" si="74"/>
        <v>3</v>
      </c>
      <c r="Z250" s="3">
        <f>IF(AND(DataTable[[#This Row],[Sentido]]="URUGUAI para BRASIL",DataTable[[#This Row],[Valor]]&gt;350),1,0)</f>
        <v>0</v>
      </c>
      <c r="AA250" s="3">
        <f>IF(DataTable[[#This Row],[Valor]]&gt;1,0,0)</f>
        <v>0</v>
      </c>
    </row>
    <row r="251" spans="1:27" x14ac:dyDescent="0.25">
      <c r="A251" s="2" t="s">
        <v>21</v>
      </c>
      <c r="B251" s="2">
        <v>299</v>
      </c>
      <c r="C251" s="3">
        <f t="shared" si="60"/>
        <v>83.991098425196853</v>
      </c>
      <c r="D251" s="3">
        <f t="shared" si="61"/>
        <v>90.241098425196853</v>
      </c>
      <c r="E251" s="3">
        <f t="shared" si="62"/>
        <v>86.491098425196853</v>
      </c>
      <c r="F251" s="3">
        <f t="shared" si="63"/>
        <v>39.120000000000005</v>
      </c>
      <c r="G251" s="3">
        <f t="shared" si="64"/>
        <v>105.2</v>
      </c>
      <c r="H251" s="3">
        <f t="shared" si="65"/>
        <v>105.2</v>
      </c>
      <c r="I251" s="3"/>
      <c r="J251" s="3">
        <f t="shared" si="66"/>
        <v>85.008798425196844</v>
      </c>
      <c r="K251" s="3">
        <f t="shared" si="67"/>
        <v>90.241098425196853</v>
      </c>
      <c r="L251" s="34">
        <f t="shared" si="68"/>
        <v>86.491098425196853</v>
      </c>
      <c r="M251" s="3">
        <f t="shared" si="69"/>
        <v>-15.879999999999999</v>
      </c>
      <c r="N251" s="3">
        <f t="shared" si="70"/>
        <v>146.08000000000001</v>
      </c>
      <c r="O251" s="3"/>
      <c r="P251" s="3">
        <f t="shared" si="71"/>
        <v>98.905763779527561</v>
      </c>
      <c r="Q251" s="3">
        <f t="shared" si="72"/>
        <v>136.4203968503937</v>
      </c>
      <c r="R251" s="3">
        <f>vd(DataTable[[#This Row],[Sentido]],DataTable[[#This Row],[Valor]])</f>
        <v>108.72755905511811</v>
      </c>
      <c r="S251" s="3">
        <f>IF(DataTable[[#This Row],[Valor]]&gt;1,1,1)</f>
        <v>1</v>
      </c>
      <c r="T251" s="3">
        <f>IF(DataTable[[#This Row],[Valor]]&gt;1,1,1)</f>
        <v>1</v>
      </c>
      <c r="U251" s="3">
        <f>angr(DataTable[[#This Row],[Sentido]],DataTable[[#This Row],[Valor]])</f>
        <v>39.030708661417322</v>
      </c>
      <c r="V251" s="3">
        <f>ANGI(DataTable[[#This Row],[Sentido]],DataTable[[#This Row],[Valor]])</f>
        <v>41.685039370078741</v>
      </c>
      <c r="W251" s="3">
        <f t="shared" si="73"/>
        <v>3</v>
      </c>
      <c r="X251" s="3">
        <f>IF(DataTable[[#This Row],[Valor]]&gt;1,1,1)</f>
        <v>1</v>
      </c>
      <c r="Y251" s="3">
        <f t="shared" si="74"/>
        <v>3</v>
      </c>
      <c r="Z251" s="3">
        <f>IF(AND(DataTable[[#This Row],[Sentido]]="URUGUAI para BRASIL",DataTable[[#This Row],[Valor]]&gt;350),1,0)</f>
        <v>0</v>
      </c>
      <c r="AA251" s="3">
        <f>IF(DataTable[[#This Row],[Valor]]&gt;1,0,0)</f>
        <v>0</v>
      </c>
    </row>
    <row r="252" spans="1:27" x14ac:dyDescent="0.25">
      <c r="A252" s="2" t="s">
        <v>21</v>
      </c>
      <c r="B252" s="2">
        <v>300</v>
      </c>
      <c r="C252" s="3">
        <f t="shared" si="60"/>
        <v>84.063322834645675</v>
      </c>
      <c r="D252" s="3">
        <f t="shared" si="61"/>
        <v>90.313322834645675</v>
      </c>
      <c r="E252" s="3">
        <f t="shared" si="62"/>
        <v>86.563322834645675</v>
      </c>
      <c r="F252" s="3">
        <f t="shared" si="63"/>
        <v>39</v>
      </c>
      <c r="G252" s="3">
        <f t="shared" si="64"/>
        <v>105</v>
      </c>
      <c r="H252" s="3">
        <f t="shared" si="65"/>
        <v>105</v>
      </c>
      <c r="I252" s="3"/>
      <c r="J252" s="3">
        <f t="shared" si="66"/>
        <v>85.081022834645665</v>
      </c>
      <c r="K252" s="3">
        <f t="shared" si="67"/>
        <v>90.313322834645675</v>
      </c>
      <c r="L252" s="34">
        <f t="shared" si="68"/>
        <v>86.563322834645675</v>
      </c>
      <c r="M252" s="3">
        <f t="shared" si="69"/>
        <v>-16</v>
      </c>
      <c r="N252" s="3">
        <f t="shared" si="70"/>
        <v>146</v>
      </c>
      <c r="O252" s="3"/>
      <c r="P252" s="3">
        <f t="shared" si="71"/>
        <v>99.158425196850402</v>
      </c>
      <c r="Q252" s="3">
        <f t="shared" si="72"/>
        <v>136.52584566929133</v>
      </c>
      <c r="R252" s="3">
        <f>vd(DataTable[[#This Row],[Sentido]],DataTable[[#This Row],[Valor]])</f>
        <v>109.0503937007874</v>
      </c>
      <c r="S252" s="3">
        <f>IF(DataTable[[#This Row],[Valor]]&gt;1,1,1)</f>
        <v>1</v>
      </c>
      <c r="T252" s="3">
        <f>IF(DataTable[[#This Row],[Valor]]&gt;1,1,1)</f>
        <v>1</v>
      </c>
      <c r="U252" s="3">
        <f>angr(DataTable[[#This Row],[Sentido]],DataTable[[#This Row],[Valor]])</f>
        <v>38.904724409448818</v>
      </c>
      <c r="V252" s="3">
        <f>ANGI(DataTable[[#This Row],[Sentido]],DataTable[[#This Row],[Valor]])</f>
        <v>41.566929133858267</v>
      </c>
      <c r="W252" s="3">
        <f t="shared" si="73"/>
        <v>3</v>
      </c>
      <c r="X252" s="3">
        <f>IF(DataTable[[#This Row],[Valor]]&gt;1,1,1)</f>
        <v>1</v>
      </c>
      <c r="Y252" s="3">
        <f t="shared" si="74"/>
        <v>3</v>
      </c>
      <c r="Z252" s="3">
        <f>IF(AND(DataTable[[#This Row],[Sentido]]="URUGUAI para BRASIL",DataTable[[#This Row],[Valor]]&gt;350),1,0)</f>
        <v>0</v>
      </c>
      <c r="AA252" s="3">
        <f>IF(DataTable[[#This Row],[Valor]]&gt;1,0,0)</f>
        <v>0</v>
      </c>
    </row>
    <row r="253" spans="1:27" x14ac:dyDescent="0.25">
      <c r="A253" s="2" t="s">
        <v>21</v>
      </c>
      <c r="B253" s="2">
        <v>301</v>
      </c>
      <c r="C253" s="3">
        <f t="shared" si="60"/>
        <v>84.135547244094482</v>
      </c>
      <c r="D253" s="3">
        <f t="shared" si="61"/>
        <v>89.135547244094482</v>
      </c>
      <c r="E253" s="3">
        <f t="shared" si="62"/>
        <v>86.635547244094482</v>
      </c>
      <c r="F253" s="3">
        <f t="shared" si="63"/>
        <v>38.879999999999995</v>
      </c>
      <c r="G253" s="3">
        <f t="shared" si="64"/>
        <v>104.8</v>
      </c>
      <c r="H253" s="3">
        <f t="shared" si="65"/>
        <v>104.8</v>
      </c>
      <c r="I253" s="3"/>
      <c r="J253" s="3">
        <f t="shared" si="66"/>
        <v>85.153247244094487</v>
      </c>
      <c r="K253" s="3">
        <f t="shared" si="67"/>
        <v>89.135547244094482</v>
      </c>
      <c r="L253" s="34">
        <f t="shared" si="68"/>
        <v>86.635547244094482</v>
      </c>
      <c r="M253" s="3">
        <f t="shared" si="69"/>
        <v>-16.12</v>
      </c>
      <c r="N253" s="3">
        <f t="shared" si="70"/>
        <v>145.91999999999999</v>
      </c>
      <c r="O253" s="3"/>
      <c r="P253" s="3">
        <f t="shared" si="71"/>
        <v>99.411086614173229</v>
      </c>
      <c r="Q253" s="3">
        <f t="shared" si="72"/>
        <v>136.63129448818898</v>
      </c>
      <c r="R253" s="3">
        <f>vd(DataTable[[#This Row],[Sentido]],DataTable[[#This Row],[Valor]])</f>
        <v>109.37322834645668</v>
      </c>
      <c r="S253" s="3">
        <f>IF(DataTable[[#This Row],[Valor]]&gt;1,1,1)</f>
        <v>1</v>
      </c>
      <c r="T253" s="3">
        <f>IF(DataTable[[#This Row],[Valor]]&gt;1,1,1)</f>
        <v>1</v>
      </c>
      <c r="U253" s="3">
        <f>angr(DataTable[[#This Row],[Sentido]],DataTable[[#This Row],[Valor]])</f>
        <v>38.778740157480314</v>
      </c>
      <c r="V253" s="3">
        <f>ANGI(DataTable[[#This Row],[Sentido]],DataTable[[#This Row],[Valor]])</f>
        <v>41.448818897637793</v>
      </c>
      <c r="W253" s="3">
        <f t="shared" si="73"/>
        <v>3</v>
      </c>
      <c r="X253" s="3">
        <f>IF(DataTable[[#This Row],[Valor]]&gt;1,1,1)</f>
        <v>1</v>
      </c>
      <c r="Y253" s="3">
        <f t="shared" si="74"/>
        <v>3</v>
      </c>
      <c r="Z253" s="3">
        <f>IF(AND(DataTable[[#This Row],[Sentido]]="URUGUAI para BRASIL",DataTable[[#This Row],[Valor]]&gt;350),1,0)</f>
        <v>0</v>
      </c>
      <c r="AA253" s="3">
        <f>IF(DataTable[[#This Row],[Valor]]&gt;1,0,0)</f>
        <v>0</v>
      </c>
    </row>
    <row r="254" spans="1:27" x14ac:dyDescent="0.25">
      <c r="A254" s="2" t="s">
        <v>21</v>
      </c>
      <c r="B254" s="2">
        <v>302</v>
      </c>
      <c r="C254" s="3">
        <f t="shared" si="60"/>
        <v>84.207771653543304</v>
      </c>
      <c r="D254" s="3">
        <f t="shared" si="61"/>
        <v>89.207771653543304</v>
      </c>
      <c r="E254" s="3">
        <f t="shared" si="62"/>
        <v>86.707771653543304</v>
      </c>
      <c r="F254" s="3">
        <f t="shared" si="63"/>
        <v>38.760000000000005</v>
      </c>
      <c r="G254" s="3">
        <f t="shared" si="64"/>
        <v>104.6</v>
      </c>
      <c r="H254" s="3">
        <f t="shared" si="65"/>
        <v>104.6</v>
      </c>
      <c r="I254" s="3"/>
      <c r="J254" s="3">
        <f t="shared" si="66"/>
        <v>85.225471653543309</v>
      </c>
      <c r="K254" s="3">
        <f t="shared" si="67"/>
        <v>89.207771653543304</v>
      </c>
      <c r="L254" s="34">
        <f t="shared" si="68"/>
        <v>86.707771653543304</v>
      </c>
      <c r="M254" s="3">
        <f t="shared" si="69"/>
        <v>-16.239999999999998</v>
      </c>
      <c r="N254" s="3">
        <f t="shared" si="70"/>
        <v>145.84</v>
      </c>
      <c r="O254" s="3"/>
      <c r="P254" s="3">
        <f t="shared" si="71"/>
        <v>99.663748031496056</v>
      </c>
      <c r="Q254" s="3">
        <f t="shared" si="72"/>
        <v>136.73674330708661</v>
      </c>
      <c r="R254" s="3">
        <f>vd(DataTable[[#This Row],[Sentido]],DataTable[[#This Row],[Valor]])</f>
        <v>109.69606299212597</v>
      </c>
      <c r="S254" s="3">
        <f>IF(DataTable[[#This Row],[Valor]]&gt;1,1,1)</f>
        <v>1</v>
      </c>
      <c r="T254" s="3">
        <f>IF(DataTable[[#This Row],[Valor]]&gt;1,1,1)</f>
        <v>1</v>
      </c>
      <c r="U254" s="3">
        <f>angr(DataTable[[#This Row],[Sentido]],DataTable[[#This Row],[Valor]])</f>
        <v>38.65275590551181</v>
      </c>
      <c r="V254" s="3">
        <f>ANGI(DataTable[[#This Row],[Sentido]],DataTable[[#This Row],[Valor]])</f>
        <v>41.330708661417326</v>
      </c>
      <c r="W254" s="3">
        <f t="shared" si="73"/>
        <v>3</v>
      </c>
      <c r="X254" s="3">
        <f>IF(DataTable[[#This Row],[Valor]]&gt;1,1,1)</f>
        <v>1</v>
      </c>
      <c r="Y254" s="3">
        <f t="shared" si="74"/>
        <v>3</v>
      </c>
      <c r="Z254" s="3">
        <f>IF(AND(DataTable[[#This Row],[Sentido]]="URUGUAI para BRASIL",DataTable[[#This Row],[Valor]]&gt;350),1,0)</f>
        <v>0</v>
      </c>
      <c r="AA254" s="3">
        <f>IF(DataTable[[#This Row],[Valor]]&gt;1,0,0)</f>
        <v>0</v>
      </c>
    </row>
    <row r="255" spans="1:27" x14ac:dyDescent="0.25">
      <c r="A255" s="2" t="s">
        <v>21</v>
      </c>
      <c r="B255" s="2">
        <v>303</v>
      </c>
      <c r="C255" s="3">
        <f t="shared" si="60"/>
        <v>84.279996062992126</v>
      </c>
      <c r="D255" s="3">
        <f t="shared" si="61"/>
        <v>89.279996062992126</v>
      </c>
      <c r="E255" s="3">
        <f t="shared" si="62"/>
        <v>86.779996062992126</v>
      </c>
      <c r="F255" s="3">
        <f t="shared" si="63"/>
        <v>38.64</v>
      </c>
      <c r="G255" s="3">
        <f t="shared" si="64"/>
        <v>104.4</v>
      </c>
      <c r="H255" s="3">
        <f t="shared" si="65"/>
        <v>104.4</v>
      </c>
      <c r="I255" s="3"/>
      <c r="J255" s="3">
        <f t="shared" si="66"/>
        <v>85.297696062992131</v>
      </c>
      <c r="K255" s="3">
        <f t="shared" si="67"/>
        <v>89.279996062992126</v>
      </c>
      <c r="L255" s="34">
        <f t="shared" si="68"/>
        <v>86.779996062992126</v>
      </c>
      <c r="M255" s="3">
        <f t="shared" si="69"/>
        <v>-16.36</v>
      </c>
      <c r="N255" s="3">
        <f t="shared" si="70"/>
        <v>145.76</v>
      </c>
      <c r="O255" s="3"/>
      <c r="P255" s="3">
        <f t="shared" si="71"/>
        <v>99.916409448818897</v>
      </c>
      <c r="Q255" s="3">
        <f t="shared" si="72"/>
        <v>136.84219212598424</v>
      </c>
      <c r="R255" s="3">
        <f>vd(DataTable[[#This Row],[Sentido]],DataTable[[#This Row],[Valor]])</f>
        <v>110.01889763779528</v>
      </c>
      <c r="S255" s="3">
        <f>IF(DataTable[[#This Row],[Valor]]&gt;1,1,1)</f>
        <v>1</v>
      </c>
      <c r="T255" s="3">
        <f>IF(DataTable[[#This Row],[Valor]]&gt;1,1,1)</f>
        <v>1</v>
      </c>
      <c r="U255" s="3">
        <f>angr(DataTable[[#This Row],[Sentido]],DataTable[[#This Row],[Valor]])</f>
        <v>38.526771653543307</v>
      </c>
      <c r="V255" s="3">
        <f>ANGI(DataTable[[#This Row],[Sentido]],DataTable[[#This Row],[Valor]])</f>
        <v>41.212598425196852</v>
      </c>
      <c r="W255" s="3">
        <f t="shared" si="73"/>
        <v>3</v>
      </c>
      <c r="X255" s="3">
        <f>IF(DataTable[[#This Row],[Valor]]&gt;1,1,1)</f>
        <v>1</v>
      </c>
      <c r="Y255" s="3">
        <f t="shared" si="74"/>
        <v>3</v>
      </c>
      <c r="Z255" s="3">
        <f>IF(AND(DataTable[[#This Row],[Sentido]]="URUGUAI para BRASIL",DataTable[[#This Row],[Valor]]&gt;350),1,0)</f>
        <v>0</v>
      </c>
      <c r="AA255" s="3">
        <f>IF(DataTable[[#This Row],[Valor]]&gt;1,0,0)</f>
        <v>0</v>
      </c>
    </row>
    <row r="256" spans="1:27" x14ac:dyDescent="0.25">
      <c r="A256" s="2" t="s">
        <v>21</v>
      </c>
      <c r="B256" s="2">
        <v>304</v>
      </c>
      <c r="C256" s="3">
        <f t="shared" si="60"/>
        <v>84.352220472440948</v>
      </c>
      <c r="D256" s="3">
        <f t="shared" si="61"/>
        <v>89.352220472440948</v>
      </c>
      <c r="E256" s="3">
        <f t="shared" si="62"/>
        <v>86.852220472440948</v>
      </c>
      <c r="F256" s="3">
        <f t="shared" si="63"/>
        <v>38.519999999999996</v>
      </c>
      <c r="G256" s="3">
        <f t="shared" si="64"/>
        <v>104.2</v>
      </c>
      <c r="H256" s="3">
        <f t="shared" si="65"/>
        <v>104.2</v>
      </c>
      <c r="I256" s="3"/>
      <c r="J256" s="3">
        <f t="shared" si="66"/>
        <v>85.369920472440953</v>
      </c>
      <c r="K256" s="3">
        <f t="shared" si="67"/>
        <v>89.352220472440948</v>
      </c>
      <c r="L256" s="34">
        <f t="shared" si="68"/>
        <v>86.852220472440948</v>
      </c>
      <c r="M256" s="3">
        <f t="shared" si="69"/>
        <v>-16.48</v>
      </c>
      <c r="N256" s="3">
        <f t="shared" si="70"/>
        <v>145.68</v>
      </c>
      <c r="O256" s="3"/>
      <c r="P256" s="3">
        <f t="shared" si="71"/>
        <v>100.16907086614174</v>
      </c>
      <c r="Q256" s="3">
        <f t="shared" si="72"/>
        <v>136.9476409448819</v>
      </c>
      <c r="R256" s="3">
        <f>vd(DataTable[[#This Row],[Sentido]],DataTable[[#This Row],[Valor]])</f>
        <v>110.34173228346457</v>
      </c>
      <c r="S256" s="3">
        <f>IF(DataTable[[#This Row],[Valor]]&gt;1,1,1)</f>
        <v>1</v>
      </c>
      <c r="T256" s="3">
        <f>IF(DataTable[[#This Row],[Valor]]&gt;1,1,1)</f>
        <v>1</v>
      </c>
      <c r="U256" s="3">
        <f>angr(DataTable[[#This Row],[Sentido]],DataTable[[#This Row],[Valor]])</f>
        <v>38.400787401574803</v>
      </c>
      <c r="V256" s="3">
        <f>ANGI(DataTable[[#This Row],[Sentido]],DataTable[[#This Row],[Valor]])</f>
        <v>41.094488188976378</v>
      </c>
      <c r="W256" s="3">
        <f t="shared" si="73"/>
        <v>3</v>
      </c>
      <c r="X256" s="3">
        <f>IF(DataTable[[#This Row],[Valor]]&gt;1,1,1)</f>
        <v>1</v>
      </c>
      <c r="Y256" s="3">
        <f t="shared" si="74"/>
        <v>3</v>
      </c>
      <c r="Z256" s="3">
        <f>IF(AND(DataTable[[#This Row],[Sentido]]="URUGUAI para BRASIL",DataTable[[#This Row],[Valor]]&gt;350),1,0)</f>
        <v>0</v>
      </c>
      <c r="AA256" s="3">
        <f>IF(DataTable[[#This Row],[Valor]]&gt;1,0,0)</f>
        <v>0</v>
      </c>
    </row>
    <row r="257" spans="1:27" x14ac:dyDescent="0.25">
      <c r="A257" s="2" t="s">
        <v>21</v>
      </c>
      <c r="B257" s="2">
        <v>305</v>
      </c>
      <c r="C257" s="3">
        <f t="shared" si="60"/>
        <v>84.424444881889769</v>
      </c>
      <c r="D257" s="3">
        <f t="shared" si="61"/>
        <v>89.424444881889769</v>
      </c>
      <c r="E257" s="3">
        <f t="shared" si="62"/>
        <v>86.924444881889769</v>
      </c>
      <c r="F257" s="3">
        <f t="shared" si="63"/>
        <v>38.4</v>
      </c>
      <c r="G257" s="3">
        <f t="shared" si="64"/>
        <v>104</v>
      </c>
      <c r="H257" s="3">
        <f t="shared" si="65"/>
        <v>104</v>
      </c>
      <c r="I257" s="3"/>
      <c r="J257" s="3">
        <f t="shared" si="66"/>
        <v>85.44214488188976</v>
      </c>
      <c r="K257" s="3">
        <f t="shared" si="67"/>
        <v>89.424444881889769</v>
      </c>
      <c r="L257" s="34">
        <f t="shared" si="68"/>
        <v>86.924444881889769</v>
      </c>
      <c r="M257" s="3">
        <f t="shared" si="69"/>
        <v>-16.600000000000001</v>
      </c>
      <c r="N257" s="3">
        <f t="shared" si="70"/>
        <v>145.6</v>
      </c>
      <c r="O257" s="3"/>
      <c r="P257" s="3">
        <f t="shared" si="71"/>
        <v>100.42173228346456</v>
      </c>
      <c r="Q257" s="3">
        <f t="shared" si="72"/>
        <v>137.05308976377952</v>
      </c>
      <c r="R257" s="3">
        <f>vd(DataTable[[#This Row],[Sentido]],DataTable[[#This Row],[Valor]])</f>
        <v>110.65905511811023</v>
      </c>
      <c r="S257" s="3">
        <f>IF(DataTable[[#This Row],[Valor]]&gt;1,1,1)</f>
        <v>1</v>
      </c>
      <c r="T257" s="3">
        <f>IF(DataTable[[#This Row],[Valor]]&gt;1,1,1)</f>
        <v>1</v>
      </c>
      <c r="U257" s="3">
        <f>angr(DataTable[[#This Row],[Sentido]],DataTable[[#This Row],[Valor]])</f>
        <v>38.278740157480314</v>
      </c>
      <c r="V257" s="3">
        <f>ANGI(DataTable[[#This Row],[Sentido]],DataTable[[#This Row],[Valor]])</f>
        <v>40.978740157480317</v>
      </c>
      <c r="W257" s="3">
        <f t="shared" si="73"/>
        <v>3</v>
      </c>
      <c r="X257" s="3">
        <f>IF(DataTable[[#This Row],[Valor]]&gt;1,1,1)</f>
        <v>1</v>
      </c>
      <c r="Y257" s="3">
        <f t="shared" si="74"/>
        <v>3</v>
      </c>
      <c r="Z257" s="3">
        <f>IF(AND(DataTable[[#This Row],[Sentido]]="URUGUAI para BRASIL",DataTable[[#This Row],[Valor]]&gt;350),1,0)</f>
        <v>0</v>
      </c>
      <c r="AA257" s="3">
        <f>IF(DataTable[[#This Row],[Valor]]&gt;1,0,0)</f>
        <v>0</v>
      </c>
    </row>
    <row r="258" spans="1:27" x14ac:dyDescent="0.25">
      <c r="A258" s="2" t="s">
        <v>21</v>
      </c>
      <c r="B258" s="2">
        <v>306</v>
      </c>
      <c r="C258" s="3">
        <f t="shared" si="60"/>
        <v>84.496669291338591</v>
      </c>
      <c r="D258" s="3">
        <f t="shared" si="61"/>
        <v>89.496669291338591</v>
      </c>
      <c r="E258" s="3">
        <f t="shared" si="62"/>
        <v>86.996669291338591</v>
      </c>
      <c r="F258" s="3">
        <f t="shared" si="63"/>
        <v>38.28</v>
      </c>
      <c r="G258" s="3">
        <f t="shared" si="64"/>
        <v>103.8</v>
      </c>
      <c r="H258" s="3">
        <f t="shared" si="65"/>
        <v>103.8</v>
      </c>
      <c r="I258" s="3"/>
      <c r="J258" s="3">
        <f t="shared" si="66"/>
        <v>85.514369291338582</v>
      </c>
      <c r="K258" s="3">
        <f t="shared" si="67"/>
        <v>89.496669291338591</v>
      </c>
      <c r="L258" s="34">
        <f t="shared" si="68"/>
        <v>86.996669291338591</v>
      </c>
      <c r="M258" s="3">
        <f t="shared" si="69"/>
        <v>-16.72</v>
      </c>
      <c r="N258" s="3">
        <f t="shared" si="70"/>
        <v>145.52000000000001</v>
      </c>
      <c r="O258" s="3"/>
      <c r="P258" s="3">
        <f t="shared" si="71"/>
        <v>100.67439370078741</v>
      </c>
      <c r="Q258" s="3">
        <f t="shared" si="72"/>
        <v>137.15853858267718</v>
      </c>
      <c r="R258" s="3">
        <f>vd(DataTable[[#This Row],[Sentido]],DataTable[[#This Row],[Valor]])</f>
        <v>110.95433070866142</v>
      </c>
      <c r="S258" s="3">
        <f>IF(DataTable[[#This Row],[Valor]]&gt;1,1,1)</f>
        <v>1</v>
      </c>
      <c r="T258" s="3">
        <f>IF(DataTable[[#This Row],[Valor]]&gt;1,1,1)</f>
        <v>1</v>
      </c>
      <c r="U258" s="3">
        <f>angr(DataTable[[#This Row],[Sentido]],DataTable[[#This Row],[Valor]])</f>
        <v>38.172440944881885</v>
      </c>
      <c r="V258" s="3">
        <f>ANGI(DataTable[[#This Row],[Sentido]],DataTable[[#This Row],[Valor]])</f>
        <v>40.872440944881888</v>
      </c>
      <c r="W258" s="3">
        <f t="shared" si="73"/>
        <v>3</v>
      </c>
      <c r="X258" s="3">
        <f>IF(DataTable[[#This Row],[Valor]]&gt;1,1,1)</f>
        <v>1</v>
      </c>
      <c r="Y258" s="3">
        <f t="shared" si="74"/>
        <v>3</v>
      </c>
      <c r="Z258" s="3">
        <f>IF(AND(DataTable[[#This Row],[Sentido]]="URUGUAI para BRASIL",DataTable[[#This Row],[Valor]]&gt;350),1,0)</f>
        <v>0</v>
      </c>
      <c r="AA258" s="3">
        <f>IF(DataTable[[#This Row],[Valor]]&gt;1,0,0)</f>
        <v>0</v>
      </c>
    </row>
    <row r="259" spans="1:27" x14ac:dyDescent="0.25">
      <c r="A259" s="2" t="s">
        <v>21</v>
      </c>
      <c r="B259" s="2">
        <v>307</v>
      </c>
      <c r="C259" s="3">
        <f t="shared" si="60"/>
        <v>84.568893700787399</v>
      </c>
      <c r="D259" s="3">
        <f t="shared" si="61"/>
        <v>89.568893700787399</v>
      </c>
      <c r="E259" s="3">
        <f t="shared" si="62"/>
        <v>87.068893700787399</v>
      </c>
      <c r="F259" s="3">
        <f t="shared" si="63"/>
        <v>38.159999999999997</v>
      </c>
      <c r="G259" s="3">
        <f t="shared" si="64"/>
        <v>103.6</v>
      </c>
      <c r="H259" s="3">
        <f t="shared" si="65"/>
        <v>103.6</v>
      </c>
      <c r="I259" s="3"/>
      <c r="J259" s="3">
        <f t="shared" si="66"/>
        <v>85.586593700787404</v>
      </c>
      <c r="K259" s="3">
        <f t="shared" si="67"/>
        <v>89.568893700787399</v>
      </c>
      <c r="L259" s="34">
        <f t="shared" si="68"/>
        <v>87.068893700787399</v>
      </c>
      <c r="M259" s="3">
        <f t="shared" si="69"/>
        <v>-16.84</v>
      </c>
      <c r="N259" s="3">
        <f t="shared" si="70"/>
        <v>145.44</v>
      </c>
      <c r="O259" s="3"/>
      <c r="P259" s="3">
        <f t="shared" si="71"/>
        <v>100.92705511811025</v>
      </c>
      <c r="Q259" s="3">
        <f t="shared" si="72"/>
        <v>137.26398740157481</v>
      </c>
      <c r="R259" s="3">
        <f>vd(DataTable[[#This Row],[Sentido]],DataTable[[#This Row],[Valor]])</f>
        <v>111.24960629921259</v>
      </c>
      <c r="S259" s="3">
        <f>IF(DataTable[[#This Row],[Valor]]&gt;1,1,1)</f>
        <v>1</v>
      </c>
      <c r="T259" s="3">
        <f>IF(DataTable[[#This Row],[Valor]]&gt;1,1,1)</f>
        <v>1</v>
      </c>
      <c r="U259" s="3">
        <f>angr(DataTable[[#This Row],[Sentido]],DataTable[[#This Row],[Valor]])</f>
        <v>38.066141732283462</v>
      </c>
      <c r="V259" s="3">
        <f>ANGI(DataTable[[#This Row],[Sentido]],DataTable[[#This Row],[Valor]])</f>
        <v>40.766141732283465</v>
      </c>
      <c r="W259" s="3">
        <f t="shared" si="73"/>
        <v>3</v>
      </c>
      <c r="X259" s="3">
        <f>IF(DataTable[[#This Row],[Valor]]&gt;1,1,1)</f>
        <v>1</v>
      </c>
      <c r="Y259" s="3">
        <f t="shared" si="74"/>
        <v>3</v>
      </c>
      <c r="Z259" s="3">
        <f>IF(AND(DataTable[[#This Row],[Sentido]]="URUGUAI para BRASIL",DataTable[[#This Row],[Valor]]&gt;350),1,0)</f>
        <v>0</v>
      </c>
      <c r="AA259" s="3">
        <f>IF(DataTable[[#This Row],[Valor]]&gt;1,0,0)</f>
        <v>0</v>
      </c>
    </row>
    <row r="260" spans="1:27" x14ac:dyDescent="0.25">
      <c r="A260" s="2" t="s">
        <v>21</v>
      </c>
      <c r="B260" s="2">
        <v>308</v>
      </c>
      <c r="C260" s="3">
        <f t="shared" si="60"/>
        <v>84.641118110236221</v>
      </c>
      <c r="D260" s="3">
        <f t="shared" si="61"/>
        <v>89.641118110236221</v>
      </c>
      <c r="E260" s="3">
        <f t="shared" si="62"/>
        <v>87.141118110236221</v>
      </c>
      <c r="F260" s="3">
        <f t="shared" si="63"/>
        <v>38.04</v>
      </c>
      <c r="G260" s="3">
        <f t="shared" si="64"/>
        <v>103.4</v>
      </c>
      <c r="H260" s="3">
        <f t="shared" si="65"/>
        <v>103.4</v>
      </c>
      <c r="I260" s="3"/>
      <c r="J260" s="3">
        <f t="shared" si="66"/>
        <v>85.658818110236226</v>
      </c>
      <c r="K260" s="3">
        <f t="shared" si="67"/>
        <v>89.641118110236221</v>
      </c>
      <c r="L260" s="34">
        <f t="shared" si="68"/>
        <v>87.141118110236221</v>
      </c>
      <c r="M260" s="3">
        <f t="shared" si="69"/>
        <v>-16.96</v>
      </c>
      <c r="N260" s="3">
        <f t="shared" si="70"/>
        <v>145.36000000000001</v>
      </c>
      <c r="O260" s="3"/>
      <c r="P260" s="3">
        <f t="shared" si="71"/>
        <v>101.17971653543307</v>
      </c>
      <c r="Q260" s="3">
        <f t="shared" si="72"/>
        <v>137.36943622047244</v>
      </c>
      <c r="R260" s="3">
        <f>vd(DataTable[[#This Row],[Sentido]],DataTable[[#This Row],[Valor]])</f>
        <v>111.54488188976377</v>
      </c>
      <c r="S260" s="3">
        <f>IF(DataTable[[#This Row],[Valor]]&gt;1,1,1)</f>
        <v>1</v>
      </c>
      <c r="T260" s="3">
        <f>IF(DataTable[[#This Row],[Valor]]&gt;1,1,1)</f>
        <v>1</v>
      </c>
      <c r="U260" s="3">
        <f>angr(DataTable[[#This Row],[Sentido]],DataTable[[#This Row],[Valor]])</f>
        <v>37.95984251968504</v>
      </c>
      <c r="V260" s="3">
        <f>ANGI(DataTable[[#This Row],[Sentido]],DataTable[[#This Row],[Valor]])</f>
        <v>40.659842519685043</v>
      </c>
      <c r="W260" s="3">
        <f t="shared" si="73"/>
        <v>3</v>
      </c>
      <c r="X260" s="3">
        <f>IF(DataTable[[#This Row],[Valor]]&gt;1,1,1)</f>
        <v>1</v>
      </c>
      <c r="Y260" s="3">
        <f t="shared" si="74"/>
        <v>3</v>
      </c>
      <c r="Z260" s="3">
        <f>IF(AND(DataTable[[#This Row],[Sentido]]="URUGUAI para BRASIL",DataTable[[#This Row],[Valor]]&gt;350),1,0)</f>
        <v>0</v>
      </c>
      <c r="AA260" s="3">
        <f>IF(DataTable[[#This Row],[Valor]]&gt;1,0,0)</f>
        <v>0</v>
      </c>
    </row>
    <row r="261" spans="1:27" x14ac:dyDescent="0.25">
      <c r="A261" s="2" t="s">
        <v>21</v>
      </c>
      <c r="B261" s="2">
        <v>309</v>
      </c>
      <c r="C261" s="3">
        <f t="shared" ref="C261:C324" si="75">MiniVWVB(A261,B261,E261)</f>
        <v>84.713342519685042</v>
      </c>
      <c r="D261" s="3">
        <f t="shared" ref="D261:D324" si="76">MaxVWV(A261,B261)</f>
        <v>89.713342519685042</v>
      </c>
      <c r="E261" s="3">
        <f t="shared" ref="E261:E324" si="77">RatedVWV(B261)</f>
        <v>87.213342519685042</v>
      </c>
      <c r="F261" s="3">
        <f t="shared" ref="F261:F324" si="78">MinQB(A261,B261)</f>
        <v>37.92</v>
      </c>
      <c r="G261" s="3">
        <f t="shared" ref="G261:G324" si="79">MaxQB3F(A261,B261)</f>
        <v>103.2</v>
      </c>
      <c r="H261" s="3">
        <f t="shared" ref="H261:H324" si="80">MaxQB4F(A261,B261)</f>
        <v>103.2</v>
      </c>
      <c r="I261" s="3"/>
      <c r="J261" s="3">
        <f t="shared" ref="J261:J324" si="81">MiniVWVU(A261,B261,L261)</f>
        <v>85.731042519685033</v>
      </c>
      <c r="K261" s="3">
        <f t="shared" ref="K261:K324" si="82">MaxVWV(A261,B261)</f>
        <v>89.713342519685042</v>
      </c>
      <c r="L261" s="34">
        <f t="shared" ref="L261:L324" si="83">RatedVWV(B261)</f>
        <v>87.213342519685042</v>
      </c>
      <c r="M261" s="3">
        <f t="shared" ref="M261:M324" si="84">MinQU(A261,B261)</f>
        <v>-17.079999999999998</v>
      </c>
      <c r="N261" s="3">
        <f t="shared" ref="N261:N324" si="85">MaxQU(A261,B261)</f>
        <v>145.28</v>
      </c>
      <c r="O261" s="3"/>
      <c r="P261" s="3">
        <f t="shared" ref="P261:P324" si="86">MiniUpper(A261,B261)</f>
        <v>101.4323779527559</v>
      </c>
      <c r="Q261" s="3">
        <f t="shared" ref="Q261:Q324" si="87">MaxUpper(A261,B261)</f>
        <v>137.47488503937009</v>
      </c>
      <c r="R261" s="3">
        <f>vd(DataTable[[#This Row],[Sentido]],DataTable[[#This Row],[Valor]])</f>
        <v>111.84015748031496</v>
      </c>
      <c r="S261" s="3">
        <f>IF(DataTable[[#This Row],[Valor]]&gt;1,1,1)</f>
        <v>1</v>
      </c>
      <c r="T261" s="3">
        <f>IF(DataTable[[#This Row],[Valor]]&gt;1,1,1)</f>
        <v>1</v>
      </c>
      <c r="U261" s="3">
        <f>angr(DataTable[[#This Row],[Sentido]],DataTable[[#This Row],[Valor]])</f>
        <v>37.853543307086611</v>
      </c>
      <c r="V261" s="3">
        <f>ANGI(DataTable[[#This Row],[Sentido]],DataTable[[#This Row],[Valor]])</f>
        <v>40.553543307086613</v>
      </c>
      <c r="W261" s="3">
        <f t="shared" ref="W261:W324" si="88">IF(A262="URUGUAI para BRASIL",IF(B261&gt;119,IF(B261&gt;240,3,2),1),IF(B261&gt;120,IF(B261&gt;240,3,2),1))</f>
        <v>3</v>
      </c>
      <c r="X261" s="3">
        <f>IF(DataTable[[#This Row],[Valor]]&gt;1,1,1)</f>
        <v>1</v>
      </c>
      <c r="Y261" s="3">
        <f t="shared" ref="Y261:Y324" si="89">IF(A262="URUGUAI para BRASIL",IF(B261&gt;119,IF(B261&gt;240,3,2),1),IF(B261&gt;120,IF(B261&gt;240,3,2),1))</f>
        <v>3</v>
      </c>
      <c r="Z261" s="3">
        <f>IF(AND(DataTable[[#This Row],[Sentido]]="URUGUAI para BRASIL",DataTable[[#This Row],[Valor]]&gt;350),1,0)</f>
        <v>0</v>
      </c>
      <c r="AA261" s="3">
        <f>IF(DataTable[[#This Row],[Valor]]&gt;1,0,0)</f>
        <v>0</v>
      </c>
    </row>
    <row r="262" spans="1:27" x14ac:dyDescent="0.25">
      <c r="A262" s="2" t="s">
        <v>21</v>
      </c>
      <c r="B262" s="2">
        <v>310</v>
      </c>
      <c r="C262" s="3">
        <f t="shared" si="75"/>
        <v>84.785566929133864</v>
      </c>
      <c r="D262" s="3">
        <f t="shared" si="76"/>
        <v>89.785566929133864</v>
      </c>
      <c r="E262" s="3">
        <f t="shared" si="77"/>
        <v>87.285566929133864</v>
      </c>
      <c r="F262" s="3">
        <f t="shared" si="78"/>
        <v>37.799999999999997</v>
      </c>
      <c r="G262" s="3">
        <f t="shared" si="79"/>
        <v>103</v>
      </c>
      <c r="H262" s="3">
        <f t="shared" si="80"/>
        <v>103</v>
      </c>
      <c r="I262" s="3"/>
      <c r="J262" s="3">
        <f t="shared" si="81"/>
        <v>85.803266929133855</v>
      </c>
      <c r="K262" s="3">
        <f t="shared" si="82"/>
        <v>89.785566929133864</v>
      </c>
      <c r="L262" s="34">
        <f t="shared" si="83"/>
        <v>87.285566929133864</v>
      </c>
      <c r="M262" s="3">
        <f t="shared" si="84"/>
        <v>-17.2</v>
      </c>
      <c r="N262" s="3">
        <f t="shared" si="85"/>
        <v>145.19999999999999</v>
      </c>
      <c r="O262" s="3"/>
      <c r="P262" s="3">
        <f t="shared" si="86"/>
        <v>101.68503937007874</v>
      </c>
      <c r="Q262" s="3">
        <f t="shared" si="87"/>
        <v>137.58033385826772</v>
      </c>
      <c r="R262" s="3">
        <f>vd(DataTable[[#This Row],[Sentido]],DataTable[[#This Row],[Valor]])</f>
        <v>112.13543307086614</v>
      </c>
      <c r="S262" s="3">
        <f>IF(DataTable[[#This Row],[Valor]]&gt;1,1,1)</f>
        <v>1</v>
      </c>
      <c r="T262" s="3">
        <f>IF(DataTable[[#This Row],[Valor]]&gt;1,1,1)</f>
        <v>1</v>
      </c>
      <c r="U262" s="3">
        <f>angr(DataTable[[#This Row],[Sentido]],DataTable[[#This Row],[Valor]])</f>
        <v>37.747244094488188</v>
      </c>
      <c r="V262" s="3">
        <f>ANGI(DataTable[[#This Row],[Sentido]],DataTable[[#This Row],[Valor]])</f>
        <v>40.447244094488184</v>
      </c>
      <c r="W262" s="3">
        <f t="shared" si="88"/>
        <v>3</v>
      </c>
      <c r="X262" s="3">
        <f>IF(DataTable[[#This Row],[Valor]]&gt;1,1,1)</f>
        <v>1</v>
      </c>
      <c r="Y262" s="3">
        <f t="shared" si="89"/>
        <v>3</v>
      </c>
      <c r="Z262" s="3">
        <f>IF(AND(DataTable[[#This Row],[Sentido]]="URUGUAI para BRASIL",DataTable[[#This Row],[Valor]]&gt;350),1,0)</f>
        <v>0</v>
      </c>
      <c r="AA262" s="3">
        <f>IF(DataTable[[#This Row],[Valor]]&gt;1,0,0)</f>
        <v>0</v>
      </c>
    </row>
    <row r="263" spans="1:27" x14ac:dyDescent="0.25">
      <c r="A263" s="2" t="s">
        <v>21</v>
      </c>
      <c r="B263" s="2">
        <v>311</v>
      </c>
      <c r="C263" s="3">
        <f t="shared" si="75"/>
        <v>84.857791338582672</v>
      </c>
      <c r="D263" s="3">
        <f t="shared" si="76"/>
        <v>89.857791338582672</v>
      </c>
      <c r="E263" s="3">
        <f t="shared" si="77"/>
        <v>87.357791338582672</v>
      </c>
      <c r="F263" s="3">
        <f t="shared" si="78"/>
        <v>37.68</v>
      </c>
      <c r="G263" s="3">
        <f t="shared" si="79"/>
        <v>102.8</v>
      </c>
      <c r="H263" s="3">
        <f t="shared" si="80"/>
        <v>102.8</v>
      </c>
      <c r="I263" s="3"/>
      <c r="J263" s="3">
        <f t="shared" si="81"/>
        <v>85.875491338582677</v>
      </c>
      <c r="K263" s="3">
        <f t="shared" si="82"/>
        <v>89.857791338582672</v>
      </c>
      <c r="L263" s="34">
        <f t="shared" si="83"/>
        <v>87.357791338582672</v>
      </c>
      <c r="M263" s="3">
        <f t="shared" si="84"/>
        <v>-17.32</v>
      </c>
      <c r="N263" s="3">
        <f t="shared" si="85"/>
        <v>145.12</v>
      </c>
      <c r="O263" s="3"/>
      <c r="P263" s="3">
        <f t="shared" si="86"/>
        <v>101.93770078740158</v>
      </c>
      <c r="Q263" s="3">
        <f t="shared" si="87"/>
        <v>137.68578267716538</v>
      </c>
      <c r="R263" s="3">
        <f>vd(DataTable[[#This Row],[Sentido]],DataTable[[#This Row],[Valor]])</f>
        <v>112.43070866141731</v>
      </c>
      <c r="S263" s="3">
        <f>IF(DataTable[[#This Row],[Valor]]&gt;1,1,1)</f>
        <v>1</v>
      </c>
      <c r="T263" s="3">
        <f>IF(DataTable[[#This Row],[Valor]]&gt;1,1,1)</f>
        <v>1</v>
      </c>
      <c r="U263" s="3">
        <f>angr(DataTable[[#This Row],[Sentido]],DataTable[[#This Row],[Valor]])</f>
        <v>37.640944881889759</v>
      </c>
      <c r="V263" s="3">
        <f>ANGI(DataTable[[#This Row],[Sentido]],DataTable[[#This Row],[Valor]])</f>
        <v>40.340944881889762</v>
      </c>
      <c r="W263" s="3">
        <f t="shared" si="88"/>
        <v>3</v>
      </c>
      <c r="X263" s="3">
        <f>IF(DataTable[[#This Row],[Valor]]&gt;1,1,1)</f>
        <v>1</v>
      </c>
      <c r="Y263" s="3">
        <f t="shared" si="89"/>
        <v>3</v>
      </c>
      <c r="Z263" s="3">
        <f>IF(AND(DataTable[[#This Row],[Sentido]]="URUGUAI para BRASIL",DataTable[[#This Row],[Valor]]&gt;350),1,0)</f>
        <v>0</v>
      </c>
      <c r="AA263" s="3">
        <f>IF(DataTable[[#This Row],[Valor]]&gt;1,0,0)</f>
        <v>0</v>
      </c>
    </row>
    <row r="264" spans="1:27" x14ac:dyDescent="0.25">
      <c r="A264" s="2" t="s">
        <v>21</v>
      </c>
      <c r="B264" s="2">
        <v>312</v>
      </c>
      <c r="C264" s="3">
        <f t="shared" si="75"/>
        <v>84.930015748031494</v>
      </c>
      <c r="D264" s="3">
        <f t="shared" si="76"/>
        <v>89.930015748031494</v>
      </c>
      <c r="E264" s="3">
        <f t="shared" si="77"/>
        <v>87.430015748031494</v>
      </c>
      <c r="F264" s="3">
        <f t="shared" si="78"/>
        <v>37.56</v>
      </c>
      <c r="G264" s="3">
        <f t="shared" si="79"/>
        <v>102.6</v>
      </c>
      <c r="H264" s="3">
        <f t="shared" si="80"/>
        <v>102.6</v>
      </c>
      <c r="I264" s="3"/>
      <c r="J264" s="3">
        <f t="shared" si="81"/>
        <v>85.947715748031499</v>
      </c>
      <c r="K264" s="3">
        <f t="shared" si="82"/>
        <v>89.930015748031494</v>
      </c>
      <c r="L264" s="34">
        <f t="shared" si="83"/>
        <v>87.430015748031494</v>
      </c>
      <c r="M264" s="3">
        <f t="shared" si="84"/>
        <v>-17.440000000000001</v>
      </c>
      <c r="N264" s="3">
        <f t="shared" si="85"/>
        <v>145.04</v>
      </c>
      <c r="O264" s="3"/>
      <c r="P264" s="3">
        <f t="shared" si="86"/>
        <v>102.19036220472441</v>
      </c>
      <c r="Q264" s="3">
        <f t="shared" si="87"/>
        <v>137.79123149606298</v>
      </c>
      <c r="R264" s="3">
        <f>vd(DataTable[[#This Row],[Sentido]],DataTable[[#This Row],[Valor]])</f>
        <v>112.7259842519685</v>
      </c>
      <c r="S264" s="3">
        <f>IF(DataTable[[#This Row],[Valor]]&gt;1,1,1)</f>
        <v>1</v>
      </c>
      <c r="T264" s="3">
        <f>IF(DataTable[[#This Row],[Valor]]&gt;1,1,1)</f>
        <v>1</v>
      </c>
      <c r="U264" s="3">
        <f>angr(DataTable[[#This Row],[Sentido]],DataTable[[#This Row],[Valor]])</f>
        <v>37.534645669291336</v>
      </c>
      <c r="V264" s="3">
        <f>ANGI(DataTable[[#This Row],[Sentido]],DataTable[[#This Row],[Valor]])</f>
        <v>40.234645669291339</v>
      </c>
      <c r="W264" s="3">
        <f t="shared" si="88"/>
        <v>3</v>
      </c>
      <c r="X264" s="3">
        <f>IF(DataTable[[#This Row],[Valor]]&gt;1,1,1)</f>
        <v>1</v>
      </c>
      <c r="Y264" s="3">
        <f t="shared" si="89"/>
        <v>3</v>
      </c>
      <c r="Z264" s="3">
        <f>IF(AND(DataTable[[#This Row],[Sentido]]="URUGUAI para BRASIL",DataTable[[#This Row],[Valor]]&gt;350),1,0)</f>
        <v>0</v>
      </c>
      <c r="AA264" s="3">
        <f>IF(DataTable[[#This Row],[Valor]]&gt;1,0,0)</f>
        <v>0</v>
      </c>
    </row>
    <row r="265" spans="1:27" x14ac:dyDescent="0.25">
      <c r="A265" s="2" t="s">
        <v>21</v>
      </c>
      <c r="B265" s="2">
        <v>313</v>
      </c>
      <c r="C265" s="3">
        <f t="shared" si="75"/>
        <v>85.002240157480315</v>
      </c>
      <c r="D265" s="3">
        <f t="shared" si="76"/>
        <v>90.002240157480315</v>
      </c>
      <c r="E265" s="3">
        <f t="shared" si="77"/>
        <v>87.502240157480315</v>
      </c>
      <c r="F265" s="3">
        <f t="shared" si="78"/>
        <v>37.44</v>
      </c>
      <c r="G265" s="3">
        <f t="shared" si="79"/>
        <v>102.4</v>
      </c>
      <c r="H265" s="3">
        <f t="shared" si="80"/>
        <v>102.4</v>
      </c>
      <c r="I265" s="3"/>
      <c r="J265" s="3">
        <f t="shared" si="81"/>
        <v>86.01994015748032</v>
      </c>
      <c r="K265" s="3">
        <f t="shared" si="82"/>
        <v>90.002240157480315</v>
      </c>
      <c r="L265" s="34">
        <f t="shared" si="83"/>
        <v>87.502240157480315</v>
      </c>
      <c r="M265" s="3">
        <f t="shared" si="84"/>
        <v>-17.559999999999999</v>
      </c>
      <c r="N265" s="3">
        <f t="shared" si="85"/>
        <v>144.96</v>
      </c>
      <c r="O265" s="3"/>
      <c r="P265" s="3">
        <f t="shared" si="86"/>
        <v>102.44302362204726</v>
      </c>
      <c r="Q265" s="3">
        <f t="shared" si="87"/>
        <v>137.89668031496063</v>
      </c>
      <c r="R265" s="3">
        <f>vd(DataTable[[#This Row],[Sentido]],DataTable[[#This Row],[Valor]])</f>
        <v>113.02125984251968</v>
      </c>
      <c r="S265" s="3">
        <f>IF(DataTable[[#This Row],[Valor]]&gt;1,1,1)</f>
        <v>1</v>
      </c>
      <c r="T265" s="3">
        <f>IF(DataTable[[#This Row],[Valor]]&gt;1,1,1)</f>
        <v>1</v>
      </c>
      <c r="U265" s="3">
        <f>angr(DataTable[[#This Row],[Sentido]],DataTable[[#This Row],[Valor]])</f>
        <v>37.428346456692914</v>
      </c>
      <c r="V265" s="3">
        <f>ANGI(DataTable[[#This Row],[Sentido]],DataTable[[#This Row],[Valor]])</f>
        <v>40.12834645669291</v>
      </c>
      <c r="W265" s="3">
        <f t="shared" si="88"/>
        <v>3</v>
      </c>
      <c r="X265" s="3">
        <f>IF(DataTable[[#This Row],[Valor]]&gt;1,1,1)</f>
        <v>1</v>
      </c>
      <c r="Y265" s="3">
        <f t="shared" si="89"/>
        <v>3</v>
      </c>
      <c r="Z265" s="3">
        <f>IF(AND(DataTable[[#This Row],[Sentido]]="URUGUAI para BRASIL",DataTable[[#This Row],[Valor]]&gt;350),1,0)</f>
        <v>0</v>
      </c>
      <c r="AA265" s="3">
        <f>IF(DataTable[[#This Row],[Valor]]&gt;1,0,0)</f>
        <v>0</v>
      </c>
    </row>
    <row r="266" spans="1:27" x14ac:dyDescent="0.25">
      <c r="A266" s="2" t="s">
        <v>21</v>
      </c>
      <c r="B266" s="2">
        <v>314</v>
      </c>
      <c r="C266" s="3">
        <f t="shared" si="75"/>
        <v>85.074464566929137</v>
      </c>
      <c r="D266" s="3">
        <f t="shared" si="76"/>
        <v>90.074464566929137</v>
      </c>
      <c r="E266" s="3">
        <f t="shared" si="77"/>
        <v>87.574464566929137</v>
      </c>
      <c r="F266" s="3">
        <f t="shared" si="78"/>
        <v>37.32</v>
      </c>
      <c r="G266" s="3">
        <f t="shared" si="79"/>
        <v>102.2</v>
      </c>
      <c r="H266" s="3">
        <f t="shared" si="80"/>
        <v>102.2</v>
      </c>
      <c r="I266" s="3"/>
      <c r="J266" s="3">
        <f t="shared" si="81"/>
        <v>86.092164566929128</v>
      </c>
      <c r="K266" s="3">
        <f t="shared" si="82"/>
        <v>90.074464566929137</v>
      </c>
      <c r="L266" s="34">
        <f t="shared" si="83"/>
        <v>87.574464566929137</v>
      </c>
      <c r="M266" s="3">
        <f t="shared" si="84"/>
        <v>-17.68</v>
      </c>
      <c r="N266" s="3">
        <f t="shared" si="85"/>
        <v>144.88</v>
      </c>
      <c r="O266" s="3"/>
      <c r="P266" s="3">
        <f t="shared" si="86"/>
        <v>102.69568503937008</v>
      </c>
      <c r="Q266" s="3">
        <f t="shared" si="87"/>
        <v>138.00212913385826</v>
      </c>
      <c r="R266" s="3">
        <f>vd(DataTable[[#This Row],[Sentido]],DataTable[[#This Row],[Valor]])</f>
        <v>113.31653543307087</v>
      </c>
      <c r="S266" s="3">
        <f>IF(DataTable[[#This Row],[Valor]]&gt;1,1,1)</f>
        <v>1</v>
      </c>
      <c r="T266" s="3">
        <f>IF(DataTable[[#This Row],[Valor]]&gt;1,1,1)</f>
        <v>1</v>
      </c>
      <c r="U266" s="3">
        <f>angr(DataTable[[#This Row],[Sentido]],DataTable[[#This Row],[Valor]])</f>
        <v>37.322047244094485</v>
      </c>
      <c r="V266" s="3">
        <f>ANGI(DataTable[[#This Row],[Sentido]],DataTable[[#This Row],[Valor]])</f>
        <v>40.022047244094487</v>
      </c>
      <c r="W266" s="3">
        <f t="shared" si="88"/>
        <v>3</v>
      </c>
      <c r="X266" s="3">
        <f>IF(DataTable[[#This Row],[Valor]]&gt;1,1,1)</f>
        <v>1</v>
      </c>
      <c r="Y266" s="3">
        <f t="shared" si="89"/>
        <v>3</v>
      </c>
      <c r="Z266" s="3">
        <f>IF(AND(DataTable[[#This Row],[Sentido]]="URUGUAI para BRASIL",DataTable[[#This Row],[Valor]]&gt;350),1,0)</f>
        <v>0</v>
      </c>
      <c r="AA266" s="3">
        <f>IF(DataTable[[#This Row],[Valor]]&gt;1,0,0)</f>
        <v>0</v>
      </c>
    </row>
    <row r="267" spans="1:27" x14ac:dyDescent="0.25">
      <c r="A267" s="2" t="s">
        <v>21</v>
      </c>
      <c r="B267" s="2">
        <v>315</v>
      </c>
      <c r="C267" s="3">
        <f t="shared" si="75"/>
        <v>85.146688976377959</v>
      </c>
      <c r="D267" s="3">
        <f t="shared" si="76"/>
        <v>90.146688976377959</v>
      </c>
      <c r="E267" s="3">
        <f t="shared" si="77"/>
        <v>87.646688976377959</v>
      </c>
      <c r="F267" s="3">
        <f t="shared" si="78"/>
        <v>37.200000000000003</v>
      </c>
      <c r="G267" s="3">
        <f t="shared" si="79"/>
        <v>102</v>
      </c>
      <c r="H267" s="3">
        <f t="shared" si="80"/>
        <v>102</v>
      </c>
      <c r="I267" s="3"/>
      <c r="J267" s="3">
        <f t="shared" si="81"/>
        <v>86.16438897637795</v>
      </c>
      <c r="K267" s="3">
        <f t="shared" si="82"/>
        <v>90.146688976377959</v>
      </c>
      <c r="L267" s="34">
        <f t="shared" si="83"/>
        <v>87.646688976377959</v>
      </c>
      <c r="M267" s="3">
        <f t="shared" si="84"/>
        <v>-17.8</v>
      </c>
      <c r="N267" s="3">
        <f t="shared" si="85"/>
        <v>144.80000000000001</v>
      </c>
      <c r="O267" s="3"/>
      <c r="P267" s="3">
        <f t="shared" si="86"/>
        <v>102.94834645669292</v>
      </c>
      <c r="Q267" s="3">
        <f t="shared" si="87"/>
        <v>138.10757795275589</v>
      </c>
      <c r="R267" s="3">
        <f>vd(DataTable[[#This Row],[Sentido]],DataTable[[#This Row],[Valor]])</f>
        <v>113.61181102362204</v>
      </c>
      <c r="S267" s="3">
        <f>IF(DataTable[[#This Row],[Valor]]&gt;1,1,1)</f>
        <v>1</v>
      </c>
      <c r="T267" s="3">
        <f>IF(DataTable[[#This Row],[Valor]]&gt;1,1,1)</f>
        <v>1</v>
      </c>
      <c r="U267" s="3">
        <f>angr(DataTable[[#This Row],[Sentido]],DataTable[[#This Row],[Valor]])</f>
        <v>37.215748031496062</v>
      </c>
      <c r="V267" s="3">
        <f>ANGI(DataTable[[#This Row],[Sentido]],DataTable[[#This Row],[Valor]])</f>
        <v>39.915748031496065</v>
      </c>
      <c r="W267" s="3">
        <f t="shared" si="88"/>
        <v>3</v>
      </c>
      <c r="X267" s="3">
        <f>IF(DataTable[[#This Row],[Valor]]&gt;1,1,1)</f>
        <v>1</v>
      </c>
      <c r="Y267" s="3">
        <f t="shared" si="89"/>
        <v>3</v>
      </c>
      <c r="Z267" s="3">
        <f>IF(AND(DataTable[[#This Row],[Sentido]]="URUGUAI para BRASIL",DataTable[[#This Row],[Valor]]&gt;350),1,0)</f>
        <v>0</v>
      </c>
      <c r="AA267" s="3">
        <f>IF(DataTable[[#This Row],[Valor]]&gt;1,0,0)</f>
        <v>0</v>
      </c>
    </row>
    <row r="268" spans="1:27" x14ac:dyDescent="0.25">
      <c r="A268" s="2" t="s">
        <v>21</v>
      </c>
      <c r="B268" s="2">
        <v>316</v>
      </c>
      <c r="C268" s="3">
        <f t="shared" si="75"/>
        <v>85.218913385826781</v>
      </c>
      <c r="D268" s="3">
        <f t="shared" si="76"/>
        <v>90.218913385826781</v>
      </c>
      <c r="E268" s="3">
        <f t="shared" si="77"/>
        <v>87.718913385826781</v>
      </c>
      <c r="F268" s="3">
        <f t="shared" si="78"/>
        <v>37.08</v>
      </c>
      <c r="G268" s="3">
        <f t="shared" si="79"/>
        <v>101.8</v>
      </c>
      <c r="H268" s="3">
        <f t="shared" si="80"/>
        <v>101.8</v>
      </c>
      <c r="I268" s="3"/>
      <c r="J268" s="3">
        <f t="shared" si="81"/>
        <v>86.236613385826772</v>
      </c>
      <c r="K268" s="3">
        <f t="shared" si="82"/>
        <v>90.218913385826781</v>
      </c>
      <c r="L268" s="34">
        <f t="shared" si="83"/>
        <v>87.718913385826781</v>
      </c>
      <c r="M268" s="3">
        <f t="shared" si="84"/>
        <v>-17.919999999999998</v>
      </c>
      <c r="N268" s="3">
        <f t="shared" si="85"/>
        <v>144.72</v>
      </c>
      <c r="O268" s="3"/>
      <c r="P268" s="3">
        <f t="shared" si="86"/>
        <v>103.20100787401574</v>
      </c>
      <c r="Q268" s="3">
        <f t="shared" si="87"/>
        <v>138.21302677165355</v>
      </c>
      <c r="R268" s="3">
        <f>vd(DataTable[[#This Row],[Sentido]],DataTable[[#This Row],[Valor]])</f>
        <v>113.90708661417322</v>
      </c>
      <c r="S268" s="3">
        <f>IF(DataTable[[#This Row],[Valor]]&gt;1,1,1)</f>
        <v>1</v>
      </c>
      <c r="T268" s="3">
        <f>IF(DataTable[[#This Row],[Valor]]&gt;1,1,1)</f>
        <v>1</v>
      </c>
      <c r="U268" s="3">
        <f>angr(DataTable[[#This Row],[Sentido]],DataTable[[#This Row],[Valor]])</f>
        <v>37.109448818897633</v>
      </c>
      <c r="V268" s="3">
        <f>ANGI(DataTable[[#This Row],[Sentido]],DataTable[[#This Row],[Valor]])</f>
        <v>39.809448818897636</v>
      </c>
      <c r="W268" s="3">
        <f t="shared" si="88"/>
        <v>3</v>
      </c>
      <c r="X268" s="3">
        <f>IF(DataTable[[#This Row],[Valor]]&gt;1,1,1)</f>
        <v>1</v>
      </c>
      <c r="Y268" s="3">
        <f t="shared" si="89"/>
        <v>3</v>
      </c>
      <c r="Z268" s="3">
        <f>IF(AND(DataTable[[#This Row],[Sentido]]="URUGUAI para BRASIL",DataTable[[#This Row],[Valor]]&gt;350),1,0)</f>
        <v>0</v>
      </c>
      <c r="AA268" s="3">
        <f>IF(DataTable[[#This Row],[Valor]]&gt;1,0,0)</f>
        <v>0</v>
      </c>
    </row>
    <row r="269" spans="1:27" x14ac:dyDescent="0.25">
      <c r="A269" s="2" t="s">
        <v>21</v>
      </c>
      <c r="B269" s="2">
        <v>317</v>
      </c>
      <c r="C269" s="3">
        <f t="shared" si="75"/>
        <v>85.291137795275588</v>
      </c>
      <c r="D269" s="3">
        <f t="shared" si="76"/>
        <v>90.291137795275588</v>
      </c>
      <c r="E269" s="3">
        <f t="shared" si="77"/>
        <v>87.791137795275588</v>
      </c>
      <c r="F269" s="3">
        <f t="shared" si="78"/>
        <v>36.96</v>
      </c>
      <c r="G269" s="3">
        <f t="shared" si="79"/>
        <v>101.6</v>
      </c>
      <c r="H269" s="3">
        <f t="shared" si="80"/>
        <v>101.6</v>
      </c>
      <c r="I269" s="3"/>
      <c r="J269" s="3">
        <f t="shared" si="81"/>
        <v>86.308837795275593</v>
      </c>
      <c r="K269" s="3">
        <f t="shared" si="82"/>
        <v>90.291137795275588</v>
      </c>
      <c r="L269" s="34">
        <f t="shared" si="83"/>
        <v>87.791137795275588</v>
      </c>
      <c r="M269" s="3">
        <f t="shared" si="84"/>
        <v>-18.04</v>
      </c>
      <c r="N269" s="3">
        <f t="shared" si="85"/>
        <v>144.63999999999999</v>
      </c>
      <c r="O269" s="3"/>
      <c r="P269" s="3">
        <f t="shared" si="86"/>
        <v>103.45366929133858</v>
      </c>
      <c r="Q269" s="3">
        <f t="shared" si="87"/>
        <v>138.31847559055117</v>
      </c>
      <c r="R269" s="3">
        <f>vd(DataTable[[#This Row],[Sentido]],DataTable[[#This Row],[Valor]])</f>
        <v>114.20236220472441</v>
      </c>
      <c r="S269" s="3">
        <f>IF(DataTable[[#This Row],[Valor]]&gt;1,1,1)</f>
        <v>1</v>
      </c>
      <c r="T269" s="3">
        <f>IF(DataTable[[#This Row],[Valor]]&gt;1,1,1)</f>
        <v>1</v>
      </c>
      <c r="U269" s="3">
        <f>angr(DataTable[[#This Row],[Sentido]],DataTable[[#This Row],[Valor]])</f>
        <v>37.00314960629921</v>
      </c>
      <c r="V269" s="3">
        <f>ANGI(DataTable[[#This Row],[Sentido]],DataTable[[#This Row],[Valor]])</f>
        <v>39.703149606299213</v>
      </c>
      <c r="W269" s="3">
        <f t="shared" si="88"/>
        <v>3</v>
      </c>
      <c r="X269" s="3">
        <f>IF(DataTable[[#This Row],[Valor]]&gt;1,1,1)</f>
        <v>1</v>
      </c>
      <c r="Y269" s="3">
        <f t="shared" si="89"/>
        <v>3</v>
      </c>
      <c r="Z269" s="3">
        <f>IF(AND(DataTable[[#This Row],[Sentido]]="URUGUAI para BRASIL",DataTable[[#This Row],[Valor]]&gt;350),1,0)</f>
        <v>0</v>
      </c>
      <c r="AA269" s="3">
        <f>IF(DataTable[[#This Row],[Valor]]&gt;1,0,0)</f>
        <v>0</v>
      </c>
    </row>
    <row r="270" spans="1:27" x14ac:dyDescent="0.25">
      <c r="A270" s="2" t="s">
        <v>21</v>
      </c>
      <c r="B270" s="2">
        <v>318</v>
      </c>
      <c r="C270" s="3">
        <f t="shared" si="75"/>
        <v>85.36336220472441</v>
      </c>
      <c r="D270" s="3">
        <f t="shared" si="76"/>
        <v>90.36336220472441</v>
      </c>
      <c r="E270" s="3">
        <f t="shared" si="77"/>
        <v>87.86336220472441</v>
      </c>
      <c r="F270" s="3">
        <f t="shared" si="78"/>
        <v>36.840000000000003</v>
      </c>
      <c r="G270" s="3">
        <f t="shared" si="79"/>
        <v>101.4</v>
      </c>
      <c r="H270" s="3">
        <f t="shared" si="80"/>
        <v>101.4</v>
      </c>
      <c r="I270" s="3"/>
      <c r="J270" s="3">
        <f t="shared" si="81"/>
        <v>86.381062204724415</v>
      </c>
      <c r="K270" s="3">
        <f t="shared" si="82"/>
        <v>90.36336220472441</v>
      </c>
      <c r="L270" s="34">
        <f t="shared" si="83"/>
        <v>87.86336220472441</v>
      </c>
      <c r="M270" s="3">
        <f t="shared" si="84"/>
        <v>-18.16</v>
      </c>
      <c r="N270" s="3">
        <f t="shared" si="85"/>
        <v>144.56</v>
      </c>
      <c r="O270" s="3"/>
      <c r="P270" s="3">
        <f t="shared" si="86"/>
        <v>103.70633070866143</v>
      </c>
      <c r="Q270" s="3">
        <f t="shared" si="87"/>
        <v>138.42392440944883</v>
      </c>
      <c r="R270" s="3">
        <f>vd(DataTable[[#This Row],[Sentido]],DataTable[[#This Row],[Valor]])</f>
        <v>114.49763779527558</v>
      </c>
      <c r="S270" s="3">
        <f>IF(DataTable[[#This Row],[Valor]]&gt;1,1,1)</f>
        <v>1</v>
      </c>
      <c r="T270" s="3">
        <f>IF(DataTable[[#This Row],[Valor]]&gt;1,1,1)</f>
        <v>1</v>
      </c>
      <c r="U270" s="3">
        <f>angr(DataTable[[#This Row],[Sentido]],DataTable[[#This Row],[Valor]])</f>
        <v>36.896850393700788</v>
      </c>
      <c r="V270" s="3">
        <f>ANGI(DataTable[[#This Row],[Sentido]],DataTable[[#This Row],[Valor]])</f>
        <v>39.596850393700784</v>
      </c>
      <c r="W270" s="3">
        <f t="shared" si="88"/>
        <v>3</v>
      </c>
      <c r="X270" s="3">
        <f>IF(DataTable[[#This Row],[Valor]]&gt;1,1,1)</f>
        <v>1</v>
      </c>
      <c r="Y270" s="3">
        <f t="shared" si="89"/>
        <v>3</v>
      </c>
      <c r="Z270" s="3">
        <f>IF(AND(DataTable[[#This Row],[Sentido]]="URUGUAI para BRASIL",DataTable[[#This Row],[Valor]]&gt;350),1,0)</f>
        <v>0</v>
      </c>
      <c r="AA270" s="3">
        <f>IF(DataTable[[#This Row],[Valor]]&gt;1,0,0)</f>
        <v>0</v>
      </c>
    </row>
    <row r="271" spans="1:27" x14ac:dyDescent="0.25">
      <c r="A271" s="2" t="s">
        <v>21</v>
      </c>
      <c r="B271" s="2">
        <v>319</v>
      </c>
      <c r="C271" s="3">
        <f t="shared" si="75"/>
        <v>85.435586614173232</v>
      </c>
      <c r="D271" s="3">
        <f t="shared" si="76"/>
        <v>90.435586614173232</v>
      </c>
      <c r="E271" s="3">
        <f t="shared" si="77"/>
        <v>87.935586614173232</v>
      </c>
      <c r="F271" s="3">
        <f t="shared" si="78"/>
        <v>36.72</v>
      </c>
      <c r="G271" s="3">
        <f t="shared" si="79"/>
        <v>101.19999999999999</v>
      </c>
      <c r="H271" s="3">
        <f t="shared" si="80"/>
        <v>101.19999999999999</v>
      </c>
      <c r="I271" s="3"/>
      <c r="J271" s="3">
        <f t="shared" si="81"/>
        <v>86.453286614173223</v>
      </c>
      <c r="K271" s="3">
        <f t="shared" si="82"/>
        <v>90.435586614173232</v>
      </c>
      <c r="L271" s="34">
        <f t="shared" si="83"/>
        <v>87.935586614173232</v>
      </c>
      <c r="M271" s="3">
        <f t="shared" si="84"/>
        <v>-18.28</v>
      </c>
      <c r="N271" s="3">
        <f t="shared" si="85"/>
        <v>144.47999999999999</v>
      </c>
      <c r="O271" s="3"/>
      <c r="P271" s="3">
        <f t="shared" si="86"/>
        <v>103.95899212598424</v>
      </c>
      <c r="Q271" s="3">
        <f t="shared" si="87"/>
        <v>138.52937322834646</v>
      </c>
      <c r="R271" s="3">
        <f>vd(DataTable[[#This Row],[Sentido]],DataTable[[#This Row],[Valor]])</f>
        <v>114.79291338582676</v>
      </c>
      <c r="S271" s="3">
        <f>IF(DataTable[[#This Row],[Valor]]&gt;1,1,1)</f>
        <v>1</v>
      </c>
      <c r="T271" s="3">
        <f>IF(DataTable[[#This Row],[Valor]]&gt;1,1,1)</f>
        <v>1</v>
      </c>
      <c r="U271" s="3">
        <f>angr(DataTable[[#This Row],[Sentido]],DataTable[[#This Row],[Valor]])</f>
        <v>36.790551181102366</v>
      </c>
      <c r="V271" s="3">
        <f>ANGI(DataTable[[#This Row],[Sentido]],DataTable[[#This Row],[Valor]])</f>
        <v>39.490551181102362</v>
      </c>
      <c r="W271" s="3">
        <f t="shared" si="88"/>
        <v>3</v>
      </c>
      <c r="X271" s="3">
        <f>IF(DataTable[[#This Row],[Valor]]&gt;1,1,1)</f>
        <v>1</v>
      </c>
      <c r="Y271" s="3">
        <f t="shared" si="89"/>
        <v>3</v>
      </c>
      <c r="Z271" s="3">
        <f>IF(AND(DataTable[[#This Row],[Sentido]]="URUGUAI para BRASIL",DataTable[[#This Row],[Valor]]&gt;350),1,0)</f>
        <v>0</v>
      </c>
      <c r="AA271" s="3">
        <f>IF(DataTable[[#This Row],[Valor]]&gt;1,0,0)</f>
        <v>0</v>
      </c>
    </row>
    <row r="272" spans="1:27" x14ac:dyDescent="0.25">
      <c r="A272" s="2" t="s">
        <v>21</v>
      </c>
      <c r="B272" s="2">
        <v>320</v>
      </c>
      <c r="C272" s="3">
        <f t="shared" si="75"/>
        <v>85.507811023622054</v>
      </c>
      <c r="D272" s="3">
        <f t="shared" si="76"/>
        <v>90.507811023622054</v>
      </c>
      <c r="E272" s="3">
        <f t="shared" si="77"/>
        <v>88.007811023622054</v>
      </c>
      <c r="F272" s="3">
        <f t="shared" si="78"/>
        <v>36.6</v>
      </c>
      <c r="G272" s="3">
        <f t="shared" si="79"/>
        <v>101</v>
      </c>
      <c r="H272" s="3">
        <f t="shared" si="80"/>
        <v>101</v>
      </c>
      <c r="I272" s="3"/>
      <c r="J272" s="3">
        <f t="shared" si="81"/>
        <v>86.525511023622045</v>
      </c>
      <c r="K272" s="3">
        <f t="shared" si="82"/>
        <v>90.507811023622054</v>
      </c>
      <c r="L272" s="34">
        <f t="shared" si="83"/>
        <v>88.007811023622054</v>
      </c>
      <c r="M272" s="3">
        <f t="shared" si="84"/>
        <v>-18.399999999999999</v>
      </c>
      <c r="N272" s="3">
        <f t="shared" si="85"/>
        <v>144.4</v>
      </c>
      <c r="O272" s="3"/>
      <c r="P272" s="3">
        <f t="shared" si="86"/>
        <v>104.21165354330711</v>
      </c>
      <c r="Q272" s="3">
        <f t="shared" si="87"/>
        <v>138.63482204724409</v>
      </c>
      <c r="R272" s="3">
        <f>vd(DataTable[[#This Row],[Sentido]],DataTable[[#This Row],[Valor]])</f>
        <v>115.08818897637795</v>
      </c>
      <c r="S272" s="3">
        <f>IF(DataTable[[#This Row],[Valor]]&gt;1,1,1)</f>
        <v>1</v>
      </c>
      <c r="T272" s="3">
        <f>IF(DataTable[[#This Row],[Valor]]&gt;1,1,1)</f>
        <v>1</v>
      </c>
      <c r="U272" s="3">
        <f>angr(DataTable[[#This Row],[Sentido]],DataTable[[#This Row],[Valor]])</f>
        <v>36.684251968503936</v>
      </c>
      <c r="V272" s="3">
        <f>ANGI(DataTable[[#This Row],[Sentido]],DataTable[[#This Row],[Valor]])</f>
        <v>39.384251968503932</v>
      </c>
      <c r="W272" s="3">
        <f t="shared" si="88"/>
        <v>3</v>
      </c>
      <c r="X272" s="3">
        <f>IF(DataTable[[#This Row],[Valor]]&gt;1,1,1)</f>
        <v>1</v>
      </c>
      <c r="Y272" s="3">
        <f t="shared" si="89"/>
        <v>3</v>
      </c>
      <c r="Z272" s="3">
        <f>IF(AND(DataTable[[#This Row],[Sentido]]="URUGUAI para BRASIL",DataTable[[#This Row],[Valor]]&gt;350),1,0)</f>
        <v>0</v>
      </c>
      <c r="AA272" s="3">
        <f>IF(DataTable[[#This Row],[Valor]]&gt;1,0,0)</f>
        <v>0</v>
      </c>
    </row>
    <row r="273" spans="1:27" x14ac:dyDescent="0.25">
      <c r="A273" s="2" t="s">
        <v>21</v>
      </c>
      <c r="B273" s="2">
        <v>321</v>
      </c>
      <c r="C273" s="3">
        <f t="shared" si="75"/>
        <v>85.580035433070861</v>
      </c>
      <c r="D273" s="3">
        <f t="shared" si="76"/>
        <v>90.580035433070861</v>
      </c>
      <c r="E273" s="3">
        <f t="shared" si="77"/>
        <v>88.080035433070861</v>
      </c>
      <c r="F273" s="3">
        <f t="shared" si="78"/>
        <v>36.480000000000004</v>
      </c>
      <c r="G273" s="3">
        <f t="shared" si="79"/>
        <v>100.8</v>
      </c>
      <c r="H273" s="3">
        <f t="shared" si="80"/>
        <v>100.8</v>
      </c>
      <c r="I273" s="3"/>
      <c r="J273" s="3">
        <f t="shared" si="81"/>
        <v>86.597735433070866</v>
      </c>
      <c r="K273" s="3">
        <f t="shared" si="82"/>
        <v>90.580035433070861</v>
      </c>
      <c r="L273" s="34">
        <f t="shared" si="83"/>
        <v>88.080035433070861</v>
      </c>
      <c r="M273" s="3">
        <f t="shared" si="84"/>
        <v>-18.52</v>
      </c>
      <c r="N273" s="3">
        <f t="shared" si="85"/>
        <v>144.32</v>
      </c>
      <c r="O273" s="3"/>
      <c r="P273" s="3">
        <f t="shared" si="86"/>
        <v>104.46431496062992</v>
      </c>
      <c r="Q273" s="3">
        <f t="shared" si="87"/>
        <v>138.74027086614174</v>
      </c>
      <c r="R273" s="3">
        <f>vd(DataTable[[#This Row],[Sentido]],DataTable[[#This Row],[Valor]])</f>
        <v>115.38346456692912</v>
      </c>
      <c r="S273" s="3">
        <f>IF(DataTable[[#This Row],[Valor]]&gt;1,1,1)</f>
        <v>1</v>
      </c>
      <c r="T273" s="3">
        <f>IF(DataTable[[#This Row],[Valor]]&gt;1,1,1)</f>
        <v>1</v>
      </c>
      <c r="U273" s="3">
        <f>angr(DataTable[[#This Row],[Sentido]],DataTable[[#This Row],[Valor]])</f>
        <v>36.577952755905514</v>
      </c>
      <c r="V273" s="3">
        <f>ANGI(DataTable[[#This Row],[Sentido]],DataTable[[#This Row],[Valor]])</f>
        <v>39.27795275590551</v>
      </c>
      <c r="W273" s="3">
        <f t="shared" si="88"/>
        <v>3</v>
      </c>
      <c r="X273" s="3">
        <f>IF(DataTable[[#This Row],[Valor]]&gt;1,1,1)</f>
        <v>1</v>
      </c>
      <c r="Y273" s="3">
        <f t="shared" si="89"/>
        <v>3</v>
      </c>
      <c r="Z273" s="3">
        <f>IF(AND(DataTable[[#This Row],[Sentido]]="URUGUAI para BRASIL",DataTable[[#This Row],[Valor]]&gt;350),1,0)</f>
        <v>0</v>
      </c>
      <c r="AA273" s="3">
        <f>IF(DataTable[[#This Row],[Valor]]&gt;1,0,0)</f>
        <v>0</v>
      </c>
    </row>
    <row r="274" spans="1:27" x14ac:dyDescent="0.25">
      <c r="A274" s="2" t="s">
        <v>21</v>
      </c>
      <c r="B274" s="2">
        <v>322</v>
      </c>
      <c r="C274" s="3">
        <f t="shared" si="75"/>
        <v>85.652259842519683</v>
      </c>
      <c r="D274" s="3">
        <f t="shared" si="76"/>
        <v>90.652259842519683</v>
      </c>
      <c r="E274" s="3">
        <f t="shared" si="77"/>
        <v>88.152259842519683</v>
      </c>
      <c r="F274" s="3">
        <f t="shared" si="78"/>
        <v>36.36</v>
      </c>
      <c r="G274" s="3">
        <f t="shared" si="79"/>
        <v>100.6</v>
      </c>
      <c r="H274" s="3">
        <f t="shared" si="80"/>
        <v>100.6</v>
      </c>
      <c r="I274" s="3"/>
      <c r="J274" s="3">
        <f t="shared" si="81"/>
        <v>86.669959842519688</v>
      </c>
      <c r="K274" s="3">
        <f t="shared" si="82"/>
        <v>90.652259842519683</v>
      </c>
      <c r="L274" s="34">
        <f t="shared" si="83"/>
        <v>88.152259842519683</v>
      </c>
      <c r="M274" s="3">
        <f t="shared" si="84"/>
        <v>-18.64</v>
      </c>
      <c r="N274" s="3">
        <f t="shared" si="85"/>
        <v>144.24</v>
      </c>
      <c r="O274" s="3"/>
      <c r="P274" s="3">
        <f t="shared" si="86"/>
        <v>104.71697637795276</v>
      </c>
      <c r="Q274" s="3">
        <f t="shared" si="87"/>
        <v>138.84571968503937</v>
      </c>
      <c r="R274" s="3">
        <f>vd(DataTable[[#This Row],[Sentido]],DataTable[[#This Row],[Valor]])</f>
        <v>115.67874015748031</v>
      </c>
      <c r="S274" s="3">
        <f>IF(DataTable[[#This Row],[Valor]]&gt;1,1,1)</f>
        <v>1</v>
      </c>
      <c r="T274" s="3">
        <f>IF(DataTable[[#This Row],[Valor]]&gt;1,1,1)</f>
        <v>1</v>
      </c>
      <c r="U274" s="3">
        <f>angr(DataTable[[#This Row],[Sentido]],DataTable[[#This Row],[Valor]])</f>
        <v>36.471653543307085</v>
      </c>
      <c r="V274" s="3">
        <f>ANGI(DataTable[[#This Row],[Sentido]],DataTable[[#This Row],[Valor]])</f>
        <v>39.171653543307087</v>
      </c>
      <c r="W274" s="3">
        <f t="shared" si="88"/>
        <v>3</v>
      </c>
      <c r="X274" s="3">
        <f>IF(DataTable[[#This Row],[Valor]]&gt;1,1,1)</f>
        <v>1</v>
      </c>
      <c r="Y274" s="3">
        <f t="shared" si="89"/>
        <v>3</v>
      </c>
      <c r="Z274" s="3">
        <f>IF(AND(DataTable[[#This Row],[Sentido]]="URUGUAI para BRASIL",DataTable[[#This Row],[Valor]]&gt;350),1,0)</f>
        <v>0</v>
      </c>
      <c r="AA274" s="3">
        <f>IF(DataTable[[#This Row],[Valor]]&gt;1,0,0)</f>
        <v>0</v>
      </c>
    </row>
    <row r="275" spans="1:27" x14ac:dyDescent="0.25">
      <c r="A275" s="2" t="s">
        <v>21</v>
      </c>
      <c r="B275" s="2">
        <v>323</v>
      </c>
      <c r="C275" s="3">
        <f t="shared" si="75"/>
        <v>85.724484251968505</v>
      </c>
      <c r="D275" s="3">
        <f t="shared" si="76"/>
        <v>90.724484251968505</v>
      </c>
      <c r="E275" s="3">
        <f t="shared" si="77"/>
        <v>88.224484251968505</v>
      </c>
      <c r="F275" s="3">
        <f t="shared" si="78"/>
        <v>36.24</v>
      </c>
      <c r="G275" s="3">
        <f t="shared" si="79"/>
        <v>100.4</v>
      </c>
      <c r="H275" s="3">
        <f t="shared" si="80"/>
        <v>100.4</v>
      </c>
      <c r="I275" s="3"/>
      <c r="J275" s="3">
        <f t="shared" si="81"/>
        <v>86.74218425196851</v>
      </c>
      <c r="K275" s="3">
        <f t="shared" si="82"/>
        <v>90.724484251968505</v>
      </c>
      <c r="L275" s="34">
        <f t="shared" si="83"/>
        <v>88.224484251968505</v>
      </c>
      <c r="M275" s="3">
        <f t="shared" si="84"/>
        <v>-18.759999999999998</v>
      </c>
      <c r="N275" s="3">
        <f t="shared" si="85"/>
        <v>144.16</v>
      </c>
      <c r="O275" s="3"/>
      <c r="P275" s="3">
        <f t="shared" si="86"/>
        <v>104.96963779527559</v>
      </c>
      <c r="Q275" s="3">
        <f t="shared" si="87"/>
        <v>138.95116850393703</v>
      </c>
      <c r="R275" s="3">
        <f>vd(DataTable[[#This Row],[Sentido]],DataTable[[#This Row],[Valor]])</f>
        <v>115.97401574803149</v>
      </c>
      <c r="S275" s="3">
        <f>IF(DataTable[[#This Row],[Valor]]&gt;1,1,1)</f>
        <v>1</v>
      </c>
      <c r="T275" s="3">
        <f>IF(DataTable[[#This Row],[Valor]]&gt;1,1,1)</f>
        <v>1</v>
      </c>
      <c r="U275" s="3">
        <f>angr(DataTable[[#This Row],[Sentido]],DataTable[[#This Row],[Valor]])</f>
        <v>36.365354330708662</v>
      </c>
      <c r="V275" s="3">
        <f>ANGI(DataTable[[#This Row],[Sentido]],DataTable[[#This Row],[Valor]])</f>
        <v>39.065354330708658</v>
      </c>
      <c r="W275" s="3">
        <f t="shared" si="88"/>
        <v>3</v>
      </c>
      <c r="X275" s="3">
        <f>IF(DataTable[[#This Row],[Valor]]&gt;1,1,1)</f>
        <v>1</v>
      </c>
      <c r="Y275" s="3">
        <f t="shared" si="89"/>
        <v>3</v>
      </c>
      <c r="Z275" s="3">
        <f>IF(AND(DataTable[[#This Row],[Sentido]]="URUGUAI para BRASIL",DataTable[[#This Row],[Valor]]&gt;350),1,0)</f>
        <v>0</v>
      </c>
      <c r="AA275" s="3">
        <f>IF(DataTable[[#This Row],[Valor]]&gt;1,0,0)</f>
        <v>0</v>
      </c>
    </row>
    <row r="276" spans="1:27" x14ac:dyDescent="0.25">
      <c r="A276" s="2" t="s">
        <v>21</v>
      </c>
      <c r="B276" s="2">
        <v>324</v>
      </c>
      <c r="C276" s="3">
        <f t="shared" si="75"/>
        <v>85.796708661417327</v>
      </c>
      <c r="D276" s="3">
        <f t="shared" si="76"/>
        <v>90.796708661417327</v>
      </c>
      <c r="E276" s="3">
        <f t="shared" si="77"/>
        <v>88.296708661417327</v>
      </c>
      <c r="F276" s="3">
        <f t="shared" si="78"/>
        <v>36.120000000000005</v>
      </c>
      <c r="G276" s="3">
        <f t="shared" si="79"/>
        <v>100.19999999999999</v>
      </c>
      <c r="H276" s="3">
        <f t="shared" si="80"/>
        <v>100.19999999999999</v>
      </c>
      <c r="I276" s="3"/>
      <c r="J276" s="3">
        <f t="shared" si="81"/>
        <v>86.814408661417318</v>
      </c>
      <c r="K276" s="3">
        <f t="shared" si="82"/>
        <v>90.796708661417327</v>
      </c>
      <c r="L276" s="34">
        <f t="shared" si="83"/>
        <v>88.296708661417327</v>
      </c>
      <c r="M276" s="3">
        <f t="shared" si="84"/>
        <v>-18.88</v>
      </c>
      <c r="N276" s="3">
        <f t="shared" si="85"/>
        <v>144.08000000000001</v>
      </c>
      <c r="O276" s="3"/>
      <c r="P276" s="3">
        <f t="shared" si="86"/>
        <v>105.22229921259843</v>
      </c>
      <c r="Q276" s="3">
        <f t="shared" si="87"/>
        <v>139.05661732283465</v>
      </c>
      <c r="R276" s="3">
        <f>vd(DataTable[[#This Row],[Sentido]],DataTable[[#This Row],[Valor]])</f>
        <v>116.26929133858268</v>
      </c>
      <c r="S276" s="3">
        <f>IF(DataTable[[#This Row],[Valor]]&gt;1,1,1)</f>
        <v>1</v>
      </c>
      <c r="T276" s="3">
        <f>IF(DataTable[[#This Row],[Valor]]&gt;1,1,1)</f>
        <v>1</v>
      </c>
      <c r="U276" s="3">
        <f>angr(DataTable[[#This Row],[Sentido]],DataTable[[#This Row],[Valor]])</f>
        <v>36.25905511811024</v>
      </c>
      <c r="V276" s="3">
        <f>ANGI(DataTable[[#This Row],[Sentido]],DataTable[[#This Row],[Valor]])</f>
        <v>38.959055118110236</v>
      </c>
      <c r="W276" s="3">
        <f t="shared" si="88"/>
        <v>3</v>
      </c>
      <c r="X276" s="3">
        <f>IF(DataTable[[#This Row],[Valor]]&gt;1,1,1)</f>
        <v>1</v>
      </c>
      <c r="Y276" s="3">
        <f t="shared" si="89"/>
        <v>3</v>
      </c>
      <c r="Z276" s="3">
        <f>IF(AND(DataTable[[#This Row],[Sentido]]="URUGUAI para BRASIL",DataTable[[#This Row],[Valor]]&gt;350),1,0)</f>
        <v>0</v>
      </c>
      <c r="AA276" s="3">
        <f>IF(DataTable[[#This Row],[Valor]]&gt;1,0,0)</f>
        <v>0</v>
      </c>
    </row>
    <row r="277" spans="1:27" x14ac:dyDescent="0.25">
      <c r="A277" s="2" t="s">
        <v>21</v>
      </c>
      <c r="B277" s="2">
        <v>325</v>
      </c>
      <c r="C277" s="3">
        <f t="shared" si="75"/>
        <v>85.868933070866149</v>
      </c>
      <c r="D277" s="3">
        <f t="shared" si="76"/>
        <v>90.868933070866149</v>
      </c>
      <c r="E277" s="3">
        <f t="shared" si="77"/>
        <v>88.368933070866149</v>
      </c>
      <c r="F277" s="3">
        <f t="shared" si="78"/>
        <v>36</v>
      </c>
      <c r="G277" s="3">
        <f t="shared" si="79"/>
        <v>100</v>
      </c>
      <c r="H277" s="3">
        <f t="shared" si="80"/>
        <v>100</v>
      </c>
      <c r="I277" s="3"/>
      <c r="J277" s="3">
        <f t="shared" si="81"/>
        <v>86.886633070866139</v>
      </c>
      <c r="K277" s="3">
        <f t="shared" si="82"/>
        <v>90.868933070866149</v>
      </c>
      <c r="L277" s="34">
        <f t="shared" si="83"/>
        <v>88.368933070866149</v>
      </c>
      <c r="M277" s="3">
        <f t="shared" si="84"/>
        <v>-19</v>
      </c>
      <c r="N277" s="3">
        <f t="shared" si="85"/>
        <v>144</v>
      </c>
      <c r="O277" s="3"/>
      <c r="P277" s="3">
        <f t="shared" si="86"/>
        <v>105.47496062992127</v>
      </c>
      <c r="Q277" s="3">
        <f t="shared" si="87"/>
        <v>139.16206614173228</v>
      </c>
      <c r="R277" s="3">
        <f>vd(DataTable[[#This Row],[Sentido]],DataTable[[#This Row],[Valor]])</f>
        <v>116.56456692913385</v>
      </c>
      <c r="S277" s="3">
        <f>IF(DataTable[[#This Row],[Valor]]&gt;1,1,1)</f>
        <v>1</v>
      </c>
      <c r="T277" s="3">
        <f>IF(DataTable[[#This Row],[Valor]]&gt;1,1,1)</f>
        <v>1</v>
      </c>
      <c r="U277" s="3">
        <f>angr(DataTable[[#This Row],[Sentido]],DataTable[[#This Row],[Valor]])</f>
        <v>36.15275590551181</v>
      </c>
      <c r="V277" s="3">
        <f>ANGI(DataTable[[#This Row],[Sentido]],DataTable[[#This Row],[Valor]])</f>
        <v>38.852755905511813</v>
      </c>
      <c r="W277" s="3">
        <f t="shared" si="88"/>
        <v>3</v>
      </c>
      <c r="X277" s="3">
        <f>IF(DataTable[[#This Row],[Valor]]&gt;1,1,1)</f>
        <v>1</v>
      </c>
      <c r="Y277" s="3">
        <f t="shared" si="89"/>
        <v>3</v>
      </c>
      <c r="Z277" s="3">
        <f>IF(AND(DataTable[[#This Row],[Sentido]]="URUGUAI para BRASIL",DataTable[[#This Row],[Valor]]&gt;350),1,0)</f>
        <v>0</v>
      </c>
      <c r="AA277" s="3">
        <f>IF(DataTable[[#This Row],[Valor]]&gt;1,0,0)</f>
        <v>0</v>
      </c>
    </row>
    <row r="278" spans="1:27" x14ac:dyDescent="0.25">
      <c r="A278" s="2" t="s">
        <v>21</v>
      </c>
      <c r="B278" s="2">
        <v>326</v>
      </c>
      <c r="C278" s="3">
        <f t="shared" si="75"/>
        <v>85.941157480314956</v>
      </c>
      <c r="D278" s="3">
        <f t="shared" si="76"/>
        <v>90.941157480314956</v>
      </c>
      <c r="E278" s="3">
        <f t="shared" si="77"/>
        <v>88.441157480314956</v>
      </c>
      <c r="F278" s="3">
        <f t="shared" si="78"/>
        <v>35.879999999999995</v>
      </c>
      <c r="G278" s="3">
        <f t="shared" si="79"/>
        <v>99.8</v>
      </c>
      <c r="H278" s="3">
        <f t="shared" si="80"/>
        <v>99.8</v>
      </c>
      <c r="I278" s="3"/>
      <c r="J278" s="3">
        <f t="shared" si="81"/>
        <v>86.958857480314961</v>
      </c>
      <c r="K278" s="3">
        <f t="shared" si="82"/>
        <v>90.941157480314956</v>
      </c>
      <c r="L278" s="34">
        <f t="shared" si="83"/>
        <v>88.441157480314956</v>
      </c>
      <c r="M278" s="3">
        <f t="shared" si="84"/>
        <v>-19.12</v>
      </c>
      <c r="N278" s="3">
        <f t="shared" si="85"/>
        <v>143.91999999999999</v>
      </c>
      <c r="O278" s="3"/>
      <c r="P278" s="3">
        <f t="shared" si="86"/>
        <v>105.72762204724411</v>
      </c>
      <c r="Q278" s="3">
        <f t="shared" si="87"/>
        <v>139.26751496062994</v>
      </c>
      <c r="R278" s="3">
        <f>vd(DataTable[[#This Row],[Sentido]],DataTable[[#This Row],[Valor]])</f>
        <v>116.85984251968503</v>
      </c>
      <c r="S278" s="3">
        <f>IF(DataTable[[#This Row],[Valor]]&gt;1,1,1)</f>
        <v>1</v>
      </c>
      <c r="T278" s="3">
        <f>IF(DataTable[[#This Row],[Valor]]&gt;1,1,1)</f>
        <v>1</v>
      </c>
      <c r="U278" s="3">
        <f>angr(DataTable[[#This Row],[Sentido]],DataTable[[#This Row],[Valor]])</f>
        <v>36.046456692913388</v>
      </c>
      <c r="V278" s="3">
        <f>ANGI(DataTable[[#This Row],[Sentido]],DataTable[[#This Row],[Valor]])</f>
        <v>38.746456692913384</v>
      </c>
      <c r="W278" s="3">
        <f t="shared" si="88"/>
        <v>3</v>
      </c>
      <c r="X278" s="3">
        <f>IF(DataTable[[#This Row],[Valor]]&gt;1,1,1)</f>
        <v>1</v>
      </c>
      <c r="Y278" s="3">
        <f t="shared" si="89"/>
        <v>3</v>
      </c>
      <c r="Z278" s="3">
        <f>IF(AND(DataTable[[#This Row],[Sentido]]="URUGUAI para BRASIL",DataTable[[#This Row],[Valor]]&gt;350),1,0)</f>
        <v>0</v>
      </c>
      <c r="AA278" s="3">
        <f>IF(DataTable[[#This Row],[Valor]]&gt;1,0,0)</f>
        <v>0</v>
      </c>
    </row>
    <row r="279" spans="1:27" x14ac:dyDescent="0.25">
      <c r="A279" s="2" t="s">
        <v>21</v>
      </c>
      <c r="B279" s="2">
        <v>327</v>
      </c>
      <c r="C279" s="3">
        <f t="shared" si="75"/>
        <v>86.013381889763778</v>
      </c>
      <c r="D279" s="3">
        <f t="shared" si="76"/>
        <v>91.013381889763778</v>
      </c>
      <c r="E279" s="3">
        <f t="shared" si="77"/>
        <v>88.513381889763778</v>
      </c>
      <c r="F279" s="3">
        <f t="shared" si="78"/>
        <v>35.760000000000005</v>
      </c>
      <c r="G279" s="3">
        <f t="shared" si="79"/>
        <v>99.6</v>
      </c>
      <c r="H279" s="3">
        <f t="shared" si="80"/>
        <v>99.6</v>
      </c>
      <c r="I279" s="3"/>
      <c r="J279" s="3">
        <f t="shared" si="81"/>
        <v>87.031081889763783</v>
      </c>
      <c r="K279" s="3">
        <f t="shared" si="82"/>
        <v>91.013381889763778</v>
      </c>
      <c r="L279" s="34">
        <f t="shared" si="83"/>
        <v>88.513381889763778</v>
      </c>
      <c r="M279" s="3">
        <f t="shared" si="84"/>
        <v>-19.239999999999998</v>
      </c>
      <c r="N279" s="3">
        <f t="shared" si="85"/>
        <v>143.84</v>
      </c>
      <c r="O279" s="3"/>
      <c r="P279" s="3">
        <f t="shared" si="86"/>
        <v>105.98028346456692</v>
      </c>
      <c r="Q279" s="3">
        <f t="shared" si="87"/>
        <v>139.37296377952757</v>
      </c>
      <c r="R279" s="3">
        <f>vd(DataTable[[#This Row],[Sentido]],DataTable[[#This Row],[Valor]])</f>
        <v>117.15511811023622</v>
      </c>
      <c r="S279" s="3">
        <f>IF(DataTable[[#This Row],[Valor]]&gt;1,1,1)</f>
        <v>1</v>
      </c>
      <c r="T279" s="3">
        <f>IF(DataTable[[#This Row],[Valor]]&gt;1,1,1)</f>
        <v>1</v>
      </c>
      <c r="U279" s="3">
        <f>angr(DataTable[[#This Row],[Sentido]],DataTable[[#This Row],[Valor]])</f>
        <v>35.940157480314959</v>
      </c>
      <c r="V279" s="3">
        <f>ANGI(DataTable[[#This Row],[Sentido]],DataTable[[#This Row],[Valor]])</f>
        <v>38.640157480314954</v>
      </c>
      <c r="W279" s="3">
        <f t="shared" si="88"/>
        <v>3</v>
      </c>
      <c r="X279" s="3">
        <f>IF(DataTable[[#This Row],[Valor]]&gt;1,1,1)</f>
        <v>1</v>
      </c>
      <c r="Y279" s="3">
        <f t="shared" si="89"/>
        <v>3</v>
      </c>
      <c r="Z279" s="3">
        <f>IF(AND(DataTable[[#This Row],[Sentido]]="URUGUAI para BRASIL",DataTable[[#This Row],[Valor]]&gt;350),1,0)</f>
        <v>0</v>
      </c>
      <c r="AA279" s="3">
        <f>IF(DataTable[[#This Row],[Valor]]&gt;1,0,0)</f>
        <v>0</v>
      </c>
    </row>
    <row r="280" spans="1:27" x14ac:dyDescent="0.25">
      <c r="A280" s="2" t="s">
        <v>21</v>
      </c>
      <c r="B280" s="2">
        <v>328</v>
      </c>
      <c r="C280" s="3">
        <f t="shared" si="75"/>
        <v>86.0856062992126</v>
      </c>
      <c r="D280" s="3">
        <f t="shared" si="76"/>
        <v>91.0856062992126</v>
      </c>
      <c r="E280" s="3">
        <f t="shared" si="77"/>
        <v>88.5856062992126</v>
      </c>
      <c r="F280" s="3">
        <f t="shared" si="78"/>
        <v>35.64</v>
      </c>
      <c r="G280" s="3">
        <f t="shared" si="79"/>
        <v>99.4</v>
      </c>
      <c r="H280" s="3">
        <f t="shared" si="80"/>
        <v>99.4</v>
      </c>
      <c r="I280" s="3"/>
      <c r="J280" s="3">
        <f t="shared" si="81"/>
        <v>87.103306299212605</v>
      </c>
      <c r="K280" s="3">
        <f t="shared" si="82"/>
        <v>91.0856062992126</v>
      </c>
      <c r="L280" s="34">
        <f t="shared" si="83"/>
        <v>88.5856062992126</v>
      </c>
      <c r="M280" s="3">
        <f t="shared" si="84"/>
        <v>-19.36</v>
      </c>
      <c r="N280" s="3">
        <f t="shared" si="85"/>
        <v>143.76</v>
      </c>
      <c r="O280" s="3"/>
      <c r="P280" s="3">
        <f t="shared" si="86"/>
        <v>106.23294488188976</v>
      </c>
      <c r="Q280" s="3">
        <f t="shared" si="87"/>
        <v>139.47841259842519</v>
      </c>
      <c r="R280" s="3">
        <f>vd(DataTable[[#This Row],[Sentido]],DataTable[[#This Row],[Valor]])</f>
        <v>117.4503937007874</v>
      </c>
      <c r="S280" s="3">
        <f>IF(DataTable[[#This Row],[Valor]]&gt;1,1,1)</f>
        <v>1</v>
      </c>
      <c r="T280" s="3">
        <f>IF(DataTable[[#This Row],[Valor]]&gt;1,1,1)</f>
        <v>1</v>
      </c>
      <c r="U280" s="3">
        <f>angr(DataTable[[#This Row],[Sentido]],DataTable[[#This Row],[Valor]])</f>
        <v>35.833858267716536</v>
      </c>
      <c r="V280" s="3">
        <f>ANGI(DataTable[[#This Row],[Sentido]],DataTable[[#This Row],[Valor]])</f>
        <v>38.533858267716532</v>
      </c>
      <c r="W280" s="3">
        <f t="shared" si="88"/>
        <v>3</v>
      </c>
      <c r="X280" s="3">
        <f>IF(DataTable[[#This Row],[Valor]]&gt;1,1,1)</f>
        <v>1</v>
      </c>
      <c r="Y280" s="3">
        <f t="shared" si="89"/>
        <v>3</v>
      </c>
      <c r="Z280" s="3">
        <f>IF(AND(DataTable[[#This Row],[Sentido]]="URUGUAI para BRASIL",DataTable[[#This Row],[Valor]]&gt;350),1,0)</f>
        <v>0</v>
      </c>
      <c r="AA280" s="3">
        <f>IF(DataTable[[#This Row],[Valor]]&gt;1,0,0)</f>
        <v>0</v>
      </c>
    </row>
    <row r="281" spans="1:27" x14ac:dyDescent="0.25">
      <c r="A281" s="2" t="s">
        <v>21</v>
      </c>
      <c r="B281" s="2">
        <v>329</v>
      </c>
      <c r="C281" s="3">
        <f t="shared" si="75"/>
        <v>86.157830708661422</v>
      </c>
      <c r="D281" s="3">
        <f t="shared" si="76"/>
        <v>91.157830708661422</v>
      </c>
      <c r="E281" s="3">
        <f t="shared" si="77"/>
        <v>88.657830708661422</v>
      </c>
      <c r="F281" s="3">
        <f t="shared" si="78"/>
        <v>35.519999999999996</v>
      </c>
      <c r="G281" s="3">
        <f t="shared" si="79"/>
        <v>99.199999999999989</v>
      </c>
      <c r="H281" s="3">
        <f t="shared" si="80"/>
        <v>99.199999999999989</v>
      </c>
      <c r="I281" s="3"/>
      <c r="J281" s="3">
        <f t="shared" si="81"/>
        <v>87.175530708661412</v>
      </c>
      <c r="K281" s="3">
        <f t="shared" si="82"/>
        <v>91.157830708661422</v>
      </c>
      <c r="L281" s="34">
        <f t="shared" si="83"/>
        <v>88.657830708661422</v>
      </c>
      <c r="M281" s="3">
        <f t="shared" si="84"/>
        <v>-19.48</v>
      </c>
      <c r="N281" s="3">
        <f t="shared" si="85"/>
        <v>143.68</v>
      </c>
      <c r="O281" s="3"/>
      <c r="P281" s="3">
        <f t="shared" si="86"/>
        <v>106.48560629921261</v>
      </c>
      <c r="Q281" s="3">
        <f t="shared" si="87"/>
        <v>139.58386141732282</v>
      </c>
      <c r="R281" s="3">
        <f>vd(DataTable[[#This Row],[Sentido]],DataTable[[#This Row],[Valor]])</f>
        <v>117.74566929133857</v>
      </c>
      <c r="S281" s="3">
        <f>IF(DataTable[[#This Row],[Valor]]&gt;1,1,1)</f>
        <v>1</v>
      </c>
      <c r="T281" s="3">
        <f>IF(DataTable[[#This Row],[Valor]]&gt;1,1,1)</f>
        <v>1</v>
      </c>
      <c r="U281" s="3">
        <f>angr(DataTable[[#This Row],[Sentido]],DataTable[[#This Row],[Valor]])</f>
        <v>35.727559055118114</v>
      </c>
      <c r="V281" s="3">
        <f>ANGI(DataTable[[#This Row],[Sentido]],DataTable[[#This Row],[Valor]])</f>
        <v>38.42755905511811</v>
      </c>
      <c r="W281" s="3">
        <f t="shared" si="88"/>
        <v>3</v>
      </c>
      <c r="X281" s="3">
        <f>IF(DataTable[[#This Row],[Valor]]&gt;1,1,1)</f>
        <v>1</v>
      </c>
      <c r="Y281" s="3">
        <f t="shared" si="89"/>
        <v>3</v>
      </c>
      <c r="Z281" s="3">
        <f>IF(AND(DataTable[[#This Row],[Sentido]]="URUGUAI para BRASIL",DataTable[[#This Row],[Valor]]&gt;350),1,0)</f>
        <v>0</v>
      </c>
      <c r="AA281" s="3">
        <f>IF(DataTable[[#This Row],[Valor]]&gt;1,0,0)</f>
        <v>0</v>
      </c>
    </row>
    <row r="282" spans="1:27" x14ac:dyDescent="0.25">
      <c r="A282" s="2" t="s">
        <v>21</v>
      </c>
      <c r="B282" s="2">
        <v>330</v>
      </c>
      <c r="C282" s="3">
        <f t="shared" si="75"/>
        <v>86.230055118110229</v>
      </c>
      <c r="D282" s="3">
        <f t="shared" si="76"/>
        <v>91.230055118110229</v>
      </c>
      <c r="E282" s="3">
        <f t="shared" si="77"/>
        <v>88.730055118110229</v>
      </c>
      <c r="F282" s="3">
        <f t="shared" si="78"/>
        <v>35.4</v>
      </c>
      <c r="G282" s="3">
        <f t="shared" si="79"/>
        <v>99</v>
      </c>
      <c r="H282" s="3">
        <f t="shared" si="80"/>
        <v>99</v>
      </c>
      <c r="I282" s="3"/>
      <c r="J282" s="3">
        <f t="shared" si="81"/>
        <v>87.247755118110234</v>
      </c>
      <c r="K282" s="3">
        <f t="shared" si="82"/>
        <v>91.230055118110229</v>
      </c>
      <c r="L282" s="34">
        <f t="shared" si="83"/>
        <v>88.730055118110229</v>
      </c>
      <c r="M282" s="3">
        <f t="shared" si="84"/>
        <v>-19.600000000000001</v>
      </c>
      <c r="N282" s="3">
        <f t="shared" si="85"/>
        <v>143.6</v>
      </c>
      <c r="O282" s="3"/>
      <c r="P282" s="3">
        <f t="shared" si="86"/>
        <v>106.73826771653543</v>
      </c>
      <c r="Q282" s="3">
        <f t="shared" si="87"/>
        <v>139.68931023622048</v>
      </c>
      <c r="R282" s="3">
        <f>vd(DataTable[[#This Row],[Sentido]],DataTable[[#This Row],[Valor]])</f>
        <v>118.04094488188974</v>
      </c>
      <c r="S282" s="3">
        <f>IF(DataTable[[#This Row],[Valor]]&gt;1,1,1)</f>
        <v>1</v>
      </c>
      <c r="T282" s="3">
        <f>IF(DataTable[[#This Row],[Valor]]&gt;1,1,1)</f>
        <v>1</v>
      </c>
      <c r="U282" s="3">
        <f>angr(DataTable[[#This Row],[Sentido]],DataTable[[#This Row],[Valor]])</f>
        <v>35.621259842519692</v>
      </c>
      <c r="V282" s="3">
        <f>ANGI(DataTable[[#This Row],[Sentido]],DataTable[[#This Row],[Valor]])</f>
        <v>38.321259842519687</v>
      </c>
      <c r="W282" s="3">
        <f t="shared" si="88"/>
        <v>3</v>
      </c>
      <c r="X282" s="3">
        <f>IF(DataTable[[#This Row],[Valor]]&gt;1,1,1)</f>
        <v>1</v>
      </c>
      <c r="Y282" s="3">
        <f t="shared" si="89"/>
        <v>3</v>
      </c>
      <c r="Z282" s="3">
        <f>IF(AND(DataTable[[#This Row],[Sentido]]="URUGUAI para BRASIL",DataTable[[#This Row],[Valor]]&gt;350),1,0)</f>
        <v>0</v>
      </c>
      <c r="AA282" s="3">
        <f>IF(DataTable[[#This Row],[Valor]]&gt;1,0,0)</f>
        <v>0</v>
      </c>
    </row>
    <row r="283" spans="1:27" x14ac:dyDescent="0.25">
      <c r="A283" s="2" t="s">
        <v>21</v>
      </c>
      <c r="B283" s="2">
        <v>331</v>
      </c>
      <c r="C283" s="3">
        <f t="shared" si="75"/>
        <v>86.302279527559065</v>
      </c>
      <c r="D283" s="3">
        <f t="shared" si="76"/>
        <v>91.302279527559065</v>
      </c>
      <c r="E283" s="3">
        <f t="shared" si="77"/>
        <v>88.802279527559065</v>
      </c>
      <c r="F283" s="3">
        <f t="shared" si="78"/>
        <v>35.28</v>
      </c>
      <c r="G283" s="3">
        <f t="shared" si="79"/>
        <v>98.8</v>
      </c>
      <c r="H283" s="3">
        <f t="shared" si="80"/>
        <v>98.8</v>
      </c>
      <c r="I283" s="3"/>
      <c r="J283" s="3">
        <f t="shared" si="81"/>
        <v>87.319979527559056</v>
      </c>
      <c r="K283" s="3">
        <f t="shared" si="82"/>
        <v>91.302279527559065</v>
      </c>
      <c r="L283" s="34">
        <f t="shared" si="83"/>
        <v>88.802279527559065</v>
      </c>
      <c r="M283" s="3">
        <f t="shared" si="84"/>
        <v>-19.72</v>
      </c>
      <c r="N283" s="3">
        <f t="shared" si="85"/>
        <v>143.52000000000001</v>
      </c>
      <c r="O283" s="3"/>
      <c r="P283" s="3">
        <f t="shared" si="86"/>
        <v>106.99092913385827</v>
      </c>
      <c r="Q283" s="3">
        <f t="shared" si="87"/>
        <v>139.79475905511811</v>
      </c>
      <c r="R283" s="3">
        <f>vd(DataTable[[#This Row],[Sentido]],DataTable[[#This Row],[Valor]])</f>
        <v>118.33622047244094</v>
      </c>
      <c r="S283" s="3">
        <f>IF(DataTable[[#This Row],[Valor]]&gt;1,1,1)</f>
        <v>1</v>
      </c>
      <c r="T283" s="3">
        <f>IF(DataTable[[#This Row],[Valor]]&gt;1,1,1)</f>
        <v>1</v>
      </c>
      <c r="U283" s="3">
        <f>angr(DataTable[[#This Row],[Sentido]],DataTable[[#This Row],[Valor]])</f>
        <v>35.508661417322834</v>
      </c>
      <c r="V283" s="3">
        <f>ANGI(DataTable[[#This Row],[Sentido]],DataTable[[#This Row],[Valor]])</f>
        <v>38.21181102362204</v>
      </c>
      <c r="W283" s="3">
        <f t="shared" si="88"/>
        <v>3</v>
      </c>
      <c r="X283" s="3">
        <f>IF(DataTable[[#This Row],[Valor]]&gt;1,1,1)</f>
        <v>1</v>
      </c>
      <c r="Y283" s="3">
        <f t="shared" si="89"/>
        <v>3</v>
      </c>
      <c r="Z283" s="3">
        <f>IF(AND(DataTable[[#This Row],[Sentido]]="URUGUAI para BRASIL",DataTable[[#This Row],[Valor]]&gt;350),1,0)</f>
        <v>0</v>
      </c>
      <c r="AA283" s="3">
        <f>IF(DataTable[[#This Row],[Valor]]&gt;1,0,0)</f>
        <v>0</v>
      </c>
    </row>
    <row r="284" spans="1:27" x14ac:dyDescent="0.25">
      <c r="A284" s="2" t="s">
        <v>21</v>
      </c>
      <c r="B284" s="2">
        <v>332</v>
      </c>
      <c r="C284" s="3">
        <f t="shared" si="75"/>
        <v>86.374503937007873</v>
      </c>
      <c r="D284" s="3">
        <f t="shared" si="76"/>
        <v>91.374503937007873</v>
      </c>
      <c r="E284" s="3">
        <f t="shared" si="77"/>
        <v>88.874503937007873</v>
      </c>
      <c r="F284" s="3">
        <f t="shared" si="78"/>
        <v>35.159999999999997</v>
      </c>
      <c r="G284" s="3">
        <f t="shared" si="79"/>
        <v>98.6</v>
      </c>
      <c r="H284" s="3">
        <f t="shared" si="80"/>
        <v>98.6</v>
      </c>
      <c r="I284" s="3"/>
      <c r="J284" s="3">
        <f t="shared" si="81"/>
        <v>87.392203937007878</v>
      </c>
      <c r="K284" s="3">
        <f t="shared" si="82"/>
        <v>91.374503937007873</v>
      </c>
      <c r="L284" s="34">
        <f t="shared" si="83"/>
        <v>88.874503937007873</v>
      </c>
      <c r="M284" s="3">
        <f t="shared" si="84"/>
        <v>-19.84</v>
      </c>
      <c r="N284" s="3">
        <f t="shared" si="85"/>
        <v>143.44</v>
      </c>
      <c r="O284" s="3"/>
      <c r="P284" s="3">
        <f t="shared" si="86"/>
        <v>107.24359055118111</v>
      </c>
      <c r="Q284" s="3">
        <f t="shared" si="87"/>
        <v>139.90020787401573</v>
      </c>
      <c r="R284" s="3">
        <f>vd(DataTable[[#This Row],[Sentido]],DataTable[[#This Row],[Valor]])</f>
        <v>118.63149606299213</v>
      </c>
      <c r="S284" s="3">
        <f>IF(DataTable[[#This Row],[Valor]]&gt;1,1,1)</f>
        <v>1</v>
      </c>
      <c r="T284" s="3">
        <f>IF(DataTable[[#This Row],[Valor]]&gt;1,1,1)</f>
        <v>1</v>
      </c>
      <c r="U284" s="3">
        <f>angr(DataTable[[#This Row],[Sentido]],DataTable[[#This Row],[Valor]])</f>
        <v>35.394488188976375</v>
      </c>
      <c r="V284" s="3">
        <f>ANGI(DataTable[[#This Row],[Sentido]],DataTable[[#This Row],[Valor]])</f>
        <v>38.101574803149603</v>
      </c>
      <c r="W284" s="3">
        <f t="shared" si="88"/>
        <v>3</v>
      </c>
      <c r="X284" s="3">
        <f>IF(DataTable[[#This Row],[Valor]]&gt;1,1,1)</f>
        <v>1</v>
      </c>
      <c r="Y284" s="3">
        <f t="shared" si="89"/>
        <v>3</v>
      </c>
      <c r="Z284" s="3">
        <f>IF(AND(DataTable[[#This Row],[Sentido]]="URUGUAI para BRASIL",DataTable[[#This Row],[Valor]]&gt;350),1,0)</f>
        <v>0</v>
      </c>
      <c r="AA284" s="3">
        <f>IF(DataTable[[#This Row],[Valor]]&gt;1,0,0)</f>
        <v>0</v>
      </c>
    </row>
    <row r="285" spans="1:27" x14ac:dyDescent="0.25">
      <c r="A285" s="2" t="s">
        <v>21</v>
      </c>
      <c r="B285" s="2">
        <v>333</v>
      </c>
      <c r="C285" s="3">
        <f t="shared" si="75"/>
        <v>86.446728346456695</v>
      </c>
      <c r="D285" s="3">
        <f t="shared" si="76"/>
        <v>91.446728346456695</v>
      </c>
      <c r="E285" s="3">
        <f t="shared" si="77"/>
        <v>88.946728346456695</v>
      </c>
      <c r="F285" s="3">
        <f t="shared" si="78"/>
        <v>35.04</v>
      </c>
      <c r="G285" s="3">
        <f t="shared" si="79"/>
        <v>98.4</v>
      </c>
      <c r="H285" s="3">
        <f t="shared" si="80"/>
        <v>98.4</v>
      </c>
      <c r="I285" s="3"/>
      <c r="J285" s="3">
        <f t="shared" si="81"/>
        <v>87.4644283464567</v>
      </c>
      <c r="K285" s="3">
        <f t="shared" si="82"/>
        <v>91.446728346456695</v>
      </c>
      <c r="L285" s="34">
        <f t="shared" si="83"/>
        <v>88.946728346456695</v>
      </c>
      <c r="M285" s="3">
        <f t="shared" si="84"/>
        <v>-19.96</v>
      </c>
      <c r="N285" s="3">
        <f t="shared" si="85"/>
        <v>143.36000000000001</v>
      </c>
      <c r="O285" s="3"/>
      <c r="P285" s="3">
        <f t="shared" si="86"/>
        <v>107.49625196850396</v>
      </c>
      <c r="Q285" s="3">
        <f t="shared" si="87"/>
        <v>140.00565669291339</v>
      </c>
      <c r="R285" s="3">
        <f>vd(DataTable[[#This Row],[Sentido]],DataTable[[#This Row],[Valor]])</f>
        <v>118.92677165354331</v>
      </c>
      <c r="S285" s="3">
        <f>IF(DataTable[[#This Row],[Valor]]&gt;1,1,1)</f>
        <v>1</v>
      </c>
      <c r="T285" s="3">
        <f>IF(DataTable[[#This Row],[Valor]]&gt;1,1,1)</f>
        <v>1</v>
      </c>
      <c r="U285" s="3">
        <f>angr(DataTable[[#This Row],[Sentido]],DataTable[[#This Row],[Valor]])</f>
        <v>35.280314960629923</v>
      </c>
      <c r="V285" s="3">
        <f>ANGI(DataTable[[#This Row],[Sentido]],DataTable[[#This Row],[Valor]])</f>
        <v>37.991338582677159</v>
      </c>
      <c r="W285" s="3">
        <f t="shared" si="88"/>
        <v>3</v>
      </c>
      <c r="X285" s="3">
        <f>IF(DataTable[[#This Row],[Valor]]&gt;1,1,1)</f>
        <v>1</v>
      </c>
      <c r="Y285" s="3">
        <f t="shared" si="89"/>
        <v>3</v>
      </c>
      <c r="Z285" s="3">
        <f>IF(AND(DataTable[[#This Row],[Sentido]]="URUGUAI para BRASIL",DataTable[[#This Row],[Valor]]&gt;350),1,0)</f>
        <v>0</v>
      </c>
      <c r="AA285" s="3">
        <f>IF(DataTable[[#This Row],[Valor]]&gt;1,0,0)</f>
        <v>0</v>
      </c>
    </row>
    <row r="286" spans="1:27" x14ac:dyDescent="0.25">
      <c r="A286" s="2" t="s">
        <v>21</v>
      </c>
      <c r="B286" s="2">
        <v>334</v>
      </c>
      <c r="C286" s="3">
        <f t="shared" si="75"/>
        <v>86.518952755905516</v>
      </c>
      <c r="D286" s="3">
        <f t="shared" si="76"/>
        <v>91.518952755905516</v>
      </c>
      <c r="E286" s="3">
        <f t="shared" si="77"/>
        <v>89.018952755905516</v>
      </c>
      <c r="F286" s="3">
        <f t="shared" si="78"/>
        <v>34.92</v>
      </c>
      <c r="G286" s="3">
        <f t="shared" si="79"/>
        <v>98.199999999999989</v>
      </c>
      <c r="H286" s="3">
        <f t="shared" si="80"/>
        <v>98.199999999999989</v>
      </c>
      <c r="I286" s="3"/>
      <c r="J286" s="3">
        <f t="shared" si="81"/>
        <v>87.536652755905507</v>
      </c>
      <c r="K286" s="3">
        <f t="shared" si="82"/>
        <v>91.518952755905516</v>
      </c>
      <c r="L286" s="34">
        <f t="shared" si="83"/>
        <v>89.018952755905516</v>
      </c>
      <c r="M286" s="3">
        <f t="shared" si="84"/>
        <v>-20.079999999999998</v>
      </c>
      <c r="N286" s="3">
        <f t="shared" si="85"/>
        <v>143.28</v>
      </c>
      <c r="O286" s="3"/>
      <c r="P286" s="3">
        <f t="shared" si="86"/>
        <v>107.74891338582677</v>
      </c>
      <c r="Q286" s="3">
        <f t="shared" si="87"/>
        <v>140.11110551181102</v>
      </c>
      <c r="R286" s="3">
        <f>vd(DataTable[[#This Row],[Sentido]],DataTable[[#This Row],[Valor]])</f>
        <v>119.22204724409448</v>
      </c>
      <c r="S286" s="3">
        <f>IF(DataTable[[#This Row],[Valor]]&gt;1,1,1)</f>
        <v>1</v>
      </c>
      <c r="T286" s="3">
        <f>IF(DataTable[[#This Row],[Valor]]&gt;1,1,1)</f>
        <v>1</v>
      </c>
      <c r="U286" s="3">
        <f>angr(DataTable[[#This Row],[Sentido]],DataTable[[#This Row],[Valor]])</f>
        <v>35.166141732283464</v>
      </c>
      <c r="V286" s="3">
        <f>ANGI(DataTable[[#This Row],[Sentido]],DataTable[[#This Row],[Valor]])</f>
        <v>37.881102362204722</v>
      </c>
      <c r="W286" s="3">
        <f t="shared" si="88"/>
        <v>3</v>
      </c>
      <c r="X286" s="3">
        <f>IF(DataTable[[#This Row],[Valor]]&gt;1,1,1)</f>
        <v>1</v>
      </c>
      <c r="Y286" s="3">
        <f t="shared" si="89"/>
        <v>3</v>
      </c>
      <c r="Z286" s="3">
        <f>IF(AND(DataTable[[#This Row],[Sentido]]="URUGUAI para BRASIL",DataTable[[#This Row],[Valor]]&gt;350),1,0)</f>
        <v>0</v>
      </c>
      <c r="AA286" s="3">
        <f>IF(DataTable[[#This Row],[Valor]]&gt;1,0,0)</f>
        <v>0</v>
      </c>
    </row>
    <row r="287" spans="1:27" x14ac:dyDescent="0.25">
      <c r="A287" s="2" t="s">
        <v>21</v>
      </c>
      <c r="B287" s="2">
        <v>335</v>
      </c>
      <c r="C287" s="3">
        <f t="shared" si="75"/>
        <v>86.591177165354324</v>
      </c>
      <c r="D287" s="3">
        <f t="shared" si="76"/>
        <v>91.591177165354324</v>
      </c>
      <c r="E287" s="3">
        <f t="shared" si="77"/>
        <v>89.091177165354324</v>
      </c>
      <c r="F287" s="3">
        <f t="shared" si="78"/>
        <v>34.799999999999997</v>
      </c>
      <c r="G287" s="3">
        <f t="shared" si="79"/>
        <v>98</v>
      </c>
      <c r="H287" s="3">
        <f t="shared" si="80"/>
        <v>98</v>
      </c>
      <c r="I287" s="3"/>
      <c r="J287" s="3">
        <f t="shared" si="81"/>
        <v>87.608877165354329</v>
      </c>
      <c r="K287" s="3">
        <f t="shared" si="82"/>
        <v>91.591177165354324</v>
      </c>
      <c r="L287" s="34">
        <f t="shared" si="83"/>
        <v>89.091177165354324</v>
      </c>
      <c r="M287" s="3">
        <f t="shared" si="84"/>
        <v>-20.2</v>
      </c>
      <c r="N287" s="3">
        <f t="shared" si="85"/>
        <v>143.19999999999999</v>
      </c>
      <c r="O287" s="3"/>
      <c r="P287" s="3">
        <f t="shared" si="86"/>
        <v>108.00157480314961</v>
      </c>
      <c r="Q287" s="3">
        <f t="shared" si="87"/>
        <v>140.21655433070868</v>
      </c>
      <c r="R287" s="3">
        <f>vd(DataTable[[#This Row],[Sentido]],DataTable[[#This Row],[Valor]])</f>
        <v>119.51732283464565</v>
      </c>
      <c r="S287" s="3">
        <f>IF(DataTable[[#This Row],[Valor]]&gt;1,1,1)</f>
        <v>1</v>
      </c>
      <c r="T287" s="3">
        <f>IF(DataTable[[#This Row],[Valor]]&gt;1,1,1)</f>
        <v>1</v>
      </c>
      <c r="U287" s="3">
        <f>angr(DataTable[[#This Row],[Sentido]],DataTable[[#This Row],[Valor]])</f>
        <v>35.051968503937012</v>
      </c>
      <c r="V287" s="3">
        <f>ANGI(DataTable[[#This Row],[Sentido]],DataTable[[#This Row],[Valor]])</f>
        <v>37.770866141732284</v>
      </c>
      <c r="W287" s="3">
        <f t="shared" si="88"/>
        <v>3</v>
      </c>
      <c r="X287" s="3">
        <f>IF(DataTable[[#This Row],[Valor]]&gt;1,1,1)</f>
        <v>1</v>
      </c>
      <c r="Y287" s="3">
        <f t="shared" si="89"/>
        <v>3</v>
      </c>
      <c r="Z287" s="3">
        <f>IF(AND(DataTable[[#This Row],[Sentido]]="URUGUAI para BRASIL",DataTable[[#This Row],[Valor]]&gt;350),1,0)</f>
        <v>0</v>
      </c>
      <c r="AA287" s="3">
        <f>IF(DataTable[[#This Row],[Valor]]&gt;1,0,0)</f>
        <v>0</v>
      </c>
    </row>
    <row r="288" spans="1:27" x14ac:dyDescent="0.25">
      <c r="A288" s="2" t="s">
        <v>21</v>
      </c>
      <c r="B288" s="2">
        <v>336</v>
      </c>
      <c r="C288" s="3">
        <f t="shared" si="75"/>
        <v>86.663401574803146</v>
      </c>
      <c r="D288" s="3">
        <f t="shared" si="76"/>
        <v>91.663401574803146</v>
      </c>
      <c r="E288" s="3">
        <f t="shared" si="77"/>
        <v>89.163401574803146</v>
      </c>
      <c r="F288" s="3">
        <f t="shared" si="78"/>
        <v>34.68</v>
      </c>
      <c r="G288" s="3">
        <f t="shared" si="79"/>
        <v>97.8</v>
      </c>
      <c r="H288" s="3">
        <f t="shared" si="80"/>
        <v>97.8</v>
      </c>
      <c r="I288" s="3"/>
      <c r="J288" s="3">
        <f t="shared" si="81"/>
        <v>87.681101574803151</v>
      </c>
      <c r="K288" s="3">
        <f t="shared" si="82"/>
        <v>91.663401574803146</v>
      </c>
      <c r="L288" s="34">
        <f t="shared" si="83"/>
        <v>89.163401574803146</v>
      </c>
      <c r="M288" s="3">
        <f t="shared" si="84"/>
        <v>-20.32</v>
      </c>
      <c r="N288" s="3">
        <f t="shared" si="85"/>
        <v>143.12</v>
      </c>
      <c r="O288" s="3"/>
      <c r="P288" s="3">
        <f t="shared" si="86"/>
        <v>108.25423622047245</v>
      </c>
      <c r="Q288" s="3">
        <f t="shared" si="87"/>
        <v>140.3220031496063</v>
      </c>
      <c r="R288" s="3">
        <f>vd(DataTable[[#This Row],[Sentido]],DataTable[[#This Row],[Valor]])</f>
        <v>119.81259842519684</v>
      </c>
      <c r="S288" s="3">
        <f>IF(DataTable[[#This Row],[Valor]]&gt;1,1,1)</f>
        <v>1</v>
      </c>
      <c r="T288" s="3">
        <f>IF(DataTable[[#This Row],[Valor]]&gt;1,1,1)</f>
        <v>1</v>
      </c>
      <c r="U288" s="3">
        <f>angr(DataTable[[#This Row],[Sentido]],DataTable[[#This Row],[Valor]])</f>
        <v>34.937795275590553</v>
      </c>
      <c r="V288" s="3">
        <f>ANGI(DataTable[[#This Row],[Sentido]],DataTable[[#This Row],[Valor]])</f>
        <v>37.66062992125984</v>
      </c>
      <c r="W288" s="3">
        <f t="shared" si="88"/>
        <v>3</v>
      </c>
      <c r="X288" s="3">
        <f>IF(DataTable[[#This Row],[Valor]]&gt;1,1,1)</f>
        <v>1</v>
      </c>
      <c r="Y288" s="3">
        <f t="shared" si="89"/>
        <v>3</v>
      </c>
      <c r="Z288" s="3">
        <f>IF(AND(DataTable[[#This Row],[Sentido]]="URUGUAI para BRASIL",DataTable[[#This Row],[Valor]]&gt;350),1,0)</f>
        <v>0</v>
      </c>
      <c r="AA288" s="3">
        <f>IF(DataTable[[#This Row],[Valor]]&gt;1,0,0)</f>
        <v>0</v>
      </c>
    </row>
    <row r="289" spans="1:29" x14ac:dyDescent="0.25">
      <c r="A289" s="2" t="s">
        <v>21</v>
      </c>
      <c r="B289" s="2">
        <v>337</v>
      </c>
      <c r="C289" s="3">
        <f t="shared" si="75"/>
        <v>86.735625984251968</v>
      </c>
      <c r="D289" s="3">
        <f t="shared" si="76"/>
        <v>91.735625984251968</v>
      </c>
      <c r="E289" s="3">
        <f t="shared" si="77"/>
        <v>89.235625984251968</v>
      </c>
      <c r="F289" s="3">
        <f t="shared" si="78"/>
        <v>34.56</v>
      </c>
      <c r="G289" s="3">
        <f t="shared" si="79"/>
        <v>97.6</v>
      </c>
      <c r="H289" s="3">
        <f t="shared" si="80"/>
        <v>97.6</v>
      </c>
      <c r="I289" s="3"/>
      <c r="J289" s="3">
        <f t="shared" si="81"/>
        <v>87.753325984251973</v>
      </c>
      <c r="K289" s="3">
        <f t="shared" si="82"/>
        <v>91.735625984251968</v>
      </c>
      <c r="L289" s="34">
        <f t="shared" si="83"/>
        <v>89.235625984251968</v>
      </c>
      <c r="M289" s="3">
        <f t="shared" si="84"/>
        <v>-20.440000000000001</v>
      </c>
      <c r="N289" s="3">
        <f t="shared" si="85"/>
        <v>143.04</v>
      </c>
      <c r="O289" s="3"/>
      <c r="P289" s="3">
        <f t="shared" si="86"/>
        <v>108.50689763779526</v>
      </c>
      <c r="Q289" s="3">
        <f t="shared" si="87"/>
        <v>140.42745196850393</v>
      </c>
      <c r="R289" s="3">
        <f>vd(DataTable[[#This Row],[Sentido]],DataTable[[#This Row],[Valor]])</f>
        <v>120.10787401574802</v>
      </c>
      <c r="S289" s="3">
        <f>IF(DataTable[[#This Row],[Valor]]&gt;1,1,1)</f>
        <v>1</v>
      </c>
      <c r="T289" s="3">
        <f>IF(DataTable[[#This Row],[Valor]]&gt;1,1,1)</f>
        <v>1</v>
      </c>
      <c r="U289" s="3">
        <f>angr(DataTable[[#This Row],[Sentido]],DataTable[[#This Row],[Valor]])</f>
        <v>34.8236220472441</v>
      </c>
      <c r="V289" s="3">
        <f>ANGI(DataTable[[#This Row],[Sentido]],DataTable[[#This Row],[Valor]])</f>
        <v>37.550393700787403</v>
      </c>
      <c r="W289" s="3">
        <f t="shared" si="88"/>
        <v>3</v>
      </c>
      <c r="X289" s="3">
        <f>IF(DataTable[[#This Row],[Valor]]&gt;1,1,1)</f>
        <v>1</v>
      </c>
      <c r="Y289" s="3">
        <f t="shared" si="89"/>
        <v>3</v>
      </c>
      <c r="Z289" s="3">
        <f>IF(AND(DataTable[[#This Row],[Sentido]]="URUGUAI para BRASIL",DataTable[[#This Row],[Valor]]&gt;350),1,0)</f>
        <v>0</v>
      </c>
      <c r="AA289" s="3">
        <f>IF(DataTable[[#This Row],[Valor]]&gt;1,0,0)</f>
        <v>0</v>
      </c>
    </row>
    <row r="290" spans="1:29" x14ac:dyDescent="0.25">
      <c r="A290" s="2" t="s">
        <v>21</v>
      </c>
      <c r="B290" s="2">
        <v>338</v>
      </c>
      <c r="C290" s="3">
        <f t="shared" si="75"/>
        <v>86.807850393700789</v>
      </c>
      <c r="D290" s="3">
        <f t="shared" si="76"/>
        <v>91.807850393700789</v>
      </c>
      <c r="E290" s="3">
        <f t="shared" si="77"/>
        <v>89.307850393700789</v>
      </c>
      <c r="F290" s="3">
        <f t="shared" si="78"/>
        <v>34.44</v>
      </c>
      <c r="G290" s="3">
        <f t="shared" si="79"/>
        <v>97.4</v>
      </c>
      <c r="H290" s="3">
        <f t="shared" si="80"/>
        <v>97.4</v>
      </c>
      <c r="I290" s="3"/>
      <c r="J290" s="3">
        <f t="shared" si="81"/>
        <v>87.825550393700794</v>
      </c>
      <c r="K290" s="3">
        <f t="shared" si="82"/>
        <v>91.807850393700789</v>
      </c>
      <c r="L290" s="34">
        <f t="shared" si="83"/>
        <v>89.307850393700789</v>
      </c>
      <c r="M290" s="3">
        <f t="shared" si="84"/>
        <v>-20.56</v>
      </c>
      <c r="N290" s="3">
        <f t="shared" si="85"/>
        <v>142.96</v>
      </c>
      <c r="O290" s="3"/>
      <c r="P290" s="3">
        <f t="shared" si="86"/>
        <v>108.75955905511812</v>
      </c>
      <c r="Q290" s="3">
        <f t="shared" si="87"/>
        <v>140.53290078740159</v>
      </c>
      <c r="R290" s="3">
        <f>vd(DataTable[[#This Row],[Sentido]],DataTable[[#This Row],[Valor]])</f>
        <v>120.40314960629922</v>
      </c>
      <c r="S290" s="3">
        <f>IF(DataTable[[#This Row],[Valor]]&gt;1,1,1)</f>
        <v>1</v>
      </c>
      <c r="T290" s="3">
        <f>IF(DataTable[[#This Row],[Valor]]&gt;1,1,1)</f>
        <v>1</v>
      </c>
      <c r="U290" s="3">
        <f>angr(DataTable[[#This Row],[Sentido]],DataTable[[#This Row],[Valor]])</f>
        <v>34.709448818897634</v>
      </c>
      <c r="V290" s="3">
        <f>ANGI(DataTable[[#This Row],[Sentido]],DataTable[[#This Row],[Valor]])</f>
        <v>37.440157480314959</v>
      </c>
      <c r="W290" s="3">
        <f t="shared" si="88"/>
        <v>3</v>
      </c>
      <c r="X290" s="3">
        <f>IF(DataTable[[#This Row],[Valor]]&gt;1,1,1)</f>
        <v>1</v>
      </c>
      <c r="Y290" s="3">
        <f t="shared" si="89"/>
        <v>3</v>
      </c>
      <c r="Z290" s="3">
        <f>IF(AND(DataTable[[#This Row],[Sentido]]="URUGUAI para BRASIL",DataTable[[#This Row],[Valor]]&gt;350),1,0)</f>
        <v>0</v>
      </c>
      <c r="AA290" s="3">
        <f>IF(DataTable[[#This Row],[Valor]]&gt;1,0,0)</f>
        <v>0</v>
      </c>
    </row>
    <row r="291" spans="1:29" x14ac:dyDescent="0.25">
      <c r="A291" s="2" t="s">
        <v>21</v>
      </c>
      <c r="B291" s="2">
        <v>339</v>
      </c>
      <c r="C291" s="3">
        <f t="shared" si="75"/>
        <v>86.880074803149611</v>
      </c>
      <c r="D291" s="3">
        <f t="shared" si="76"/>
        <v>91.880074803149611</v>
      </c>
      <c r="E291" s="3">
        <f t="shared" si="77"/>
        <v>89.380074803149611</v>
      </c>
      <c r="F291" s="3">
        <f t="shared" si="78"/>
        <v>34.32</v>
      </c>
      <c r="G291" s="3">
        <f t="shared" si="79"/>
        <v>97.199999999999989</v>
      </c>
      <c r="H291" s="3">
        <f t="shared" si="80"/>
        <v>97.199999999999989</v>
      </c>
      <c r="I291" s="3"/>
      <c r="J291" s="3">
        <f t="shared" si="81"/>
        <v>87.897774803149602</v>
      </c>
      <c r="K291" s="3">
        <f t="shared" si="82"/>
        <v>91.880074803149611</v>
      </c>
      <c r="L291" s="34">
        <f t="shared" si="83"/>
        <v>89.380074803149611</v>
      </c>
      <c r="M291" s="3">
        <f t="shared" si="84"/>
        <v>-20.68</v>
      </c>
      <c r="N291" s="3">
        <f t="shared" si="85"/>
        <v>142.88</v>
      </c>
      <c r="O291" s="3"/>
      <c r="P291" s="3">
        <f t="shared" si="86"/>
        <v>109.01222047244096</v>
      </c>
      <c r="Q291" s="3">
        <f t="shared" si="87"/>
        <v>140.63834960629922</v>
      </c>
      <c r="R291" s="3">
        <f>vd(DataTable[[#This Row],[Sentido]],DataTable[[#This Row],[Valor]])</f>
        <v>120.69842519685039</v>
      </c>
      <c r="S291" s="3">
        <f>IF(DataTable[[#This Row],[Valor]]&gt;1,1,1)</f>
        <v>1</v>
      </c>
      <c r="T291" s="3">
        <f>IF(DataTable[[#This Row],[Valor]]&gt;1,1,1)</f>
        <v>1</v>
      </c>
      <c r="U291" s="3">
        <f>angr(DataTable[[#This Row],[Sentido]],DataTable[[#This Row],[Valor]])</f>
        <v>34.595275590551182</v>
      </c>
      <c r="V291" s="3">
        <f>ANGI(DataTable[[#This Row],[Sentido]],DataTable[[#This Row],[Valor]])</f>
        <v>37.329921259842514</v>
      </c>
      <c r="W291" s="3">
        <f t="shared" si="88"/>
        <v>3</v>
      </c>
      <c r="X291" s="3">
        <f>IF(DataTable[[#This Row],[Valor]]&gt;1,1,1)</f>
        <v>1</v>
      </c>
      <c r="Y291" s="3">
        <f t="shared" si="89"/>
        <v>3</v>
      </c>
      <c r="Z291" s="3">
        <f>IF(AND(DataTable[[#This Row],[Sentido]]="URUGUAI para BRASIL",DataTable[[#This Row],[Valor]]&gt;350),1,0)</f>
        <v>0</v>
      </c>
      <c r="AA291" s="3">
        <f>IF(DataTable[[#This Row],[Valor]]&gt;1,0,0)</f>
        <v>0</v>
      </c>
    </row>
    <row r="292" spans="1:29" x14ac:dyDescent="0.25">
      <c r="A292" s="2" t="s">
        <v>21</v>
      </c>
      <c r="B292" s="2">
        <v>340</v>
      </c>
      <c r="C292" s="3">
        <f t="shared" si="75"/>
        <v>86.952299212598433</v>
      </c>
      <c r="D292" s="3">
        <f t="shared" si="76"/>
        <v>91.952299212598433</v>
      </c>
      <c r="E292" s="3">
        <f t="shared" si="77"/>
        <v>89.452299212598433</v>
      </c>
      <c r="F292" s="3">
        <f t="shared" si="78"/>
        <v>34.200000000000003</v>
      </c>
      <c r="G292" s="3">
        <f t="shared" si="79"/>
        <v>97</v>
      </c>
      <c r="H292" s="3">
        <f t="shared" si="80"/>
        <v>97</v>
      </c>
      <c r="I292" s="3"/>
      <c r="J292" s="3">
        <f t="shared" si="81"/>
        <v>87.969999212598424</v>
      </c>
      <c r="K292" s="3">
        <f t="shared" si="82"/>
        <v>91.952299212598433</v>
      </c>
      <c r="L292" s="34">
        <f t="shared" si="83"/>
        <v>89.452299212598433</v>
      </c>
      <c r="M292" s="3">
        <f t="shared" si="84"/>
        <v>-20.8</v>
      </c>
      <c r="N292" s="3">
        <f t="shared" si="85"/>
        <v>142.80000000000001</v>
      </c>
      <c r="O292" s="3"/>
      <c r="P292" s="3">
        <f t="shared" si="86"/>
        <v>109.26488188976377</v>
      </c>
      <c r="Q292" s="3">
        <f t="shared" si="87"/>
        <v>140.74379842519687</v>
      </c>
      <c r="R292" s="3">
        <f>vd(DataTable[[#This Row],[Sentido]],DataTable[[#This Row],[Valor]])</f>
        <v>120.99370078740156</v>
      </c>
      <c r="S292" s="3">
        <f>IF(DataTable[[#This Row],[Valor]]&gt;1,1,1)</f>
        <v>1</v>
      </c>
      <c r="T292" s="3">
        <f>IF(DataTable[[#This Row],[Valor]]&gt;1,1,1)</f>
        <v>1</v>
      </c>
      <c r="U292" s="3">
        <f>angr(DataTable[[#This Row],[Sentido]],DataTable[[#This Row],[Valor]])</f>
        <v>34.481102362204723</v>
      </c>
      <c r="V292" s="3">
        <f>ANGI(DataTable[[#This Row],[Sentido]],DataTable[[#This Row],[Valor]])</f>
        <v>37.219685039370077</v>
      </c>
      <c r="W292" s="3">
        <f t="shared" si="88"/>
        <v>3</v>
      </c>
      <c r="X292" s="3">
        <f>IF(DataTable[[#This Row],[Valor]]&gt;1,1,1)</f>
        <v>1</v>
      </c>
      <c r="Y292" s="3">
        <f t="shared" si="89"/>
        <v>3</v>
      </c>
      <c r="Z292" s="3">
        <f>IF(AND(DataTable[[#This Row],[Sentido]]="URUGUAI para BRASIL",DataTable[[#This Row],[Valor]]&gt;350),1,0)</f>
        <v>0</v>
      </c>
      <c r="AA292" s="3">
        <f>IF(DataTable[[#This Row],[Valor]]&gt;1,0,0)</f>
        <v>0</v>
      </c>
    </row>
    <row r="293" spans="1:29" x14ac:dyDescent="0.25">
      <c r="A293" s="2" t="s">
        <v>21</v>
      </c>
      <c r="B293" s="2">
        <v>341</v>
      </c>
      <c r="C293" s="3">
        <f t="shared" si="75"/>
        <v>87.024523622047241</v>
      </c>
      <c r="D293" s="3">
        <f t="shared" si="76"/>
        <v>92.024523622047241</v>
      </c>
      <c r="E293" s="3">
        <f t="shared" si="77"/>
        <v>89.524523622047241</v>
      </c>
      <c r="F293" s="3">
        <f t="shared" si="78"/>
        <v>34.08</v>
      </c>
      <c r="G293" s="3">
        <f t="shared" si="79"/>
        <v>96.8</v>
      </c>
      <c r="H293" s="3">
        <f t="shared" si="80"/>
        <v>96.8</v>
      </c>
      <c r="I293" s="3"/>
      <c r="J293" s="3">
        <f t="shared" si="81"/>
        <v>88.042223622047246</v>
      </c>
      <c r="K293" s="3">
        <f t="shared" si="82"/>
        <v>92.024523622047241</v>
      </c>
      <c r="L293" s="34">
        <f t="shared" si="83"/>
        <v>89.524523622047241</v>
      </c>
      <c r="M293" s="3">
        <f t="shared" si="84"/>
        <v>-20.919999999999998</v>
      </c>
      <c r="N293" s="3">
        <f t="shared" si="85"/>
        <v>142.72</v>
      </c>
      <c r="O293" s="3"/>
      <c r="P293" s="3">
        <f t="shared" si="86"/>
        <v>109.51754330708661</v>
      </c>
      <c r="Q293" s="3">
        <f t="shared" si="87"/>
        <v>140.8492472440945</v>
      </c>
      <c r="R293" s="3">
        <f>vd(DataTable[[#This Row],[Sentido]],DataTable[[#This Row],[Valor]])</f>
        <v>121.28897637795275</v>
      </c>
      <c r="S293" s="3">
        <f>IF(DataTable[[#This Row],[Valor]]&gt;1,1,1)</f>
        <v>1</v>
      </c>
      <c r="T293" s="3">
        <f>IF(DataTable[[#This Row],[Valor]]&gt;1,1,1)</f>
        <v>1</v>
      </c>
      <c r="U293" s="3">
        <f>angr(DataTable[[#This Row],[Sentido]],DataTable[[#This Row],[Valor]])</f>
        <v>34.366929133858271</v>
      </c>
      <c r="V293" s="3">
        <f>ANGI(DataTable[[#This Row],[Sentido]],DataTable[[#This Row],[Valor]])</f>
        <v>37.109448818897633</v>
      </c>
      <c r="W293" s="3">
        <f t="shared" si="88"/>
        <v>3</v>
      </c>
      <c r="X293" s="3">
        <f>IF(DataTable[[#This Row],[Valor]]&gt;1,1,1)</f>
        <v>1</v>
      </c>
      <c r="Y293" s="3">
        <f t="shared" si="89"/>
        <v>3</v>
      </c>
      <c r="Z293" s="3">
        <f>IF(AND(DataTable[[#This Row],[Sentido]]="URUGUAI para BRASIL",DataTable[[#This Row],[Valor]]&gt;350),1,0)</f>
        <v>0</v>
      </c>
      <c r="AA293" s="3">
        <f>IF(DataTable[[#This Row],[Valor]]&gt;1,0,0)</f>
        <v>0</v>
      </c>
    </row>
    <row r="294" spans="1:29" x14ac:dyDescent="0.25">
      <c r="A294" s="2" t="s">
        <v>21</v>
      </c>
      <c r="B294" s="2">
        <v>342</v>
      </c>
      <c r="C294" s="3">
        <f t="shared" si="75"/>
        <v>87.096748031496062</v>
      </c>
      <c r="D294" s="3">
        <f t="shared" si="76"/>
        <v>92.096748031496062</v>
      </c>
      <c r="E294" s="3">
        <f t="shared" si="77"/>
        <v>89.596748031496062</v>
      </c>
      <c r="F294" s="3">
        <f t="shared" si="78"/>
        <v>33.96</v>
      </c>
      <c r="G294" s="3">
        <f t="shared" si="79"/>
        <v>96.6</v>
      </c>
      <c r="H294" s="3">
        <f t="shared" si="80"/>
        <v>96.6</v>
      </c>
      <c r="I294" s="3"/>
      <c r="J294" s="3">
        <f t="shared" si="81"/>
        <v>88.114448031496067</v>
      </c>
      <c r="K294" s="3">
        <f t="shared" si="82"/>
        <v>92.096748031496062</v>
      </c>
      <c r="L294" s="34">
        <f t="shared" si="83"/>
        <v>89.596748031496062</v>
      </c>
      <c r="M294" s="3">
        <f t="shared" si="84"/>
        <v>-21.04</v>
      </c>
      <c r="N294" s="3">
        <f t="shared" si="85"/>
        <v>142.63999999999999</v>
      </c>
      <c r="O294" s="3"/>
      <c r="P294" s="3">
        <f t="shared" si="86"/>
        <v>109.77020472440945</v>
      </c>
      <c r="Q294" s="3">
        <f t="shared" si="87"/>
        <v>140.95469606299213</v>
      </c>
      <c r="R294" s="3">
        <f>vd(DataTable[[#This Row],[Sentido]],DataTable[[#This Row],[Valor]])</f>
        <v>121.58425196850393</v>
      </c>
      <c r="S294" s="3">
        <f>IF(DataTable[[#This Row],[Valor]]&gt;1,1,1)</f>
        <v>1</v>
      </c>
      <c r="T294" s="3">
        <f>IF(DataTable[[#This Row],[Valor]]&gt;1,1,1)</f>
        <v>1</v>
      </c>
      <c r="U294" s="3">
        <f>angr(DataTable[[#This Row],[Sentido]],DataTable[[#This Row],[Valor]])</f>
        <v>34.252755905511812</v>
      </c>
      <c r="V294" s="3">
        <f>ANGI(DataTable[[#This Row],[Sentido]],DataTable[[#This Row],[Valor]])</f>
        <v>36.999212598425196</v>
      </c>
      <c r="W294" s="3">
        <f t="shared" si="88"/>
        <v>3</v>
      </c>
      <c r="X294" s="3">
        <f>IF(DataTable[[#This Row],[Valor]]&gt;1,1,1)</f>
        <v>1</v>
      </c>
      <c r="Y294" s="3">
        <f t="shared" si="89"/>
        <v>3</v>
      </c>
      <c r="Z294" s="3">
        <f>IF(AND(DataTable[[#This Row],[Sentido]]="URUGUAI para BRASIL",DataTable[[#This Row],[Valor]]&gt;350),1,0)</f>
        <v>0</v>
      </c>
      <c r="AA294" s="3">
        <f>IF(DataTable[[#This Row],[Valor]]&gt;1,0,0)</f>
        <v>0</v>
      </c>
    </row>
    <row r="295" spans="1:29" x14ac:dyDescent="0.25">
      <c r="A295" s="2" t="s">
        <v>21</v>
      </c>
      <c r="B295" s="2">
        <v>343</v>
      </c>
      <c r="C295" s="3">
        <f t="shared" si="75"/>
        <v>87.168972440944884</v>
      </c>
      <c r="D295" s="3">
        <f t="shared" si="76"/>
        <v>92.168972440944884</v>
      </c>
      <c r="E295" s="3">
        <f t="shared" si="77"/>
        <v>89.668972440944884</v>
      </c>
      <c r="F295" s="3">
        <f t="shared" si="78"/>
        <v>33.840000000000003</v>
      </c>
      <c r="G295" s="3">
        <f t="shared" si="79"/>
        <v>96.4</v>
      </c>
      <c r="H295" s="3">
        <f t="shared" si="80"/>
        <v>96.4</v>
      </c>
      <c r="I295" s="3"/>
      <c r="J295" s="3">
        <f t="shared" si="81"/>
        <v>88.186672440944875</v>
      </c>
      <c r="K295" s="3">
        <f t="shared" si="82"/>
        <v>92.168972440944884</v>
      </c>
      <c r="L295" s="34">
        <f t="shared" si="83"/>
        <v>89.668972440944884</v>
      </c>
      <c r="M295" s="3">
        <f t="shared" si="84"/>
        <v>-21.16</v>
      </c>
      <c r="N295" s="3">
        <f t="shared" si="85"/>
        <v>142.56</v>
      </c>
      <c r="O295" s="3"/>
      <c r="P295" s="3">
        <f t="shared" si="86"/>
        <v>110.02286614173229</v>
      </c>
      <c r="Q295" s="3">
        <f t="shared" si="87"/>
        <v>141.06014488188976</v>
      </c>
      <c r="R295" s="3">
        <f>vd(DataTable[[#This Row],[Sentido]],DataTable[[#This Row],[Valor]])</f>
        <v>121.87952755905511</v>
      </c>
      <c r="S295" s="3">
        <f>IF(DataTable[[#This Row],[Valor]]&gt;1,1,1)</f>
        <v>1</v>
      </c>
      <c r="T295" s="3">
        <f>IF(DataTable[[#This Row],[Valor]]&gt;1,1,1)</f>
        <v>1</v>
      </c>
      <c r="U295" s="3">
        <f>angr(DataTable[[#This Row],[Sentido]],DataTable[[#This Row],[Valor]])</f>
        <v>34.13858267716536</v>
      </c>
      <c r="V295" s="3">
        <f>ANGI(DataTable[[#This Row],[Sentido]],DataTable[[#This Row],[Valor]])</f>
        <v>36.888976377952758</v>
      </c>
      <c r="W295" s="3">
        <f t="shared" si="88"/>
        <v>3</v>
      </c>
      <c r="X295" s="3">
        <f>IF(DataTable[[#This Row],[Valor]]&gt;1,1,1)</f>
        <v>1</v>
      </c>
      <c r="Y295" s="3">
        <f t="shared" si="89"/>
        <v>3</v>
      </c>
      <c r="Z295" s="3">
        <f>IF(AND(DataTable[[#This Row],[Sentido]]="URUGUAI para BRASIL",DataTable[[#This Row],[Valor]]&gt;350),1,0)</f>
        <v>0</v>
      </c>
      <c r="AA295" s="3">
        <f>IF(DataTable[[#This Row],[Valor]]&gt;1,0,0)</f>
        <v>0</v>
      </c>
    </row>
    <row r="296" spans="1:29" x14ac:dyDescent="0.25">
      <c r="A296" s="2" t="s">
        <v>21</v>
      </c>
      <c r="B296" s="2">
        <v>344</v>
      </c>
      <c r="C296" s="3">
        <f t="shared" si="75"/>
        <v>87.241196850393706</v>
      </c>
      <c r="D296" s="3">
        <f t="shared" si="76"/>
        <v>92.241196850393706</v>
      </c>
      <c r="E296" s="3">
        <f t="shared" si="77"/>
        <v>89.741196850393706</v>
      </c>
      <c r="F296" s="3">
        <f t="shared" si="78"/>
        <v>33.72</v>
      </c>
      <c r="G296" s="3">
        <f t="shared" si="79"/>
        <v>96.2</v>
      </c>
      <c r="H296" s="3">
        <f t="shared" si="80"/>
        <v>96.2</v>
      </c>
      <c r="I296" s="3"/>
      <c r="J296" s="3">
        <f t="shared" si="81"/>
        <v>88.258896850393697</v>
      </c>
      <c r="K296" s="3">
        <f t="shared" si="82"/>
        <v>92.241196850393706</v>
      </c>
      <c r="L296" s="34">
        <f t="shared" si="83"/>
        <v>89.741196850393706</v>
      </c>
      <c r="M296" s="3">
        <f t="shared" si="84"/>
        <v>-21.28</v>
      </c>
      <c r="N296" s="3">
        <f t="shared" si="85"/>
        <v>142.47999999999999</v>
      </c>
      <c r="O296" s="3"/>
      <c r="P296" s="3">
        <f t="shared" si="86"/>
        <v>110.27552755905511</v>
      </c>
      <c r="Q296" s="3">
        <f t="shared" si="87"/>
        <v>141.16559370078738</v>
      </c>
      <c r="R296" s="3">
        <f>vd(DataTable[[#This Row],[Sentido]],DataTable[[#This Row],[Valor]])</f>
        <v>122.17480314960628</v>
      </c>
      <c r="S296" s="3">
        <f>IF(DataTable[[#This Row],[Valor]]&gt;1,1,1)</f>
        <v>1</v>
      </c>
      <c r="T296" s="3">
        <f>IF(DataTable[[#This Row],[Valor]]&gt;1,1,1)</f>
        <v>1</v>
      </c>
      <c r="U296" s="3">
        <f>angr(DataTable[[#This Row],[Sentido]],DataTable[[#This Row],[Valor]])</f>
        <v>34.024409448818901</v>
      </c>
      <c r="V296" s="3">
        <f>ANGI(DataTable[[#This Row],[Sentido]],DataTable[[#This Row],[Valor]])</f>
        <v>36.778740157480314</v>
      </c>
      <c r="W296" s="3">
        <f t="shared" si="88"/>
        <v>3</v>
      </c>
      <c r="X296" s="3">
        <f>IF(DataTable[[#This Row],[Valor]]&gt;1,1,1)</f>
        <v>1</v>
      </c>
      <c r="Y296" s="3">
        <f t="shared" si="89"/>
        <v>3</v>
      </c>
      <c r="Z296" s="3">
        <f>IF(AND(DataTable[[#This Row],[Sentido]]="URUGUAI para BRASIL",DataTable[[#This Row],[Valor]]&gt;350),1,0)</f>
        <v>0</v>
      </c>
      <c r="AA296" s="3">
        <f>IF(DataTable[[#This Row],[Valor]]&gt;1,0,0)</f>
        <v>0</v>
      </c>
    </row>
    <row r="297" spans="1:29" x14ac:dyDescent="0.25">
      <c r="A297" s="2" t="s">
        <v>21</v>
      </c>
      <c r="B297" s="2">
        <v>345</v>
      </c>
      <c r="C297" s="3">
        <f t="shared" si="75"/>
        <v>87.313421259842528</v>
      </c>
      <c r="D297" s="3">
        <f t="shared" si="76"/>
        <v>92.313421259842528</v>
      </c>
      <c r="E297" s="3">
        <f t="shared" si="77"/>
        <v>89.813421259842528</v>
      </c>
      <c r="F297" s="3">
        <f t="shared" si="78"/>
        <v>33.6</v>
      </c>
      <c r="G297" s="3">
        <f t="shared" si="79"/>
        <v>96</v>
      </c>
      <c r="H297" s="3">
        <f t="shared" si="80"/>
        <v>96</v>
      </c>
      <c r="I297" s="3"/>
      <c r="J297" s="3">
        <f t="shared" si="81"/>
        <v>88.331121259842519</v>
      </c>
      <c r="K297" s="3">
        <f t="shared" si="82"/>
        <v>92.313421259842528</v>
      </c>
      <c r="L297" s="34">
        <f t="shared" si="83"/>
        <v>89.813421259842528</v>
      </c>
      <c r="M297" s="3">
        <f t="shared" si="84"/>
        <v>-21.4</v>
      </c>
      <c r="N297" s="3">
        <f t="shared" si="85"/>
        <v>142.4</v>
      </c>
      <c r="O297" s="3"/>
      <c r="P297" s="3">
        <f t="shared" si="86"/>
        <v>110.52818897637796</v>
      </c>
      <c r="Q297" s="3">
        <f t="shared" si="87"/>
        <v>141.27104251968504</v>
      </c>
      <c r="R297" s="3">
        <f>vd(DataTable[[#This Row],[Sentido]],DataTable[[#This Row],[Valor]])</f>
        <v>122.47007874015748</v>
      </c>
      <c r="S297" s="3">
        <f>IF(DataTable[[#This Row],[Valor]]&gt;1,1,1)</f>
        <v>1</v>
      </c>
      <c r="T297" s="3">
        <f>IF(DataTable[[#This Row],[Valor]]&gt;1,1,1)</f>
        <v>1</v>
      </c>
      <c r="U297" s="3">
        <f>angr(DataTable[[#This Row],[Sentido]],DataTable[[#This Row],[Valor]])</f>
        <v>33.910236220472441</v>
      </c>
      <c r="V297" s="3">
        <f>ANGI(DataTable[[#This Row],[Sentido]],DataTable[[#This Row],[Valor]])</f>
        <v>36.66850393700787</v>
      </c>
      <c r="W297" s="3">
        <f t="shared" si="88"/>
        <v>3</v>
      </c>
      <c r="X297" s="3">
        <f>IF(DataTable[[#This Row],[Valor]]&gt;1,1,1)</f>
        <v>1</v>
      </c>
      <c r="Y297" s="3">
        <f t="shared" si="89"/>
        <v>3</v>
      </c>
      <c r="Z297" s="3">
        <f>IF(AND(DataTable[[#This Row],[Sentido]]="URUGUAI para BRASIL",DataTable[[#This Row],[Valor]]&gt;350),1,0)</f>
        <v>0</v>
      </c>
      <c r="AA297" s="3">
        <f>IF(DataTable[[#This Row],[Valor]]&gt;1,0,0)</f>
        <v>0</v>
      </c>
    </row>
    <row r="298" spans="1:29" x14ac:dyDescent="0.25">
      <c r="A298" s="2" t="s">
        <v>21</v>
      </c>
      <c r="B298" s="2">
        <v>346</v>
      </c>
      <c r="C298" s="3">
        <f t="shared" si="75"/>
        <v>87.385645669291335</v>
      </c>
      <c r="D298" s="3">
        <f t="shared" si="76"/>
        <v>92.385645669291335</v>
      </c>
      <c r="E298" s="3">
        <f t="shared" si="77"/>
        <v>89.885645669291335</v>
      </c>
      <c r="F298" s="3">
        <f t="shared" si="78"/>
        <v>33.480000000000004</v>
      </c>
      <c r="G298" s="3">
        <f t="shared" si="79"/>
        <v>95.8</v>
      </c>
      <c r="H298" s="3">
        <f t="shared" si="80"/>
        <v>95.8</v>
      </c>
      <c r="I298" s="3"/>
      <c r="J298" s="3">
        <f t="shared" si="81"/>
        <v>88.40334566929134</v>
      </c>
      <c r="K298" s="3">
        <f t="shared" si="82"/>
        <v>92.385645669291335</v>
      </c>
      <c r="L298" s="34">
        <f t="shared" si="83"/>
        <v>89.885645669291335</v>
      </c>
      <c r="M298" s="3">
        <f t="shared" si="84"/>
        <v>-21.52</v>
      </c>
      <c r="N298" s="3">
        <f t="shared" si="85"/>
        <v>142.32</v>
      </c>
      <c r="O298" s="3"/>
      <c r="P298" s="3">
        <f t="shared" si="86"/>
        <v>110.7808503937008</v>
      </c>
      <c r="Q298" s="3">
        <f t="shared" si="87"/>
        <v>141.37649133858267</v>
      </c>
      <c r="R298" s="3">
        <f>vd(DataTable[[#This Row],[Sentido]],DataTable[[#This Row],[Valor]])</f>
        <v>122.76535433070866</v>
      </c>
      <c r="S298" s="3">
        <f>IF(DataTable[[#This Row],[Valor]]&gt;1,1,1)</f>
        <v>1</v>
      </c>
      <c r="T298" s="3">
        <f>IF(DataTable[[#This Row],[Valor]]&gt;1,1,1)</f>
        <v>1</v>
      </c>
      <c r="U298" s="3">
        <f>angr(DataTable[[#This Row],[Sentido]],DataTable[[#This Row],[Valor]])</f>
        <v>33.796062992125982</v>
      </c>
      <c r="V298" s="3">
        <f>ANGI(DataTable[[#This Row],[Sentido]],DataTable[[#This Row],[Valor]])</f>
        <v>36.558267716535433</v>
      </c>
      <c r="W298" s="3">
        <f t="shared" si="88"/>
        <v>3</v>
      </c>
      <c r="X298" s="3">
        <f>IF(DataTable[[#This Row],[Valor]]&gt;1,1,1)</f>
        <v>1</v>
      </c>
      <c r="Y298" s="3">
        <f t="shared" si="89"/>
        <v>3</v>
      </c>
      <c r="Z298" s="3">
        <f>IF(AND(DataTable[[#This Row],[Sentido]]="URUGUAI para BRASIL",DataTable[[#This Row],[Valor]]&gt;350),1,0)</f>
        <v>0</v>
      </c>
      <c r="AA298" s="3">
        <f>IF(DataTable[[#This Row],[Valor]]&gt;1,0,0)</f>
        <v>0</v>
      </c>
    </row>
    <row r="299" spans="1:29" x14ac:dyDescent="0.25">
      <c r="A299" s="2" t="s">
        <v>21</v>
      </c>
      <c r="B299" s="2">
        <v>347</v>
      </c>
      <c r="C299" s="3">
        <f t="shared" si="75"/>
        <v>87.457870078740157</v>
      </c>
      <c r="D299" s="3">
        <f t="shared" si="76"/>
        <v>92.457870078740157</v>
      </c>
      <c r="E299" s="3">
        <f t="shared" si="77"/>
        <v>89.957870078740157</v>
      </c>
      <c r="F299" s="3">
        <f t="shared" si="78"/>
        <v>33.36</v>
      </c>
      <c r="G299" s="3">
        <f t="shared" si="79"/>
        <v>95.6</v>
      </c>
      <c r="H299" s="3">
        <f t="shared" si="80"/>
        <v>95.6</v>
      </c>
      <c r="I299" s="3"/>
      <c r="J299" s="3">
        <f t="shared" si="81"/>
        <v>88.475570078740162</v>
      </c>
      <c r="K299" s="3">
        <f t="shared" si="82"/>
        <v>92.457870078740157</v>
      </c>
      <c r="L299" s="34">
        <f t="shared" si="83"/>
        <v>89.957870078740157</v>
      </c>
      <c r="M299" s="3">
        <f t="shared" si="84"/>
        <v>-21.64</v>
      </c>
      <c r="N299" s="3">
        <f t="shared" si="85"/>
        <v>142.24</v>
      </c>
      <c r="O299" s="3"/>
      <c r="P299" s="3">
        <f t="shared" si="86"/>
        <v>111.03351181102362</v>
      </c>
      <c r="Q299" s="3">
        <f t="shared" si="87"/>
        <v>141.48194015748032</v>
      </c>
      <c r="R299" s="3">
        <f>vd(DataTable[[#This Row],[Sentido]],DataTable[[#This Row],[Valor]])</f>
        <v>123.06062992125985</v>
      </c>
      <c r="S299" s="3">
        <f>IF(DataTable[[#This Row],[Valor]]&gt;1,1,1)</f>
        <v>1</v>
      </c>
      <c r="T299" s="3">
        <f>IF(DataTable[[#This Row],[Valor]]&gt;1,1,1)</f>
        <v>1</v>
      </c>
      <c r="U299" s="3">
        <f>angr(DataTable[[#This Row],[Sentido]],DataTable[[#This Row],[Valor]])</f>
        <v>33.68188976377953</v>
      </c>
      <c r="V299" s="3">
        <f>ANGI(DataTable[[#This Row],[Sentido]],DataTable[[#This Row],[Valor]])</f>
        <v>36.448031496062988</v>
      </c>
      <c r="W299" s="3">
        <f t="shared" si="88"/>
        <v>3</v>
      </c>
      <c r="X299" s="3">
        <f>IF(DataTable[[#This Row],[Valor]]&gt;1,1,1)</f>
        <v>1</v>
      </c>
      <c r="Y299" s="3">
        <f t="shared" si="89"/>
        <v>3</v>
      </c>
      <c r="Z299" s="3">
        <f>IF(AND(DataTable[[#This Row],[Sentido]]="URUGUAI para BRASIL",DataTable[[#This Row],[Valor]]&gt;350),1,0)</f>
        <v>0</v>
      </c>
      <c r="AA299" s="3">
        <f>IF(DataTable[[#This Row],[Valor]]&gt;1,0,0)</f>
        <v>0</v>
      </c>
    </row>
    <row r="300" spans="1:29" x14ac:dyDescent="0.25">
      <c r="A300" s="2" t="s">
        <v>21</v>
      </c>
      <c r="B300" s="2">
        <v>348</v>
      </c>
      <c r="C300" s="3">
        <f t="shared" si="75"/>
        <v>87.530094488188979</v>
      </c>
      <c r="D300" s="3">
        <f t="shared" si="76"/>
        <v>92.530094488188979</v>
      </c>
      <c r="E300" s="3">
        <f t="shared" si="77"/>
        <v>90.030094488188979</v>
      </c>
      <c r="F300" s="3">
        <f t="shared" si="78"/>
        <v>33.24</v>
      </c>
      <c r="G300" s="3">
        <f t="shared" si="79"/>
        <v>95.4</v>
      </c>
      <c r="H300" s="3">
        <f t="shared" si="80"/>
        <v>95.4</v>
      </c>
      <c r="I300" s="3"/>
      <c r="J300" s="3">
        <f t="shared" si="81"/>
        <v>88.547794488188984</v>
      </c>
      <c r="K300" s="3">
        <f t="shared" si="82"/>
        <v>92.530094488188979</v>
      </c>
      <c r="L300" s="34">
        <f t="shared" si="83"/>
        <v>90.030094488188979</v>
      </c>
      <c r="M300" s="3">
        <f t="shared" si="84"/>
        <v>-21.759999999999998</v>
      </c>
      <c r="N300" s="3">
        <f t="shared" si="85"/>
        <v>142.16</v>
      </c>
      <c r="O300" s="3"/>
      <c r="P300" s="3">
        <f t="shared" si="86"/>
        <v>111.28617322834646</v>
      </c>
      <c r="Q300" s="3">
        <f t="shared" si="87"/>
        <v>141.58738897637795</v>
      </c>
      <c r="R300" s="3">
        <f>vd(DataTable[[#This Row],[Sentido]],DataTable[[#This Row],[Valor]])</f>
        <v>123.35590551181102</v>
      </c>
      <c r="S300" s="3">
        <f>IF(DataTable[[#This Row],[Valor]]&gt;1,1,1)</f>
        <v>1</v>
      </c>
      <c r="T300" s="3">
        <f>IF(DataTable[[#This Row],[Valor]]&gt;1,1,1)</f>
        <v>1</v>
      </c>
      <c r="U300" s="3">
        <f>angr(DataTable[[#This Row],[Sentido]],DataTable[[#This Row],[Valor]])</f>
        <v>33.567716535433071</v>
      </c>
      <c r="V300" s="3">
        <f>ANGI(DataTable[[#This Row],[Sentido]],DataTable[[#This Row],[Valor]])</f>
        <v>36.337795275590551</v>
      </c>
      <c r="W300" s="3">
        <f t="shared" si="88"/>
        <v>3</v>
      </c>
      <c r="X300" s="3">
        <f>IF(DataTable[[#This Row],[Valor]]&gt;1,1,1)</f>
        <v>1</v>
      </c>
      <c r="Y300" s="3">
        <f t="shared" si="89"/>
        <v>3</v>
      </c>
      <c r="Z300" s="3">
        <f>IF(AND(DataTable[[#This Row],[Sentido]]="URUGUAI para BRASIL",DataTable[[#This Row],[Valor]]&gt;350),1,0)</f>
        <v>0</v>
      </c>
      <c r="AA300" s="3">
        <f>IF(DataTable[[#This Row],[Valor]]&gt;1,0,0)</f>
        <v>0</v>
      </c>
      <c r="AC300" s="1">
        <v>1</v>
      </c>
    </row>
    <row r="301" spans="1:29" x14ac:dyDescent="0.25">
      <c r="A301" s="2" t="s">
        <v>21</v>
      </c>
      <c r="B301" s="2">
        <v>349</v>
      </c>
      <c r="C301" s="3">
        <f t="shared" si="75"/>
        <v>87.602318897637801</v>
      </c>
      <c r="D301" s="3">
        <f t="shared" si="76"/>
        <v>92.602318897637801</v>
      </c>
      <c r="E301" s="3">
        <f t="shared" si="77"/>
        <v>90.102318897637801</v>
      </c>
      <c r="F301" s="3">
        <f t="shared" si="78"/>
        <v>33.120000000000005</v>
      </c>
      <c r="G301" s="3">
        <f t="shared" si="79"/>
        <v>95.2</v>
      </c>
      <c r="H301" s="3">
        <f t="shared" si="80"/>
        <v>95.2</v>
      </c>
      <c r="I301" s="3"/>
      <c r="J301" s="3">
        <f t="shared" si="81"/>
        <v>88.620018897637792</v>
      </c>
      <c r="K301" s="3">
        <f t="shared" si="82"/>
        <v>92.602318897637801</v>
      </c>
      <c r="L301" s="34">
        <f t="shared" si="83"/>
        <v>90.102318897637801</v>
      </c>
      <c r="M301" s="3">
        <f t="shared" si="84"/>
        <v>-21.88</v>
      </c>
      <c r="N301" s="3">
        <f t="shared" si="85"/>
        <v>142.08000000000001</v>
      </c>
      <c r="O301" s="3"/>
      <c r="P301" s="3">
        <f t="shared" si="86"/>
        <v>111.5388346456693</v>
      </c>
      <c r="Q301" s="3">
        <f t="shared" si="87"/>
        <v>141.69283779527558</v>
      </c>
      <c r="R301" s="3">
        <f>vd(DataTable[[#This Row],[Sentido]],DataTable[[#This Row],[Valor]])</f>
        <v>123.65118110236219</v>
      </c>
      <c r="S301" s="3">
        <f>IF(DataTable[[#This Row],[Valor]]&gt;1,1,1)</f>
        <v>1</v>
      </c>
      <c r="T301" s="3">
        <f>IF(DataTable[[#This Row],[Valor]]&gt;1,1,1)</f>
        <v>1</v>
      </c>
      <c r="U301" s="3">
        <f>angr(DataTable[[#This Row],[Sentido]],DataTable[[#This Row],[Valor]])</f>
        <v>33.453543307086619</v>
      </c>
      <c r="V301" s="3">
        <f>ANGI(DataTable[[#This Row],[Sentido]],DataTable[[#This Row],[Valor]])</f>
        <v>36.227559055118114</v>
      </c>
      <c r="W301" s="3">
        <f t="shared" si="88"/>
        <v>3</v>
      </c>
      <c r="X301" s="3">
        <f>IF(DataTable[[#This Row],[Valor]]&gt;1,1,1)</f>
        <v>1</v>
      </c>
      <c r="Y301" s="3">
        <f t="shared" si="89"/>
        <v>3</v>
      </c>
      <c r="Z301" s="3">
        <f>IF(AND(DataTable[[#This Row],[Sentido]]="URUGUAI para BRASIL",DataTable[[#This Row],[Valor]]&gt;350),1,0)</f>
        <v>0</v>
      </c>
      <c r="AA301" s="3">
        <f>IF(DataTable[[#This Row],[Valor]]&gt;1,0,0)</f>
        <v>0</v>
      </c>
    </row>
    <row r="302" spans="1:29" x14ac:dyDescent="0.25">
      <c r="A302" s="2" t="s">
        <v>21</v>
      </c>
      <c r="B302" s="2">
        <v>350</v>
      </c>
      <c r="C302" s="3">
        <f t="shared" si="75"/>
        <v>87.674543307086608</v>
      </c>
      <c r="D302" s="3">
        <f t="shared" si="76"/>
        <v>92.674543307086608</v>
      </c>
      <c r="E302" s="3">
        <f t="shared" si="77"/>
        <v>90.174543307086608</v>
      </c>
      <c r="F302" s="3">
        <f t="shared" si="78"/>
        <v>33</v>
      </c>
      <c r="G302" s="3">
        <f t="shared" si="79"/>
        <v>95</v>
      </c>
      <c r="H302" s="3">
        <f t="shared" si="80"/>
        <v>95</v>
      </c>
      <c r="I302" s="3"/>
      <c r="J302" s="3">
        <f t="shared" si="81"/>
        <v>88.692243307086613</v>
      </c>
      <c r="K302" s="3">
        <f t="shared" si="82"/>
        <v>92.674543307086608</v>
      </c>
      <c r="L302" s="34">
        <f t="shared" si="83"/>
        <v>90.174543307086608</v>
      </c>
      <c r="M302" s="3">
        <f t="shared" si="84"/>
        <v>-22</v>
      </c>
      <c r="N302" s="3">
        <f t="shared" si="85"/>
        <v>142</v>
      </c>
      <c r="O302" s="3"/>
      <c r="P302" s="3">
        <f t="shared" si="86"/>
        <v>111.79149606299214</v>
      </c>
      <c r="Q302" s="3">
        <f t="shared" si="87"/>
        <v>141.79828661417324</v>
      </c>
      <c r="R302" s="3">
        <f>vd(DataTable[[#This Row],[Sentido]],DataTable[[#This Row],[Valor]])</f>
        <v>123.94645669291337</v>
      </c>
      <c r="S302" s="3">
        <f>IF(DataTable[[#This Row],[Valor]]&gt;1,1,1)</f>
        <v>1</v>
      </c>
      <c r="T302" s="3">
        <f>IF(DataTable[[#This Row],[Valor]]&gt;1,1,1)</f>
        <v>1</v>
      </c>
      <c r="U302" s="3">
        <f>angr(DataTable[[#This Row],[Sentido]],DataTable[[#This Row],[Valor]])</f>
        <v>33.33937007874016</v>
      </c>
      <c r="V302" s="3">
        <f>ANGI(DataTable[[#This Row],[Sentido]],DataTable[[#This Row],[Valor]])</f>
        <v>36.11732283464567</v>
      </c>
      <c r="W302" s="3">
        <f t="shared" si="88"/>
        <v>3</v>
      </c>
      <c r="X302" s="3">
        <f>IF(DataTable[[#This Row],[Valor]]&gt;1,1,1)</f>
        <v>1</v>
      </c>
      <c r="Y302" s="3">
        <f t="shared" si="89"/>
        <v>3</v>
      </c>
      <c r="Z302" s="3">
        <f>IF(AND(DataTable[[#This Row],[Sentido]]="URUGUAI para BRASIL",DataTable[[#This Row],[Valor]]&gt;350),1,0)</f>
        <v>0</v>
      </c>
      <c r="AA302" s="3">
        <f>IF(DataTable[[#This Row],[Valor]]&gt;1,0,0)</f>
        <v>0</v>
      </c>
    </row>
    <row r="303" spans="1:29" x14ac:dyDescent="0.25">
      <c r="A303" s="2" t="s">
        <v>21</v>
      </c>
      <c r="B303" s="2">
        <v>351</v>
      </c>
      <c r="C303" s="3">
        <f t="shared" si="75"/>
        <v>87.74676771653543</v>
      </c>
      <c r="D303" s="3">
        <f t="shared" si="76"/>
        <v>92.74676771653543</v>
      </c>
      <c r="E303" s="3">
        <f t="shared" si="77"/>
        <v>90.24676771653543</v>
      </c>
      <c r="F303" s="3">
        <f t="shared" si="78"/>
        <v>32.880000000000003</v>
      </c>
      <c r="G303" s="3">
        <f t="shared" si="79"/>
        <v>94.8</v>
      </c>
      <c r="H303" s="3">
        <f t="shared" si="80"/>
        <v>94.8</v>
      </c>
      <c r="I303" s="3"/>
      <c r="J303" s="3">
        <f t="shared" si="81"/>
        <v>88.764467716535435</v>
      </c>
      <c r="K303" s="3">
        <f t="shared" si="82"/>
        <v>92.74676771653543</v>
      </c>
      <c r="L303" s="34">
        <f t="shared" si="83"/>
        <v>90.24676771653543</v>
      </c>
      <c r="M303" s="3">
        <f t="shared" si="84"/>
        <v>-22.12</v>
      </c>
      <c r="N303" s="3">
        <f t="shared" si="85"/>
        <v>141.91999999999999</v>
      </c>
      <c r="O303" s="3"/>
      <c r="P303" s="3">
        <f t="shared" si="86"/>
        <v>112.04415748031496</v>
      </c>
      <c r="Q303" s="3">
        <f t="shared" si="87"/>
        <v>141.90373543307086</v>
      </c>
      <c r="R303" s="3">
        <f>vd(DataTable[[#This Row],[Sentido]],DataTable[[#This Row],[Valor]])</f>
        <v>124.24173228346457</v>
      </c>
      <c r="S303" s="3">
        <f>IF(DataTable[[#This Row],[Valor]]&gt;1,1,1)</f>
        <v>1</v>
      </c>
      <c r="T303" s="3">
        <f>IF(DataTable[[#This Row],[Valor]]&gt;1,1,1)</f>
        <v>1</v>
      </c>
      <c r="U303" s="3">
        <f>angr(DataTable[[#This Row],[Sentido]],DataTable[[#This Row],[Valor]])</f>
        <v>33.225196850393701</v>
      </c>
      <c r="V303" s="3">
        <f>ANGI(DataTable[[#This Row],[Sentido]],DataTable[[#This Row],[Valor]])</f>
        <v>36.007086614173225</v>
      </c>
      <c r="W303" s="3">
        <f t="shared" si="88"/>
        <v>3</v>
      </c>
      <c r="X303" s="3">
        <f>IF(DataTable[[#This Row],[Valor]]&gt;1,1,1)</f>
        <v>1</v>
      </c>
      <c r="Y303" s="3">
        <f t="shared" si="89"/>
        <v>3</v>
      </c>
      <c r="Z303" s="3">
        <f>IF(AND(DataTable[[#This Row],[Sentido]]="URUGUAI para BRASIL",DataTable[[#This Row],[Valor]]&gt;350),1,0)</f>
        <v>0</v>
      </c>
      <c r="AA303" s="3">
        <f>IF(DataTable[[#This Row],[Valor]]&gt;1,0,0)</f>
        <v>0</v>
      </c>
    </row>
    <row r="304" spans="1:29" x14ac:dyDescent="0.25">
      <c r="A304" s="2" t="s">
        <v>21</v>
      </c>
      <c r="B304" s="2">
        <v>352</v>
      </c>
      <c r="C304" s="3">
        <f t="shared" si="75"/>
        <v>87.818992125984252</v>
      </c>
      <c r="D304" s="3">
        <f t="shared" si="76"/>
        <v>92.818992125984252</v>
      </c>
      <c r="E304" s="3">
        <f t="shared" si="77"/>
        <v>90.318992125984252</v>
      </c>
      <c r="F304" s="3">
        <f t="shared" si="78"/>
        <v>32.76</v>
      </c>
      <c r="G304" s="3">
        <f t="shared" si="79"/>
        <v>94.6</v>
      </c>
      <c r="H304" s="3">
        <f t="shared" si="80"/>
        <v>94.6</v>
      </c>
      <c r="I304" s="3"/>
      <c r="J304" s="3">
        <f t="shared" si="81"/>
        <v>88.836692125984257</v>
      </c>
      <c r="K304" s="3">
        <f t="shared" si="82"/>
        <v>92.818992125984252</v>
      </c>
      <c r="L304" s="34">
        <f t="shared" si="83"/>
        <v>90.318992125984252</v>
      </c>
      <c r="M304" s="3">
        <f t="shared" si="84"/>
        <v>-22.24</v>
      </c>
      <c r="N304" s="3">
        <f t="shared" si="85"/>
        <v>141.84</v>
      </c>
      <c r="O304" s="3"/>
      <c r="P304" s="3">
        <f t="shared" si="86"/>
        <v>112.29681889763781</v>
      </c>
      <c r="Q304" s="3">
        <f t="shared" si="87"/>
        <v>142.00918425196852</v>
      </c>
      <c r="R304" s="3">
        <f>vd(DataTable[[#This Row],[Sentido]],DataTable[[#This Row],[Valor]])</f>
        <v>124.53700787401576</v>
      </c>
      <c r="S304" s="3">
        <f>IF(DataTable[[#This Row],[Valor]]&gt;1,1,1)</f>
        <v>1</v>
      </c>
      <c r="T304" s="3">
        <f>IF(DataTable[[#This Row],[Valor]]&gt;1,1,1)</f>
        <v>1</v>
      </c>
      <c r="U304" s="3">
        <f>angr(DataTable[[#This Row],[Sentido]],DataTable[[#This Row],[Valor]])</f>
        <v>33.111023622047242</v>
      </c>
      <c r="V304" s="3">
        <f>ANGI(DataTable[[#This Row],[Sentido]],DataTable[[#This Row],[Valor]])</f>
        <v>35.896850393700788</v>
      </c>
      <c r="W304" s="3">
        <f t="shared" si="88"/>
        <v>3</v>
      </c>
      <c r="X304" s="3">
        <f>IF(DataTable[[#This Row],[Valor]]&gt;1,1,1)</f>
        <v>1</v>
      </c>
      <c r="Y304" s="3">
        <f t="shared" si="89"/>
        <v>3</v>
      </c>
      <c r="Z304" s="3">
        <f>IF(AND(DataTable[[#This Row],[Sentido]]="URUGUAI para BRASIL",DataTable[[#This Row],[Valor]]&gt;350),1,0)</f>
        <v>0</v>
      </c>
      <c r="AA304" s="3">
        <f>IF(DataTable[[#This Row],[Valor]]&gt;1,0,0)</f>
        <v>0</v>
      </c>
    </row>
    <row r="305" spans="1:27" x14ac:dyDescent="0.25">
      <c r="A305" s="2" t="s">
        <v>21</v>
      </c>
      <c r="B305" s="2">
        <v>353</v>
      </c>
      <c r="C305" s="3">
        <f t="shared" si="75"/>
        <v>87.891216535433074</v>
      </c>
      <c r="D305" s="3">
        <f t="shared" si="76"/>
        <v>92.891216535433074</v>
      </c>
      <c r="E305" s="3">
        <f t="shared" si="77"/>
        <v>90.391216535433074</v>
      </c>
      <c r="F305" s="3">
        <f t="shared" si="78"/>
        <v>32.64</v>
      </c>
      <c r="G305" s="3">
        <f t="shared" si="79"/>
        <v>94.4</v>
      </c>
      <c r="H305" s="3">
        <f t="shared" si="80"/>
        <v>94.4</v>
      </c>
      <c r="I305" s="3"/>
      <c r="J305" s="3">
        <f t="shared" si="81"/>
        <v>88.908916535433079</v>
      </c>
      <c r="K305" s="3">
        <f t="shared" si="82"/>
        <v>92.891216535433074</v>
      </c>
      <c r="L305" s="34">
        <f t="shared" si="83"/>
        <v>90.391216535433074</v>
      </c>
      <c r="M305" s="3">
        <f t="shared" si="84"/>
        <v>-22.36</v>
      </c>
      <c r="N305" s="3">
        <f t="shared" si="85"/>
        <v>141.76</v>
      </c>
      <c r="O305" s="3"/>
      <c r="P305" s="3">
        <f t="shared" si="86"/>
        <v>112.54948031496062</v>
      </c>
      <c r="Q305" s="3">
        <f t="shared" si="87"/>
        <v>142.11463307086615</v>
      </c>
      <c r="R305" s="3">
        <f>vd(DataTable[[#This Row],[Sentido]],DataTable[[#This Row],[Valor]])</f>
        <v>124.83228346456693</v>
      </c>
      <c r="S305" s="3">
        <f>IF(DataTable[[#This Row],[Valor]]&gt;1,1,1)</f>
        <v>1</v>
      </c>
      <c r="T305" s="3">
        <f>IF(DataTable[[#This Row],[Valor]]&gt;1,1,1)</f>
        <v>1</v>
      </c>
      <c r="U305" s="3">
        <f>angr(DataTable[[#This Row],[Sentido]],DataTable[[#This Row],[Valor]])</f>
        <v>32.99685039370079</v>
      </c>
      <c r="V305" s="3">
        <f>ANGI(DataTable[[#This Row],[Sentido]],DataTable[[#This Row],[Valor]])</f>
        <v>35.786614173228344</v>
      </c>
      <c r="W305" s="3">
        <f t="shared" si="88"/>
        <v>3</v>
      </c>
      <c r="X305" s="3">
        <f>IF(DataTable[[#This Row],[Valor]]&gt;1,1,1)</f>
        <v>1</v>
      </c>
      <c r="Y305" s="3">
        <f t="shared" si="89"/>
        <v>3</v>
      </c>
      <c r="Z305" s="3">
        <f>IF(AND(DataTable[[#This Row],[Sentido]]="URUGUAI para BRASIL",DataTable[[#This Row],[Valor]]&gt;350),1,0)</f>
        <v>0</v>
      </c>
      <c r="AA305" s="3">
        <f>IF(DataTable[[#This Row],[Valor]]&gt;1,0,0)</f>
        <v>0</v>
      </c>
    </row>
    <row r="306" spans="1:27" x14ac:dyDescent="0.25">
      <c r="A306" s="2" t="s">
        <v>21</v>
      </c>
      <c r="B306" s="2">
        <v>354</v>
      </c>
      <c r="C306" s="3">
        <f t="shared" si="75"/>
        <v>87.963440944881896</v>
      </c>
      <c r="D306" s="3">
        <f t="shared" si="76"/>
        <v>92.963440944881896</v>
      </c>
      <c r="E306" s="3">
        <f t="shared" si="77"/>
        <v>90.463440944881896</v>
      </c>
      <c r="F306" s="3">
        <f t="shared" si="78"/>
        <v>32.520000000000003</v>
      </c>
      <c r="G306" s="3">
        <f t="shared" si="79"/>
        <v>94.2</v>
      </c>
      <c r="H306" s="3">
        <f t="shared" si="80"/>
        <v>94.2</v>
      </c>
      <c r="I306" s="3"/>
      <c r="J306" s="3">
        <f t="shared" si="81"/>
        <v>88.981140944881886</v>
      </c>
      <c r="K306" s="3">
        <f t="shared" si="82"/>
        <v>92.963440944881896</v>
      </c>
      <c r="L306" s="34">
        <f t="shared" si="83"/>
        <v>90.463440944881896</v>
      </c>
      <c r="M306" s="3">
        <f t="shared" si="84"/>
        <v>-22.48</v>
      </c>
      <c r="N306" s="3">
        <f t="shared" si="85"/>
        <v>141.68</v>
      </c>
      <c r="O306" s="3"/>
      <c r="P306" s="3">
        <f t="shared" si="86"/>
        <v>112.80214173228346</v>
      </c>
      <c r="Q306" s="3">
        <f t="shared" si="87"/>
        <v>142.22008188976378</v>
      </c>
      <c r="R306" s="3">
        <f>vd(DataTable[[#This Row],[Sentido]],DataTable[[#This Row],[Valor]])</f>
        <v>125.1275590551181</v>
      </c>
      <c r="S306" s="3">
        <f>IF(DataTable[[#This Row],[Valor]]&gt;1,1,1)</f>
        <v>1</v>
      </c>
      <c r="T306" s="3">
        <f>IF(DataTable[[#This Row],[Valor]]&gt;1,1,1)</f>
        <v>1</v>
      </c>
      <c r="U306" s="3">
        <f>angr(DataTable[[#This Row],[Sentido]],DataTable[[#This Row],[Valor]])</f>
        <v>32.88267716535433</v>
      </c>
      <c r="V306" s="3">
        <f>ANGI(DataTable[[#This Row],[Sentido]],DataTable[[#This Row],[Valor]])</f>
        <v>35.676377952755907</v>
      </c>
      <c r="W306" s="3">
        <f t="shared" si="88"/>
        <v>3</v>
      </c>
      <c r="X306" s="3">
        <f>IF(DataTable[[#This Row],[Valor]]&gt;1,1,1)</f>
        <v>1</v>
      </c>
      <c r="Y306" s="3">
        <f t="shared" si="89"/>
        <v>3</v>
      </c>
      <c r="Z306" s="3">
        <f>IF(AND(DataTable[[#This Row],[Sentido]]="URUGUAI para BRASIL",DataTable[[#This Row],[Valor]]&gt;350),1,0)</f>
        <v>0</v>
      </c>
      <c r="AA306" s="3">
        <f>IF(DataTable[[#This Row],[Valor]]&gt;1,0,0)</f>
        <v>0</v>
      </c>
    </row>
    <row r="307" spans="1:27" x14ac:dyDescent="0.25">
      <c r="A307" s="2" t="s">
        <v>21</v>
      </c>
      <c r="B307" s="2">
        <v>355</v>
      </c>
      <c r="C307" s="3">
        <f t="shared" si="75"/>
        <v>88.035665354330703</v>
      </c>
      <c r="D307" s="3">
        <f t="shared" si="76"/>
        <v>93.035665354330703</v>
      </c>
      <c r="E307" s="3">
        <f t="shared" si="77"/>
        <v>90.535665354330703</v>
      </c>
      <c r="F307" s="3">
        <f t="shared" si="78"/>
        <v>32.4</v>
      </c>
      <c r="G307" s="3">
        <f t="shared" si="79"/>
        <v>94</v>
      </c>
      <c r="H307" s="3">
        <f t="shared" si="80"/>
        <v>94</v>
      </c>
      <c r="I307" s="3"/>
      <c r="J307" s="3">
        <f t="shared" si="81"/>
        <v>89.053365354330708</v>
      </c>
      <c r="K307" s="3">
        <f t="shared" si="82"/>
        <v>93.035665354330703</v>
      </c>
      <c r="L307" s="34">
        <f t="shared" si="83"/>
        <v>90.535665354330703</v>
      </c>
      <c r="M307" s="3">
        <f t="shared" si="84"/>
        <v>-22.599999999999998</v>
      </c>
      <c r="N307" s="3">
        <f t="shared" si="85"/>
        <v>141.6</v>
      </c>
      <c r="O307" s="3"/>
      <c r="P307" s="3">
        <f t="shared" si="86"/>
        <v>113.0548031496063</v>
      </c>
      <c r="Q307" s="3">
        <f t="shared" si="87"/>
        <v>142.32553070866143</v>
      </c>
      <c r="R307" s="3">
        <f>vd(DataTable[[#This Row],[Sentido]],DataTable[[#This Row],[Valor]])</f>
        <v>125.42283464566928</v>
      </c>
      <c r="S307" s="3">
        <f>IF(DataTable[[#This Row],[Valor]]&gt;1,1,1)</f>
        <v>1</v>
      </c>
      <c r="T307" s="3">
        <f>IF(DataTable[[#This Row],[Valor]]&gt;1,1,1)</f>
        <v>1</v>
      </c>
      <c r="U307" s="3">
        <f>angr(DataTable[[#This Row],[Sentido]],DataTable[[#This Row],[Valor]])</f>
        <v>32.768503937007878</v>
      </c>
      <c r="V307" s="3">
        <f>ANGI(DataTable[[#This Row],[Sentido]],DataTable[[#This Row],[Valor]])</f>
        <v>35.566141732283462</v>
      </c>
      <c r="W307" s="3">
        <f t="shared" si="88"/>
        <v>3</v>
      </c>
      <c r="X307" s="3">
        <f>IF(DataTable[[#This Row],[Valor]]&gt;1,1,1)</f>
        <v>1</v>
      </c>
      <c r="Y307" s="3">
        <f t="shared" si="89"/>
        <v>3</v>
      </c>
      <c r="Z307" s="3">
        <f>IF(AND(DataTable[[#This Row],[Sentido]]="URUGUAI para BRASIL",DataTable[[#This Row],[Valor]]&gt;350),1,0)</f>
        <v>0</v>
      </c>
      <c r="AA307" s="3">
        <f>IF(DataTable[[#This Row],[Valor]]&gt;1,0,0)</f>
        <v>0</v>
      </c>
    </row>
    <row r="308" spans="1:27" x14ac:dyDescent="0.25">
      <c r="A308" s="2" t="s">
        <v>21</v>
      </c>
      <c r="B308" s="2">
        <v>356</v>
      </c>
      <c r="C308" s="3">
        <f t="shared" si="75"/>
        <v>88.107889763779525</v>
      </c>
      <c r="D308" s="3">
        <f t="shared" si="76"/>
        <v>93.107889763779525</v>
      </c>
      <c r="E308" s="3">
        <f t="shared" si="77"/>
        <v>90.607889763779525</v>
      </c>
      <c r="F308" s="3">
        <f t="shared" si="78"/>
        <v>32.28</v>
      </c>
      <c r="G308" s="3">
        <f t="shared" si="79"/>
        <v>93.8</v>
      </c>
      <c r="H308" s="3">
        <f t="shared" si="80"/>
        <v>93.8</v>
      </c>
      <c r="I308" s="3"/>
      <c r="J308" s="3">
        <f t="shared" si="81"/>
        <v>89.12558976377953</v>
      </c>
      <c r="K308" s="3">
        <f t="shared" si="82"/>
        <v>93.107889763779525</v>
      </c>
      <c r="L308" s="34">
        <f t="shared" si="83"/>
        <v>90.607889763779525</v>
      </c>
      <c r="M308" s="3">
        <f t="shared" si="84"/>
        <v>-22.72</v>
      </c>
      <c r="N308" s="3">
        <f t="shared" si="85"/>
        <v>141.52000000000001</v>
      </c>
      <c r="O308" s="3"/>
      <c r="P308" s="3">
        <f t="shared" si="86"/>
        <v>113.30746456692914</v>
      </c>
      <c r="Q308" s="3">
        <f t="shared" si="87"/>
        <v>142.43097952755906</v>
      </c>
      <c r="R308" s="3">
        <f>vd(DataTable[[#This Row],[Sentido]],DataTable[[#This Row],[Valor]])</f>
        <v>125.70551181102361</v>
      </c>
      <c r="S308" s="3">
        <f>IF(DataTable[[#This Row],[Valor]]&gt;1,1,1)</f>
        <v>1</v>
      </c>
      <c r="T308" s="3">
        <f>IF(DataTable[[#This Row],[Valor]]&gt;1,1,1)</f>
        <v>1</v>
      </c>
      <c r="U308" s="3">
        <f>angr(DataTable[[#This Row],[Sentido]],DataTable[[#This Row],[Valor]])</f>
        <v>32.659055118110238</v>
      </c>
      <c r="V308" s="3">
        <f>ANGI(DataTable[[#This Row],[Sentido]],DataTable[[#This Row],[Valor]])</f>
        <v>35.462204724409453</v>
      </c>
      <c r="W308" s="3">
        <f t="shared" si="88"/>
        <v>3</v>
      </c>
      <c r="X308" s="3">
        <f>IF(DataTable[[#This Row],[Valor]]&gt;1,1,1)</f>
        <v>1</v>
      </c>
      <c r="Y308" s="3">
        <f t="shared" si="89"/>
        <v>3</v>
      </c>
      <c r="Z308" s="3">
        <f>IF(AND(DataTable[[#This Row],[Sentido]]="URUGUAI para BRASIL",DataTable[[#This Row],[Valor]]&gt;350),1,0)</f>
        <v>0</v>
      </c>
      <c r="AA308" s="3">
        <f>IF(DataTable[[#This Row],[Valor]]&gt;1,0,0)</f>
        <v>0</v>
      </c>
    </row>
    <row r="309" spans="1:27" x14ac:dyDescent="0.25">
      <c r="A309" s="2" t="s">
        <v>21</v>
      </c>
      <c r="B309" s="2">
        <v>357</v>
      </c>
      <c r="C309" s="3">
        <f t="shared" si="75"/>
        <v>88.180114173228347</v>
      </c>
      <c r="D309" s="3">
        <f t="shared" si="76"/>
        <v>93.180114173228347</v>
      </c>
      <c r="E309" s="3">
        <f t="shared" si="77"/>
        <v>90.680114173228347</v>
      </c>
      <c r="F309" s="3">
        <f t="shared" si="78"/>
        <v>32.160000000000004</v>
      </c>
      <c r="G309" s="3">
        <f t="shared" si="79"/>
        <v>93.6</v>
      </c>
      <c r="H309" s="3">
        <f t="shared" si="80"/>
        <v>93.6</v>
      </c>
      <c r="I309" s="3"/>
      <c r="J309" s="3">
        <f t="shared" si="81"/>
        <v>89.197814173228352</v>
      </c>
      <c r="K309" s="3">
        <f t="shared" si="82"/>
        <v>93.180114173228347</v>
      </c>
      <c r="L309" s="34">
        <f t="shared" si="83"/>
        <v>90.680114173228347</v>
      </c>
      <c r="M309" s="3">
        <f t="shared" si="84"/>
        <v>-22.84</v>
      </c>
      <c r="N309" s="3">
        <f t="shared" si="85"/>
        <v>141.44</v>
      </c>
      <c r="O309" s="3"/>
      <c r="P309" s="3">
        <f t="shared" si="86"/>
        <v>113.56012598425195</v>
      </c>
      <c r="Q309" s="3">
        <f t="shared" si="87"/>
        <v>142.53642834645669</v>
      </c>
      <c r="R309" s="3">
        <f>vd(DataTable[[#This Row],[Sentido]],DataTable[[#This Row],[Valor]])</f>
        <v>125.96929133858266</v>
      </c>
      <c r="S309" s="3">
        <f>IF(DataTable[[#This Row],[Valor]]&gt;1,1,1)</f>
        <v>1</v>
      </c>
      <c r="T309" s="3">
        <f>IF(DataTable[[#This Row],[Valor]]&gt;1,1,1)</f>
        <v>1</v>
      </c>
      <c r="U309" s="3">
        <f>angr(DataTable[[#This Row],[Sentido]],DataTable[[#This Row],[Valor]])</f>
        <v>32.556692913385831</v>
      </c>
      <c r="V309" s="3">
        <f>ANGI(DataTable[[#This Row],[Sentido]],DataTable[[#This Row],[Valor]])</f>
        <v>35.367716535433075</v>
      </c>
      <c r="W309" s="3">
        <f t="shared" si="88"/>
        <v>3</v>
      </c>
      <c r="X309" s="3">
        <f>IF(DataTable[[#This Row],[Valor]]&gt;1,1,1)</f>
        <v>1</v>
      </c>
      <c r="Y309" s="3">
        <f t="shared" si="89"/>
        <v>3</v>
      </c>
      <c r="Z309" s="3">
        <f>IF(AND(DataTable[[#This Row],[Sentido]]="URUGUAI para BRASIL",DataTable[[#This Row],[Valor]]&gt;350),1,0)</f>
        <v>0</v>
      </c>
      <c r="AA309" s="3">
        <f>IF(DataTable[[#This Row],[Valor]]&gt;1,0,0)</f>
        <v>0</v>
      </c>
    </row>
    <row r="310" spans="1:27" x14ac:dyDescent="0.25">
      <c r="A310" s="2" t="s">
        <v>21</v>
      </c>
      <c r="B310" s="2">
        <v>358</v>
      </c>
      <c r="C310" s="3">
        <f t="shared" si="75"/>
        <v>88.252338582677169</v>
      </c>
      <c r="D310" s="3">
        <f t="shared" si="76"/>
        <v>93.252338582677169</v>
      </c>
      <c r="E310" s="3">
        <f t="shared" si="77"/>
        <v>90.752338582677169</v>
      </c>
      <c r="F310" s="3">
        <f t="shared" si="78"/>
        <v>32.04</v>
      </c>
      <c r="G310" s="3">
        <f t="shared" si="79"/>
        <v>93.4</v>
      </c>
      <c r="H310" s="3">
        <f t="shared" si="80"/>
        <v>93.4</v>
      </c>
      <c r="I310" s="3"/>
      <c r="J310" s="3">
        <f t="shared" si="81"/>
        <v>89.270038582677174</v>
      </c>
      <c r="K310" s="3">
        <f t="shared" si="82"/>
        <v>93.252338582677169</v>
      </c>
      <c r="L310" s="34">
        <f t="shared" si="83"/>
        <v>90.752338582677169</v>
      </c>
      <c r="M310" s="3">
        <f t="shared" si="84"/>
        <v>-22.96</v>
      </c>
      <c r="N310" s="3">
        <f t="shared" si="85"/>
        <v>141.36000000000001</v>
      </c>
      <c r="O310" s="3"/>
      <c r="P310" s="3">
        <f t="shared" si="86"/>
        <v>113.81278740157481</v>
      </c>
      <c r="Q310" s="3">
        <f t="shared" si="87"/>
        <v>142.64187716535434</v>
      </c>
      <c r="R310" s="3">
        <f>vd(DataTable[[#This Row],[Sentido]],DataTable[[#This Row],[Valor]])</f>
        <v>126.23307086614173</v>
      </c>
      <c r="S310" s="3">
        <f>IF(DataTable[[#This Row],[Valor]]&gt;1,1,1)</f>
        <v>1</v>
      </c>
      <c r="T310" s="3">
        <f>IF(DataTable[[#This Row],[Valor]]&gt;1,1,1)</f>
        <v>1</v>
      </c>
      <c r="U310" s="3">
        <f>angr(DataTable[[#This Row],[Sentido]],DataTable[[#This Row],[Valor]])</f>
        <v>32.454330708661416</v>
      </c>
      <c r="V310" s="3">
        <f>ANGI(DataTable[[#This Row],[Sentido]],DataTable[[#This Row],[Valor]])</f>
        <v>35.27322834645669</v>
      </c>
      <c r="W310" s="3">
        <f t="shared" si="88"/>
        <v>3</v>
      </c>
      <c r="X310" s="3">
        <f>IF(DataTable[[#This Row],[Valor]]&gt;1,1,1)</f>
        <v>1</v>
      </c>
      <c r="Y310" s="3">
        <f t="shared" si="89"/>
        <v>3</v>
      </c>
      <c r="Z310" s="3">
        <f>IF(AND(DataTable[[#This Row],[Sentido]]="URUGUAI para BRASIL",DataTable[[#This Row],[Valor]]&gt;350),1,0)</f>
        <v>0</v>
      </c>
      <c r="AA310" s="3">
        <f>IF(DataTable[[#This Row],[Valor]]&gt;1,0,0)</f>
        <v>0</v>
      </c>
    </row>
    <row r="311" spans="1:27" x14ac:dyDescent="0.25">
      <c r="A311" s="2" t="s">
        <v>21</v>
      </c>
      <c r="B311" s="2">
        <v>359</v>
      </c>
      <c r="C311" s="3">
        <f t="shared" si="75"/>
        <v>88.32456299212599</v>
      </c>
      <c r="D311" s="3">
        <f t="shared" si="76"/>
        <v>93.32456299212599</v>
      </c>
      <c r="E311" s="3">
        <f t="shared" si="77"/>
        <v>90.82456299212599</v>
      </c>
      <c r="F311" s="3">
        <f t="shared" si="78"/>
        <v>31.92</v>
      </c>
      <c r="G311" s="3">
        <f t="shared" si="79"/>
        <v>93.2</v>
      </c>
      <c r="H311" s="3">
        <f t="shared" si="80"/>
        <v>93.2</v>
      </c>
      <c r="I311" s="3"/>
      <c r="J311" s="3">
        <f t="shared" si="81"/>
        <v>89.342262992125981</v>
      </c>
      <c r="K311" s="3">
        <f t="shared" si="82"/>
        <v>93.32456299212599</v>
      </c>
      <c r="L311" s="34">
        <f t="shared" si="83"/>
        <v>90.82456299212599</v>
      </c>
      <c r="M311" s="3">
        <f t="shared" si="84"/>
        <v>-23.08</v>
      </c>
      <c r="N311" s="3">
        <f t="shared" si="85"/>
        <v>141.28</v>
      </c>
      <c r="O311" s="3"/>
      <c r="P311" s="3">
        <f t="shared" si="86"/>
        <v>114.06544881889765</v>
      </c>
      <c r="Q311" s="3">
        <f t="shared" si="87"/>
        <v>142.74732598425197</v>
      </c>
      <c r="R311" s="3">
        <f>vd(DataTable[[#This Row],[Sentido]],DataTable[[#This Row],[Valor]])</f>
        <v>126.49685039370078</v>
      </c>
      <c r="S311" s="3">
        <f>IF(DataTable[[#This Row],[Valor]]&gt;1,1,1)</f>
        <v>1</v>
      </c>
      <c r="T311" s="3">
        <f>IF(DataTable[[#This Row],[Valor]]&gt;1,1,1)</f>
        <v>1</v>
      </c>
      <c r="U311" s="3">
        <f>angr(DataTable[[#This Row],[Sentido]],DataTable[[#This Row],[Valor]])</f>
        <v>32.351968503937009</v>
      </c>
      <c r="V311" s="3">
        <f>ANGI(DataTable[[#This Row],[Sentido]],DataTable[[#This Row],[Valor]])</f>
        <v>35.178740157480313</v>
      </c>
      <c r="W311" s="3">
        <f t="shared" si="88"/>
        <v>3</v>
      </c>
      <c r="X311" s="3">
        <f>IF(DataTable[[#This Row],[Valor]]&gt;1,1,1)</f>
        <v>1</v>
      </c>
      <c r="Y311" s="3">
        <f t="shared" si="89"/>
        <v>3</v>
      </c>
      <c r="Z311" s="3">
        <f>IF(AND(DataTable[[#This Row],[Sentido]]="URUGUAI para BRASIL",DataTable[[#This Row],[Valor]]&gt;350),1,0)</f>
        <v>0</v>
      </c>
      <c r="AA311" s="3">
        <f>IF(DataTable[[#This Row],[Valor]]&gt;1,0,0)</f>
        <v>0</v>
      </c>
    </row>
    <row r="312" spans="1:27" x14ac:dyDescent="0.25">
      <c r="A312" s="2" t="s">
        <v>21</v>
      </c>
      <c r="B312" s="2">
        <v>360</v>
      </c>
      <c r="C312" s="3">
        <f t="shared" si="75"/>
        <v>88.396787401574798</v>
      </c>
      <c r="D312" s="3">
        <f t="shared" si="76"/>
        <v>93.396787401574798</v>
      </c>
      <c r="E312" s="3">
        <f t="shared" si="77"/>
        <v>90.896787401574798</v>
      </c>
      <c r="F312" s="3">
        <f t="shared" si="78"/>
        <v>31.799999999999997</v>
      </c>
      <c r="G312" s="3">
        <f t="shared" si="79"/>
        <v>93</v>
      </c>
      <c r="H312" s="3">
        <f t="shared" si="80"/>
        <v>93</v>
      </c>
      <c r="I312" s="3"/>
      <c r="J312" s="3">
        <f t="shared" si="81"/>
        <v>89.414487401574803</v>
      </c>
      <c r="K312" s="3">
        <f t="shared" si="82"/>
        <v>93.396787401574798</v>
      </c>
      <c r="L312" s="34">
        <f t="shared" si="83"/>
        <v>90.896787401574798</v>
      </c>
      <c r="M312" s="3">
        <f t="shared" si="84"/>
        <v>-23.2</v>
      </c>
      <c r="N312" s="3">
        <f t="shared" si="85"/>
        <v>141.19999999999999</v>
      </c>
      <c r="O312" s="3"/>
      <c r="P312" s="3">
        <f t="shared" si="86"/>
        <v>114.31811023622046</v>
      </c>
      <c r="Q312" s="3">
        <f t="shared" si="87"/>
        <v>142.8527748031496</v>
      </c>
      <c r="R312" s="3">
        <f>vd(DataTable[[#This Row],[Sentido]],DataTable[[#This Row],[Valor]])</f>
        <v>126.76062992125985</v>
      </c>
      <c r="S312" s="3">
        <f>IF(DataTable[[#This Row],[Valor]]&gt;1,1,1)</f>
        <v>1</v>
      </c>
      <c r="T312" s="3">
        <f>IF(DataTable[[#This Row],[Valor]]&gt;1,1,1)</f>
        <v>1</v>
      </c>
      <c r="U312" s="3">
        <f>angr(DataTable[[#This Row],[Sentido]],DataTable[[#This Row],[Valor]])</f>
        <v>32.249606299212601</v>
      </c>
      <c r="V312" s="3">
        <f>ANGI(DataTable[[#This Row],[Sentido]],DataTable[[#This Row],[Valor]])</f>
        <v>35.084251968503935</v>
      </c>
      <c r="W312" s="3">
        <f t="shared" si="88"/>
        <v>3</v>
      </c>
      <c r="X312" s="3">
        <f>IF(DataTable[[#This Row],[Valor]]&gt;1,1,1)</f>
        <v>1</v>
      </c>
      <c r="Y312" s="3">
        <f t="shared" si="89"/>
        <v>3</v>
      </c>
      <c r="Z312" s="3">
        <f>IF(AND(DataTable[[#This Row],[Sentido]]="URUGUAI para BRASIL",DataTable[[#This Row],[Valor]]&gt;350),1,0)</f>
        <v>0</v>
      </c>
      <c r="AA312" s="3">
        <f>IF(DataTable[[#This Row],[Valor]]&gt;1,0,0)</f>
        <v>0</v>
      </c>
    </row>
    <row r="313" spans="1:27" x14ac:dyDescent="0.25">
      <c r="A313" s="2" t="s">
        <v>21</v>
      </c>
      <c r="B313" s="2">
        <v>361</v>
      </c>
      <c r="C313" s="3">
        <f t="shared" si="75"/>
        <v>88.46901181102362</v>
      </c>
      <c r="D313" s="3">
        <f t="shared" si="76"/>
        <v>93.46901181102362</v>
      </c>
      <c r="E313" s="3">
        <f t="shared" si="77"/>
        <v>90.96901181102362</v>
      </c>
      <c r="F313" s="3">
        <f t="shared" si="78"/>
        <v>31.68</v>
      </c>
      <c r="G313" s="3">
        <f t="shared" si="79"/>
        <v>92.8</v>
      </c>
      <c r="H313" s="3">
        <f t="shared" si="80"/>
        <v>92.8</v>
      </c>
      <c r="I313" s="3"/>
      <c r="J313" s="3">
        <f t="shared" si="81"/>
        <v>89.486711811023625</v>
      </c>
      <c r="K313" s="3">
        <f t="shared" si="82"/>
        <v>93.46901181102362</v>
      </c>
      <c r="L313" s="34">
        <f t="shared" si="83"/>
        <v>90.96901181102362</v>
      </c>
      <c r="M313" s="3">
        <f t="shared" si="84"/>
        <v>-23.32</v>
      </c>
      <c r="N313" s="3">
        <f t="shared" si="85"/>
        <v>141.12</v>
      </c>
      <c r="O313" s="3"/>
      <c r="P313" s="3">
        <f t="shared" si="86"/>
        <v>114.5707716535433</v>
      </c>
      <c r="Q313" s="3">
        <f t="shared" si="87"/>
        <v>142.95822362204723</v>
      </c>
      <c r="R313" s="3">
        <f>vd(DataTable[[#This Row],[Sentido]],DataTable[[#This Row],[Valor]])</f>
        <v>127.0244094488189</v>
      </c>
      <c r="S313" s="3">
        <f>IF(DataTable[[#This Row],[Valor]]&gt;1,1,1)</f>
        <v>1</v>
      </c>
      <c r="T313" s="3">
        <f>IF(DataTable[[#This Row],[Valor]]&gt;1,1,1)</f>
        <v>1</v>
      </c>
      <c r="U313" s="3">
        <f>angr(DataTable[[#This Row],[Sentido]],DataTable[[#This Row],[Valor]])</f>
        <v>32.147244094488194</v>
      </c>
      <c r="V313" s="3">
        <f>ANGI(DataTable[[#This Row],[Sentido]],DataTable[[#This Row],[Valor]])</f>
        <v>34.989763779527557</v>
      </c>
      <c r="W313" s="3">
        <f t="shared" si="88"/>
        <v>3</v>
      </c>
      <c r="X313" s="3">
        <f>IF(DataTable[[#This Row],[Valor]]&gt;1,1,1)</f>
        <v>1</v>
      </c>
      <c r="Y313" s="3">
        <f t="shared" si="89"/>
        <v>3</v>
      </c>
      <c r="Z313" s="3">
        <f>IF(AND(DataTable[[#This Row],[Sentido]]="URUGUAI para BRASIL",DataTable[[#This Row],[Valor]]&gt;350),1,0)</f>
        <v>0</v>
      </c>
      <c r="AA313" s="3">
        <f>IF(DataTable[[#This Row],[Valor]]&gt;1,0,0)</f>
        <v>0</v>
      </c>
    </row>
    <row r="314" spans="1:27" x14ac:dyDescent="0.25">
      <c r="A314" s="2" t="s">
        <v>21</v>
      </c>
      <c r="B314" s="2">
        <v>362</v>
      </c>
      <c r="C314" s="3">
        <f t="shared" si="75"/>
        <v>88.541236220472442</v>
      </c>
      <c r="D314" s="3">
        <f t="shared" si="76"/>
        <v>93.541236220472442</v>
      </c>
      <c r="E314" s="3">
        <f t="shared" si="77"/>
        <v>91.041236220472442</v>
      </c>
      <c r="F314" s="3">
        <f t="shared" si="78"/>
        <v>31.560000000000002</v>
      </c>
      <c r="G314" s="3">
        <f t="shared" si="79"/>
        <v>92.6</v>
      </c>
      <c r="H314" s="3">
        <f t="shared" si="80"/>
        <v>92.6</v>
      </c>
      <c r="I314" s="3"/>
      <c r="J314" s="3">
        <f t="shared" si="81"/>
        <v>89.558936220472447</v>
      </c>
      <c r="K314" s="3">
        <f t="shared" si="82"/>
        <v>93.541236220472442</v>
      </c>
      <c r="L314" s="34">
        <f t="shared" si="83"/>
        <v>91.041236220472442</v>
      </c>
      <c r="M314" s="3">
        <f t="shared" si="84"/>
        <v>-23.439999999999998</v>
      </c>
      <c r="N314" s="3">
        <f t="shared" si="85"/>
        <v>141.04</v>
      </c>
      <c r="O314" s="3"/>
      <c r="P314" s="3">
        <f t="shared" si="86"/>
        <v>114.82343307086614</v>
      </c>
      <c r="Q314" s="3">
        <f t="shared" si="87"/>
        <v>143.06367244094488</v>
      </c>
      <c r="R314" s="3">
        <f>vd(DataTable[[#This Row],[Sentido]],DataTable[[#This Row],[Valor]])</f>
        <v>127.28818897637795</v>
      </c>
      <c r="S314" s="3">
        <f>IF(DataTable[[#This Row],[Valor]]&gt;1,1,1)</f>
        <v>1</v>
      </c>
      <c r="T314" s="3">
        <f>IF(DataTable[[#This Row],[Valor]]&gt;1,1,1)</f>
        <v>1</v>
      </c>
      <c r="U314" s="3">
        <f>angr(DataTable[[#This Row],[Sentido]],DataTable[[#This Row],[Valor]])</f>
        <v>32.044881889763786</v>
      </c>
      <c r="V314" s="3">
        <f>ANGI(DataTable[[#This Row],[Sentido]],DataTable[[#This Row],[Valor]])</f>
        <v>34.895275590551179</v>
      </c>
      <c r="W314" s="3">
        <f t="shared" si="88"/>
        <v>3</v>
      </c>
      <c r="X314" s="3">
        <f>IF(DataTable[[#This Row],[Valor]]&gt;1,1,1)</f>
        <v>1</v>
      </c>
      <c r="Y314" s="3">
        <f t="shared" si="89"/>
        <v>3</v>
      </c>
      <c r="Z314" s="3">
        <f>IF(AND(DataTable[[#This Row],[Sentido]]="URUGUAI para BRASIL",DataTable[[#This Row],[Valor]]&gt;350),1,0)</f>
        <v>0</v>
      </c>
      <c r="AA314" s="3">
        <f>IF(DataTable[[#This Row],[Valor]]&gt;1,0,0)</f>
        <v>0</v>
      </c>
    </row>
    <row r="315" spans="1:27" x14ac:dyDescent="0.25">
      <c r="A315" s="2" t="s">
        <v>21</v>
      </c>
      <c r="B315" s="2">
        <v>363</v>
      </c>
      <c r="C315" s="3">
        <f t="shared" si="75"/>
        <v>88.613460629921263</v>
      </c>
      <c r="D315" s="3">
        <f t="shared" si="76"/>
        <v>93.613460629921263</v>
      </c>
      <c r="E315" s="3">
        <f t="shared" si="77"/>
        <v>91.113460629921263</v>
      </c>
      <c r="F315" s="3">
        <f t="shared" si="78"/>
        <v>31.439999999999998</v>
      </c>
      <c r="G315" s="3">
        <f t="shared" si="79"/>
        <v>92.4</v>
      </c>
      <c r="H315" s="3">
        <f t="shared" si="80"/>
        <v>92.4</v>
      </c>
      <c r="I315" s="3"/>
      <c r="J315" s="3">
        <f t="shared" si="81"/>
        <v>89.631160629921254</v>
      </c>
      <c r="K315" s="3">
        <f t="shared" si="82"/>
        <v>93.613460629921263</v>
      </c>
      <c r="L315" s="34">
        <f t="shared" si="83"/>
        <v>91.113460629921263</v>
      </c>
      <c r="M315" s="3">
        <f t="shared" si="84"/>
        <v>-23.56</v>
      </c>
      <c r="N315" s="3">
        <f t="shared" si="85"/>
        <v>140.96</v>
      </c>
      <c r="O315" s="3"/>
      <c r="P315" s="3">
        <f t="shared" si="86"/>
        <v>115.07609448818899</v>
      </c>
      <c r="Q315" s="3">
        <f t="shared" si="87"/>
        <v>143.16912125984251</v>
      </c>
      <c r="R315" s="3">
        <f>vd(DataTable[[#This Row],[Sentido]],DataTable[[#This Row],[Valor]])</f>
        <v>127.551968503937</v>
      </c>
      <c r="S315" s="3">
        <f>IF(DataTable[[#This Row],[Valor]]&gt;1,1,1)</f>
        <v>1</v>
      </c>
      <c r="T315" s="3">
        <f>IF(DataTable[[#This Row],[Valor]]&gt;1,1,1)</f>
        <v>1</v>
      </c>
      <c r="U315" s="3">
        <f>angr(DataTable[[#This Row],[Sentido]],DataTable[[#This Row],[Valor]])</f>
        <v>31.942519685039375</v>
      </c>
      <c r="V315" s="3">
        <f>ANGI(DataTable[[#This Row],[Sentido]],DataTable[[#This Row],[Valor]])</f>
        <v>34.800787401574809</v>
      </c>
      <c r="W315" s="3">
        <f t="shared" si="88"/>
        <v>3</v>
      </c>
      <c r="X315" s="3">
        <f>IF(DataTable[[#This Row],[Valor]]&gt;1,1,1)</f>
        <v>1</v>
      </c>
      <c r="Y315" s="3">
        <f t="shared" si="89"/>
        <v>3</v>
      </c>
      <c r="Z315" s="3">
        <f>IF(AND(DataTable[[#This Row],[Sentido]]="URUGUAI para BRASIL",DataTable[[#This Row],[Valor]]&gt;350),1,0)</f>
        <v>0</v>
      </c>
      <c r="AA315" s="3">
        <f>IF(DataTable[[#This Row],[Valor]]&gt;1,0,0)</f>
        <v>0</v>
      </c>
    </row>
    <row r="316" spans="1:27" x14ac:dyDescent="0.25">
      <c r="A316" s="2" t="s">
        <v>21</v>
      </c>
      <c r="B316" s="2">
        <v>364</v>
      </c>
      <c r="C316" s="3">
        <f t="shared" si="75"/>
        <v>88.685685039370071</v>
      </c>
      <c r="D316" s="3">
        <f t="shared" si="76"/>
        <v>93.685685039370071</v>
      </c>
      <c r="E316" s="3">
        <f t="shared" si="77"/>
        <v>91.185685039370071</v>
      </c>
      <c r="F316" s="3">
        <f t="shared" si="78"/>
        <v>31.32</v>
      </c>
      <c r="G316" s="3">
        <f t="shared" si="79"/>
        <v>92.2</v>
      </c>
      <c r="H316" s="3">
        <f t="shared" si="80"/>
        <v>92.2</v>
      </c>
      <c r="I316" s="3"/>
      <c r="J316" s="3">
        <f t="shared" si="81"/>
        <v>89.703385039370076</v>
      </c>
      <c r="K316" s="3">
        <f t="shared" si="82"/>
        <v>93.685685039370071</v>
      </c>
      <c r="L316" s="34">
        <f t="shared" si="83"/>
        <v>91.185685039370071</v>
      </c>
      <c r="M316" s="3">
        <f t="shared" si="84"/>
        <v>-23.68</v>
      </c>
      <c r="N316" s="3">
        <f t="shared" si="85"/>
        <v>140.88</v>
      </c>
      <c r="O316" s="3"/>
      <c r="P316" s="3">
        <f t="shared" si="86"/>
        <v>115.3287559055118</v>
      </c>
      <c r="Q316" s="3">
        <f t="shared" si="87"/>
        <v>143.27457007874017</v>
      </c>
      <c r="R316" s="3">
        <f>vd(DataTable[[#This Row],[Sentido]],DataTable[[#This Row],[Valor]])</f>
        <v>127.81574803149606</v>
      </c>
      <c r="S316" s="3">
        <f>IF(DataTable[[#This Row],[Valor]]&gt;1,1,1)</f>
        <v>1</v>
      </c>
      <c r="T316" s="3">
        <f>IF(DataTable[[#This Row],[Valor]]&gt;1,1,1)</f>
        <v>1</v>
      </c>
      <c r="U316" s="3">
        <f>angr(DataTable[[#This Row],[Sentido]],DataTable[[#This Row],[Valor]])</f>
        <v>31.840157480314968</v>
      </c>
      <c r="V316" s="3">
        <f>ANGI(DataTable[[#This Row],[Sentido]],DataTable[[#This Row],[Valor]])</f>
        <v>34.706299212598431</v>
      </c>
      <c r="W316" s="3">
        <f t="shared" si="88"/>
        <v>3</v>
      </c>
      <c r="X316" s="3">
        <f>IF(DataTable[[#This Row],[Valor]]&gt;1,1,1)</f>
        <v>1</v>
      </c>
      <c r="Y316" s="3">
        <f t="shared" si="89"/>
        <v>3</v>
      </c>
      <c r="Z316" s="3">
        <f>IF(AND(DataTable[[#This Row],[Sentido]]="URUGUAI para BRASIL",DataTable[[#This Row],[Valor]]&gt;350),1,0)</f>
        <v>0</v>
      </c>
      <c r="AA316" s="3">
        <f>IF(DataTable[[#This Row],[Valor]]&gt;1,0,0)</f>
        <v>0</v>
      </c>
    </row>
    <row r="317" spans="1:27" x14ac:dyDescent="0.25">
      <c r="A317" s="2" t="s">
        <v>21</v>
      </c>
      <c r="B317" s="2">
        <v>365</v>
      </c>
      <c r="C317" s="3">
        <f t="shared" si="75"/>
        <v>88.757909448818907</v>
      </c>
      <c r="D317" s="3">
        <f t="shared" si="76"/>
        <v>93.757909448818907</v>
      </c>
      <c r="E317" s="3">
        <f t="shared" si="77"/>
        <v>91.257909448818907</v>
      </c>
      <c r="F317" s="3">
        <f t="shared" si="78"/>
        <v>31.200000000000003</v>
      </c>
      <c r="G317" s="3">
        <f t="shared" si="79"/>
        <v>92</v>
      </c>
      <c r="H317" s="3">
        <f t="shared" si="80"/>
        <v>92</v>
      </c>
      <c r="I317" s="3"/>
      <c r="J317" s="3">
        <f t="shared" si="81"/>
        <v>89.775609448818898</v>
      </c>
      <c r="K317" s="3">
        <f t="shared" si="82"/>
        <v>93.757909448818907</v>
      </c>
      <c r="L317" s="34">
        <f t="shared" si="83"/>
        <v>91.257909448818907</v>
      </c>
      <c r="M317" s="3">
        <f t="shared" si="84"/>
        <v>-23.8</v>
      </c>
      <c r="N317" s="3">
        <f t="shared" si="85"/>
        <v>140.80000000000001</v>
      </c>
      <c r="O317" s="3"/>
      <c r="P317" s="3">
        <f t="shared" si="86"/>
        <v>115.58141732283465</v>
      </c>
      <c r="Q317" s="3">
        <f t="shared" si="87"/>
        <v>143.3800188976378</v>
      </c>
      <c r="R317" s="3">
        <f>vd(DataTable[[#This Row],[Sentido]],DataTable[[#This Row],[Valor]])</f>
        <v>128.07952755905512</v>
      </c>
      <c r="S317" s="3">
        <f>IF(DataTable[[#This Row],[Valor]]&gt;1,1,1)</f>
        <v>1</v>
      </c>
      <c r="T317" s="3">
        <f>IF(DataTable[[#This Row],[Valor]]&gt;1,1,1)</f>
        <v>1</v>
      </c>
      <c r="U317" s="3">
        <f>angr(DataTable[[#This Row],[Sentido]],DataTable[[#This Row],[Valor]])</f>
        <v>31.73779527559055</v>
      </c>
      <c r="V317" s="3">
        <f>ANGI(DataTable[[#This Row],[Sentido]],DataTable[[#This Row],[Valor]])</f>
        <v>34.611811023622046</v>
      </c>
      <c r="W317" s="3">
        <f t="shared" si="88"/>
        <v>3</v>
      </c>
      <c r="X317" s="3">
        <f>IF(DataTable[[#This Row],[Valor]]&gt;1,1,1)</f>
        <v>1</v>
      </c>
      <c r="Y317" s="3">
        <f t="shared" si="89"/>
        <v>3</v>
      </c>
      <c r="Z317" s="3">
        <f>IF(AND(DataTable[[#This Row],[Sentido]]="URUGUAI para BRASIL",DataTable[[#This Row],[Valor]]&gt;350),1,0)</f>
        <v>0</v>
      </c>
      <c r="AA317" s="3">
        <f>IF(DataTable[[#This Row],[Valor]]&gt;1,0,0)</f>
        <v>0</v>
      </c>
    </row>
    <row r="318" spans="1:27" x14ac:dyDescent="0.25">
      <c r="A318" s="2" t="s">
        <v>21</v>
      </c>
      <c r="B318" s="2">
        <v>366</v>
      </c>
      <c r="C318" s="3">
        <f t="shared" si="75"/>
        <v>88.830133858267715</v>
      </c>
      <c r="D318" s="3">
        <f t="shared" si="76"/>
        <v>93.830133858267715</v>
      </c>
      <c r="E318" s="3">
        <f t="shared" si="77"/>
        <v>91.330133858267715</v>
      </c>
      <c r="F318" s="3">
        <f t="shared" si="78"/>
        <v>31.08</v>
      </c>
      <c r="G318" s="3">
        <f t="shared" si="79"/>
        <v>91.8</v>
      </c>
      <c r="H318" s="3">
        <f t="shared" si="80"/>
        <v>91.8</v>
      </c>
      <c r="I318" s="3"/>
      <c r="J318" s="3">
        <f t="shared" si="81"/>
        <v>89.84783385826772</v>
      </c>
      <c r="K318" s="3">
        <f t="shared" si="82"/>
        <v>93.830133858267715</v>
      </c>
      <c r="L318" s="34">
        <f t="shared" si="83"/>
        <v>91.330133858267715</v>
      </c>
      <c r="M318" s="3">
        <f t="shared" si="84"/>
        <v>-23.919999999999998</v>
      </c>
      <c r="N318" s="3">
        <f t="shared" si="85"/>
        <v>140.72</v>
      </c>
      <c r="O318" s="3"/>
      <c r="P318" s="3">
        <f t="shared" si="86"/>
        <v>115.83407874015749</v>
      </c>
      <c r="Q318" s="3">
        <f t="shared" si="87"/>
        <v>143.48546771653542</v>
      </c>
      <c r="R318" s="3">
        <f>vd(DataTable[[#This Row],[Sentido]],DataTable[[#This Row],[Valor]])</f>
        <v>128.34330708661417</v>
      </c>
      <c r="S318" s="3">
        <f>IF(DataTable[[#This Row],[Valor]]&gt;1,1,1)</f>
        <v>1</v>
      </c>
      <c r="T318" s="3">
        <f>IF(DataTable[[#This Row],[Valor]]&gt;1,1,1)</f>
        <v>1</v>
      </c>
      <c r="U318" s="3">
        <f>angr(DataTable[[#This Row],[Sentido]],DataTable[[#This Row],[Valor]])</f>
        <v>31.635433070866142</v>
      </c>
      <c r="V318" s="3">
        <f>ANGI(DataTable[[#This Row],[Sentido]],DataTable[[#This Row],[Valor]])</f>
        <v>34.517322834645668</v>
      </c>
      <c r="W318" s="3">
        <f t="shared" si="88"/>
        <v>3</v>
      </c>
      <c r="X318" s="3">
        <f>IF(DataTable[[#This Row],[Valor]]&gt;1,1,1)</f>
        <v>1</v>
      </c>
      <c r="Y318" s="3">
        <f t="shared" si="89"/>
        <v>3</v>
      </c>
      <c r="Z318" s="3">
        <f>IF(AND(DataTable[[#This Row],[Sentido]]="URUGUAI para BRASIL",DataTable[[#This Row],[Valor]]&gt;350),1,0)</f>
        <v>0</v>
      </c>
      <c r="AA318" s="3">
        <f>IF(DataTable[[#This Row],[Valor]]&gt;1,0,0)</f>
        <v>0</v>
      </c>
    </row>
    <row r="319" spans="1:27" x14ac:dyDescent="0.25">
      <c r="A319" s="2" t="s">
        <v>21</v>
      </c>
      <c r="B319" s="2">
        <v>367</v>
      </c>
      <c r="C319" s="3">
        <f t="shared" si="75"/>
        <v>88.902358267716536</v>
      </c>
      <c r="D319" s="3">
        <f t="shared" si="76"/>
        <v>93.902358267716536</v>
      </c>
      <c r="E319" s="3">
        <f t="shared" si="77"/>
        <v>91.402358267716536</v>
      </c>
      <c r="F319" s="3">
        <f t="shared" si="78"/>
        <v>30.96</v>
      </c>
      <c r="G319" s="3">
        <f t="shared" si="79"/>
        <v>91.6</v>
      </c>
      <c r="H319" s="3">
        <f t="shared" si="80"/>
        <v>91.6</v>
      </c>
      <c r="I319" s="3"/>
      <c r="J319" s="3">
        <f t="shared" si="81"/>
        <v>89.920058267716541</v>
      </c>
      <c r="K319" s="3">
        <f t="shared" si="82"/>
        <v>93.902358267716536</v>
      </c>
      <c r="L319" s="34">
        <f t="shared" si="83"/>
        <v>91.402358267716536</v>
      </c>
      <c r="M319" s="3">
        <f t="shared" si="84"/>
        <v>-24.04</v>
      </c>
      <c r="N319" s="3">
        <f t="shared" si="85"/>
        <v>140.63999999999999</v>
      </c>
      <c r="O319" s="3"/>
      <c r="P319" s="3">
        <f t="shared" si="86"/>
        <v>116.08674015748031</v>
      </c>
      <c r="Q319" s="3">
        <f t="shared" si="87"/>
        <v>143.59091653543308</v>
      </c>
      <c r="R319" s="3">
        <f>vd(DataTable[[#This Row],[Sentido]],DataTable[[#This Row],[Valor]])</f>
        <v>128.60708661417323</v>
      </c>
      <c r="S319" s="3">
        <f>IF(DataTable[[#This Row],[Valor]]&gt;1,1,1)</f>
        <v>1</v>
      </c>
      <c r="T319" s="3">
        <f>IF(DataTable[[#This Row],[Valor]]&gt;1,1,1)</f>
        <v>1</v>
      </c>
      <c r="U319" s="3">
        <f>angr(DataTable[[#This Row],[Sentido]],DataTable[[#This Row],[Valor]])</f>
        <v>31.533070866141735</v>
      </c>
      <c r="V319" s="3">
        <f>ANGI(DataTable[[#This Row],[Sentido]],DataTable[[#This Row],[Valor]])</f>
        <v>34.42283464566929</v>
      </c>
      <c r="W319" s="3">
        <f t="shared" si="88"/>
        <v>3</v>
      </c>
      <c r="X319" s="3">
        <f>IF(DataTable[[#This Row],[Valor]]&gt;1,1,1)</f>
        <v>1</v>
      </c>
      <c r="Y319" s="3">
        <f t="shared" si="89"/>
        <v>3</v>
      </c>
      <c r="Z319" s="3">
        <f>IF(AND(DataTable[[#This Row],[Sentido]]="URUGUAI para BRASIL",DataTable[[#This Row],[Valor]]&gt;350),1,0)</f>
        <v>0</v>
      </c>
      <c r="AA319" s="3">
        <f>IF(DataTable[[#This Row],[Valor]]&gt;1,0,0)</f>
        <v>0</v>
      </c>
    </row>
    <row r="320" spans="1:27" x14ac:dyDescent="0.25">
      <c r="A320" s="2" t="s">
        <v>21</v>
      </c>
      <c r="B320" s="2">
        <v>368</v>
      </c>
      <c r="C320" s="3">
        <f t="shared" si="75"/>
        <v>88.974582677165358</v>
      </c>
      <c r="D320" s="3">
        <f t="shared" si="76"/>
        <v>93.974582677165358</v>
      </c>
      <c r="E320" s="3">
        <f t="shared" si="77"/>
        <v>91.474582677165358</v>
      </c>
      <c r="F320" s="3">
        <f t="shared" si="78"/>
        <v>30.840000000000003</v>
      </c>
      <c r="G320" s="3">
        <f t="shared" si="79"/>
        <v>91.4</v>
      </c>
      <c r="H320" s="3">
        <f t="shared" si="80"/>
        <v>91.4</v>
      </c>
      <c r="I320" s="3"/>
      <c r="J320" s="3">
        <f t="shared" si="81"/>
        <v>89.992282677165349</v>
      </c>
      <c r="K320" s="3">
        <f t="shared" si="82"/>
        <v>93.974582677165358</v>
      </c>
      <c r="L320" s="34">
        <f t="shared" si="83"/>
        <v>91.474582677165358</v>
      </c>
      <c r="M320" s="3">
        <f t="shared" si="84"/>
        <v>-24.16</v>
      </c>
      <c r="N320" s="3">
        <f t="shared" si="85"/>
        <v>140.56</v>
      </c>
      <c r="O320" s="3"/>
      <c r="P320" s="3">
        <f t="shared" si="86"/>
        <v>116.33940157480315</v>
      </c>
      <c r="Q320" s="3">
        <f t="shared" si="87"/>
        <v>143.69636535433071</v>
      </c>
      <c r="R320" s="3">
        <f>vd(DataTable[[#This Row],[Sentido]],DataTable[[#This Row],[Valor]])</f>
        <v>128.87086614173228</v>
      </c>
      <c r="S320" s="3">
        <f>IF(DataTable[[#This Row],[Valor]]&gt;1,1,1)</f>
        <v>1</v>
      </c>
      <c r="T320" s="3">
        <f>IF(DataTable[[#This Row],[Valor]]&gt;1,1,1)</f>
        <v>1</v>
      </c>
      <c r="U320" s="3">
        <f>angr(DataTable[[#This Row],[Sentido]],DataTable[[#This Row],[Valor]])</f>
        <v>31.430708661417327</v>
      </c>
      <c r="V320" s="3">
        <f>ANGI(DataTable[[#This Row],[Sentido]],DataTable[[#This Row],[Valor]])</f>
        <v>34.328346456692913</v>
      </c>
      <c r="W320" s="3">
        <f t="shared" si="88"/>
        <v>3</v>
      </c>
      <c r="X320" s="3">
        <f>IF(DataTable[[#This Row],[Valor]]&gt;1,1,1)</f>
        <v>1</v>
      </c>
      <c r="Y320" s="3">
        <f t="shared" si="89"/>
        <v>3</v>
      </c>
      <c r="Z320" s="3">
        <f>IF(AND(DataTable[[#This Row],[Sentido]]="URUGUAI para BRASIL",DataTable[[#This Row],[Valor]]&gt;350),1,0)</f>
        <v>0</v>
      </c>
      <c r="AA320" s="3">
        <f>IF(DataTable[[#This Row],[Valor]]&gt;1,0,0)</f>
        <v>0</v>
      </c>
    </row>
    <row r="321" spans="1:27" x14ac:dyDescent="0.25">
      <c r="A321" s="2" t="s">
        <v>21</v>
      </c>
      <c r="B321" s="2">
        <v>369</v>
      </c>
      <c r="C321" s="3">
        <f t="shared" si="75"/>
        <v>89.04680708661418</v>
      </c>
      <c r="D321" s="3">
        <f t="shared" si="76"/>
        <v>94.04680708661418</v>
      </c>
      <c r="E321" s="3">
        <f t="shared" si="77"/>
        <v>91.54680708661418</v>
      </c>
      <c r="F321" s="3">
        <f t="shared" si="78"/>
        <v>30.72</v>
      </c>
      <c r="G321" s="3">
        <f t="shared" si="79"/>
        <v>91.2</v>
      </c>
      <c r="H321" s="3">
        <f t="shared" si="80"/>
        <v>91.2</v>
      </c>
      <c r="I321" s="3"/>
      <c r="J321" s="3">
        <f t="shared" si="81"/>
        <v>90.064507086614171</v>
      </c>
      <c r="K321" s="3">
        <f t="shared" si="82"/>
        <v>94.04680708661418</v>
      </c>
      <c r="L321" s="34">
        <f t="shared" si="83"/>
        <v>91.54680708661418</v>
      </c>
      <c r="M321" s="3">
        <f t="shared" si="84"/>
        <v>-24.28</v>
      </c>
      <c r="N321" s="3">
        <f t="shared" si="85"/>
        <v>140.47999999999999</v>
      </c>
      <c r="O321" s="3"/>
      <c r="P321" s="3">
        <f t="shared" si="86"/>
        <v>116.59206299212599</v>
      </c>
      <c r="Q321" s="3">
        <f t="shared" si="87"/>
        <v>143.80181417322837</v>
      </c>
      <c r="R321" s="3">
        <f>vd(DataTable[[#This Row],[Sentido]],DataTable[[#This Row],[Valor]])</f>
        <v>129.13464566929133</v>
      </c>
      <c r="S321" s="3">
        <f>IF(DataTable[[#This Row],[Valor]]&gt;1,1,1)</f>
        <v>1</v>
      </c>
      <c r="T321" s="3">
        <f>IF(DataTable[[#This Row],[Valor]]&gt;1,1,1)</f>
        <v>1</v>
      </c>
      <c r="U321" s="3">
        <f>angr(DataTable[[#This Row],[Sentido]],DataTable[[#This Row],[Valor]])</f>
        <v>31.328346456692916</v>
      </c>
      <c r="V321" s="3">
        <f>ANGI(DataTable[[#This Row],[Sentido]],DataTable[[#This Row],[Valor]])</f>
        <v>34.233858267716535</v>
      </c>
      <c r="W321" s="3">
        <f t="shared" si="88"/>
        <v>3</v>
      </c>
      <c r="X321" s="3">
        <f>IF(DataTable[[#This Row],[Valor]]&gt;1,1,1)</f>
        <v>1</v>
      </c>
      <c r="Y321" s="3">
        <f t="shared" si="89"/>
        <v>3</v>
      </c>
      <c r="Z321" s="3">
        <f>IF(AND(DataTable[[#This Row],[Sentido]]="URUGUAI para BRASIL",DataTable[[#This Row],[Valor]]&gt;350),1,0)</f>
        <v>0</v>
      </c>
      <c r="AA321" s="3">
        <f>IF(DataTable[[#This Row],[Valor]]&gt;1,0,0)</f>
        <v>0</v>
      </c>
    </row>
    <row r="322" spans="1:27" x14ac:dyDescent="0.25">
      <c r="A322" s="2" t="s">
        <v>21</v>
      </c>
      <c r="B322" s="2">
        <v>370</v>
      </c>
      <c r="C322" s="3">
        <f t="shared" si="75"/>
        <v>89.119031496062988</v>
      </c>
      <c r="D322" s="3">
        <f t="shared" si="76"/>
        <v>94.119031496062988</v>
      </c>
      <c r="E322" s="3">
        <f t="shared" si="77"/>
        <v>91.619031496062988</v>
      </c>
      <c r="F322" s="3">
        <f t="shared" si="78"/>
        <v>30.6</v>
      </c>
      <c r="G322" s="3">
        <f t="shared" si="79"/>
        <v>91</v>
      </c>
      <c r="H322" s="3">
        <f t="shared" si="80"/>
        <v>91</v>
      </c>
      <c r="I322" s="3"/>
      <c r="J322" s="3">
        <f t="shared" si="81"/>
        <v>90.136731496062993</v>
      </c>
      <c r="K322" s="3">
        <f t="shared" si="82"/>
        <v>94.119031496062988</v>
      </c>
      <c r="L322" s="34">
        <f t="shared" si="83"/>
        <v>91.619031496062988</v>
      </c>
      <c r="M322" s="3">
        <f t="shared" si="84"/>
        <v>-24.4</v>
      </c>
      <c r="N322" s="3">
        <f t="shared" si="85"/>
        <v>140.4</v>
      </c>
      <c r="O322" s="3"/>
      <c r="P322" s="3">
        <f t="shared" si="86"/>
        <v>116.8447244094488</v>
      </c>
      <c r="Q322" s="3">
        <f t="shared" si="87"/>
        <v>143.90726299212599</v>
      </c>
      <c r="R322" s="3">
        <f>vd(DataTable[[#This Row],[Sentido]],DataTable[[#This Row],[Valor]])</f>
        <v>129.39842519685038</v>
      </c>
      <c r="S322" s="3">
        <f>IF(DataTable[[#This Row],[Valor]]&gt;1,1,1)</f>
        <v>1</v>
      </c>
      <c r="T322" s="3">
        <f>IF(DataTable[[#This Row],[Valor]]&gt;1,1,1)</f>
        <v>1</v>
      </c>
      <c r="U322" s="3">
        <f>angr(DataTable[[#This Row],[Sentido]],DataTable[[#This Row],[Valor]])</f>
        <v>31.225984251968509</v>
      </c>
      <c r="V322" s="3">
        <f>ANGI(DataTable[[#This Row],[Sentido]],DataTable[[#This Row],[Valor]])</f>
        <v>34.139370078740157</v>
      </c>
      <c r="W322" s="3">
        <f t="shared" si="88"/>
        <v>3</v>
      </c>
      <c r="X322" s="3">
        <f>IF(DataTable[[#This Row],[Valor]]&gt;1,1,1)</f>
        <v>1</v>
      </c>
      <c r="Y322" s="3">
        <f t="shared" si="89"/>
        <v>3</v>
      </c>
      <c r="Z322" s="3">
        <f>IF(AND(DataTable[[#This Row],[Sentido]]="URUGUAI para BRASIL",DataTable[[#This Row],[Valor]]&gt;350),1,0)</f>
        <v>0</v>
      </c>
      <c r="AA322" s="3">
        <f>IF(DataTable[[#This Row],[Valor]]&gt;1,0,0)</f>
        <v>0</v>
      </c>
    </row>
    <row r="323" spans="1:27" x14ac:dyDescent="0.25">
      <c r="A323" s="2" t="s">
        <v>21</v>
      </c>
      <c r="B323" s="2">
        <v>371</v>
      </c>
      <c r="C323" s="3">
        <f t="shared" si="75"/>
        <v>89.191255905511809</v>
      </c>
      <c r="D323" s="3">
        <f t="shared" si="76"/>
        <v>94.191255905511809</v>
      </c>
      <c r="E323" s="3">
        <f t="shared" si="77"/>
        <v>91.691255905511809</v>
      </c>
      <c r="F323" s="3">
        <f t="shared" si="78"/>
        <v>30.480000000000004</v>
      </c>
      <c r="G323" s="3">
        <f t="shared" si="79"/>
        <v>90.8</v>
      </c>
      <c r="H323" s="3">
        <f t="shared" si="80"/>
        <v>90.8</v>
      </c>
      <c r="I323" s="3"/>
      <c r="J323" s="3">
        <f t="shared" si="81"/>
        <v>90.208955905511814</v>
      </c>
      <c r="K323" s="3">
        <f t="shared" si="82"/>
        <v>94.191255905511809</v>
      </c>
      <c r="L323" s="34">
        <f t="shared" si="83"/>
        <v>91.691255905511809</v>
      </c>
      <c r="M323" s="3">
        <f t="shared" si="84"/>
        <v>-24.52</v>
      </c>
      <c r="N323" s="3">
        <f t="shared" si="85"/>
        <v>140.32</v>
      </c>
      <c r="O323" s="3"/>
      <c r="P323" s="3">
        <f t="shared" si="86"/>
        <v>117.09738582677167</v>
      </c>
      <c r="Q323" s="3">
        <f t="shared" si="87"/>
        <v>144.01271181102362</v>
      </c>
      <c r="R323" s="3">
        <f>vd(DataTable[[#This Row],[Sentido]],DataTable[[#This Row],[Valor]])</f>
        <v>129.66220472440946</v>
      </c>
      <c r="S323" s="3">
        <f>IF(DataTable[[#This Row],[Valor]]&gt;1,1,1)</f>
        <v>1</v>
      </c>
      <c r="T323" s="3">
        <f>IF(DataTable[[#This Row],[Valor]]&gt;1,1,1)</f>
        <v>1</v>
      </c>
      <c r="U323" s="3">
        <f>angr(DataTable[[#This Row],[Sentido]],DataTable[[#This Row],[Valor]])</f>
        <v>31.123622047244094</v>
      </c>
      <c r="V323" s="3">
        <f>ANGI(DataTable[[#This Row],[Sentido]],DataTable[[#This Row],[Valor]])</f>
        <v>34.044881889763779</v>
      </c>
      <c r="W323" s="3">
        <f t="shared" si="88"/>
        <v>3</v>
      </c>
      <c r="X323" s="3">
        <f>IF(DataTable[[#This Row],[Valor]]&gt;1,1,1)</f>
        <v>1</v>
      </c>
      <c r="Y323" s="3">
        <f t="shared" si="89"/>
        <v>3</v>
      </c>
      <c r="Z323" s="3">
        <f>IF(AND(DataTable[[#This Row],[Sentido]]="URUGUAI para BRASIL",DataTable[[#This Row],[Valor]]&gt;350),1,0)</f>
        <v>0</v>
      </c>
      <c r="AA323" s="3">
        <f>IF(DataTable[[#This Row],[Valor]]&gt;1,0,0)</f>
        <v>0</v>
      </c>
    </row>
    <row r="324" spans="1:27" x14ac:dyDescent="0.25">
      <c r="A324" s="2" t="s">
        <v>21</v>
      </c>
      <c r="B324" s="2">
        <v>372</v>
      </c>
      <c r="C324" s="3">
        <f t="shared" si="75"/>
        <v>89.263480314960631</v>
      </c>
      <c r="D324" s="3">
        <f t="shared" si="76"/>
        <v>94.263480314960631</v>
      </c>
      <c r="E324" s="3">
        <f t="shared" si="77"/>
        <v>91.763480314960631</v>
      </c>
      <c r="F324" s="3">
        <f t="shared" si="78"/>
        <v>30.36</v>
      </c>
      <c r="G324" s="3">
        <f t="shared" si="79"/>
        <v>90.6</v>
      </c>
      <c r="H324" s="3">
        <f t="shared" si="80"/>
        <v>90.6</v>
      </c>
      <c r="I324" s="3"/>
      <c r="J324" s="3">
        <f t="shared" si="81"/>
        <v>90.281180314960636</v>
      </c>
      <c r="K324" s="3">
        <f t="shared" si="82"/>
        <v>94.263480314960631</v>
      </c>
      <c r="L324" s="34">
        <f t="shared" si="83"/>
        <v>91.763480314960631</v>
      </c>
      <c r="M324" s="3">
        <f t="shared" si="84"/>
        <v>-24.64</v>
      </c>
      <c r="N324" s="3">
        <f t="shared" si="85"/>
        <v>140.24</v>
      </c>
      <c r="O324" s="3"/>
      <c r="P324" s="3">
        <f t="shared" si="86"/>
        <v>117.3500472440945</v>
      </c>
      <c r="Q324" s="3">
        <f t="shared" si="87"/>
        <v>144.11816062992128</v>
      </c>
      <c r="R324" s="3">
        <f>vd(DataTable[[#This Row],[Sentido]],DataTable[[#This Row],[Valor]])</f>
        <v>129.92598425196852</v>
      </c>
      <c r="S324" s="3">
        <f>IF(DataTable[[#This Row],[Valor]]&gt;1,1,1)</f>
        <v>1</v>
      </c>
      <c r="T324" s="3">
        <f>IF(DataTable[[#This Row],[Valor]]&gt;1,1,1)</f>
        <v>1</v>
      </c>
      <c r="U324" s="3">
        <f>angr(DataTable[[#This Row],[Sentido]],DataTable[[#This Row],[Valor]])</f>
        <v>31.021259842519683</v>
      </c>
      <c r="V324" s="3">
        <f>ANGI(DataTable[[#This Row],[Sentido]],DataTable[[#This Row],[Valor]])</f>
        <v>33.950393700787401</v>
      </c>
      <c r="W324" s="3">
        <f t="shared" si="88"/>
        <v>3</v>
      </c>
      <c r="X324" s="3">
        <f>IF(DataTable[[#This Row],[Valor]]&gt;1,1,1)</f>
        <v>1</v>
      </c>
      <c r="Y324" s="3">
        <f t="shared" si="89"/>
        <v>3</v>
      </c>
      <c r="Z324" s="3">
        <f>IF(AND(DataTable[[#This Row],[Sentido]]="URUGUAI para BRASIL",DataTable[[#This Row],[Valor]]&gt;350),1,0)</f>
        <v>0</v>
      </c>
      <c r="AA324" s="3">
        <f>IF(DataTable[[#This Row],[Valor]]&gt;1,0,0)</f>
        <v>0</v>
      </c>
    </row>
    <row r="325" spans="1:27" x14ac:dyDescent="0.25">
      <c r="A325" s="2" t="s">
        <v>21</v>
      </c>
      <c r="B325" s="2">
        <v>373</v>
      </c>
      <c r="C325" s="3">
        <f t="shared" ref="C325:C388" si="90">MiniVWVB(A325,B325,E325)</f>
        <v>89.335704724409453</v>
      </c>
      <c r="D325" s="3">
        <f t="shared" ref="D325:D388" si="91">MaxVWV(A325,B325)</f>
        <v>94.335704724409453</v>
      </c>
      <c r="E325" s="3">
        <f t="shared" ref="E325:E388" si="92">RatedVWV(B325)</f>
        <v>91.835704724409453</v>
      </c>
      <c r="F325" s="3">
        <f t="shared" ref="F325:F388" si="93">MinQB(A325,B325)</f>
        <v>30.240000000000002</v>
      </c>
      <c r="G325" s="3">
        <f t="shared" ref="G325:G388" si="94">MaxQB3F(A325,B325)</f>
        <v>90.4</v>
      </c>
      <c r="H325" s="3">
        <f t="shared" ref="H325:H388" si="95">MaxQB4F(A325,B325)</f>
        <v>90.4</v>
      </c>
      <c r="I325" s="3"/>
      <c r="J325" s="3">
        <f t="shared" ref="J325:J388" si="96">MiniVWVU(A325,B325,L325)</f>
        <v>90.353404724409458</v>
      </c>
      <c r="K325" s="3">
        <f t="shared" ref="K325:K388" si="97">MaxVWV(A325,B325)</f>
        <v>94.335704724409453</v>
      </c>
      <c r="L325" s="34">
        <f t="shared" ref="L325:L388" si="98">RatedVWV(B325)</f>
        <v>91.835704724409453</v>
      </c>
      <c r="M325" s="3">
        <f t="shared" ref="M325:M388" si="99">MinQU(A325,B325)</f>
        <v>-24.759999999999998</v>
      </c>
      <c r="N325" s="3">
        <f t="shared" ref="N325:N388" si="100">MaxQU(A325,B325)</f>
        <v>140.16</v>
      </c>
      <c r="O325" s="3"/>
      <c r="P325" s="3">
        <f t="shared" ref="P325:P388" si="101">MiniUpper(A325,B325)</f>
        <v>117.60270866141732</v>
      </c>
      <c r="Q325" s="3">
        <f t="shared" ref="Q325:Q388" si="102">MaxUpper(A325,B325)</f>
        <v>144.22360944881891</v>
      </c>
      <c r="R325" s="3">
        <f>vd(DataTable[[#This Row],[Sentido]],DataTable[[#This Row],[Valor]])</f>
        <v>130.18976377952757</v>
      </c>
      <c r="S325" s="3">
        <f>IF(DataTable[[#This Row],[Valor]]&gt;1,1,1)</f>
        <v>1</v>
      </c>
      <c r="T325" s="3">
        <f>IF(DataTable[[#This Row],[Valor]]&gt;1,1,1)</f>
        <v>1</v>
      </c>
      <c r="U325" s="3">
        <f>angr(DataTable[[#This Row],[Sentido]],DataTable[[#This Row],[Valor]])</f>
        <v>30.918897637795276</v>
      </c>
      <c r="V325" s="3">
        <f>ANGI(DataTable[[#This Row],[Sentido]],DataTable[[#This Row],[Valor]])</f>
        <v>33.855905511811024</v>
      </c>
      <c r="W325" s="3">
        <f t="shared" ref="W325:W388" si="103">IF(A326="URUGUAI para BRASIL",IF(B325&gt;119,IF(B325&gt;240,3,2),1),IF(B325&gt;120,IF(B325&gt;240,3,2),1))</f>
        <v>3</v>
      </c>
      <c r="X325" s="3">
        <f>IF(DataTable[[#This Row],[Valor]]&gt;1,1,1)</f>
        <v>1</v>
      </c>
      <c r="Y325" s="3">
        <f t="shared" ref="Y325:Y388" si="104">IF(A326="URUGUAI para BRASIL",IF(B325&gt;119,IF(B325&gt;240,3,2),1),IF(B325&gt;120,IF(B325&gt;240,3,2),1))</f>
        <v>3</v>
      </c>
      <c r="Z325" s="3">
        <f>IF(AND(DataTable[[#This Row],[Sentido]]="URUGUAI para BRASIL",DataTable[[#This Row],[Valor]]&gt;350),1,0)</f>
        <v>0</v>
      </c>
      <c r="AA325" s="3">
        <f>IF(DataTable[[#This Row],[Valor]]&gt;1,0,0)</f>
        <v>0</v>
      </c>
    </row>
    <row r="326" spans="1:27" x14ac:dyDescent="0.25">
      <c r="A326" s="2" t="s">
        <v>21</v>
      </c>
      <c r="B326" s="2">
        <v>374</v>
      </c>
      <c r="C326" s="3">
        <f t="shared" si="90"/>
        <v>89.407929133858275</v>
      </c>
      <c r="D326" s="3">
        <f t="shared" si="91"/>
        <v>94.407929133858275</v>
      </c>
      <c r="E326" s="3">
        <f t="shared" si="92"/>
        <v>91.907929133858275</v>
      </c>
      <c r="F326" s="3">
        <f t="shared" si="93"/>
        <v>30.119999999999997</v>
      </c>
      <c r="G326" s="3">
        <f t="shared" si="94"/>
        <v>90.2</v>
      </c>
      <c r="H326" s="3">
        <f t="shared" si="95"/>
        <v>90.2</v>
      </c>
      <c r="I326" s="3"/>
      <c r="J326" s="3">
        <f t="shared" si="96"/>
        <v>90.425629133858266</v>
      </c>
      <c r="K326" s="3">
        <f t="shared" si="97"/>
        <v>94.407929133858275</v>
      </c>
      <c r="L326" s="34">
        <f t="shared" si="98"/>
        <v>91.907929133858275</v>
      </c>
      <c r="M326" s="3">
        <f t="shared" si="99"/>
        <v>-24.88</v>
      </c>
      <c r="N326" s="3">
        <f t="shared" si="100"/>
        <v>140.08000000000001</v>
      </c>
      <c r="O326" s="3"/>
      <c r="P326" s="3">
        <f t="shared" si="101"/>
        <v>117.85537007874015</v>
      </c>
      <c r="Q326" s="3">
        <f t="shared" si="102"/>
        <v>144.32905826771653</v>
      </c>
      <c r="R326" s="3">
        <f>vd(DataTable[[#This Row],[Sentido]],DataTable[[#This Row],[Valor]])</f>
        <v>130.45354330708662</v>
      </c>
      <c r="S326" s="3">
        <f>IF(DataTable[[#This Row],[Valor]]&gt;1,1,1)</f>
        <v>1</v>
      </c>
      <c r="T326" s="3">
        <f>IF(DataTable[[#This Row],[Valor]]&gt;1,1,1)</f>
        <v>1</v>
      </c>
      <c r="U326" s="3">
        <f>angr(DataTable[[#This Row],[Sentido]],DataTable[[#This Row],[Valor]])</f>
        <v>30.816535433070868</v>
      </c>
      <c r="V326" s="3">
        <f>ANGI(DataTable[[#This Row],[Sentido]],DataTable[[#This Row],[Valor]])</f>
        <v>33.761417322834646</v>
      </c>
      <c r="W326" s="3">
        <f t="shared" si="103"/>
        <v>3</v>
      </c>
      <c r="X326" s="3">
        <f>IF(DataTable[[#This Row],[Valor]]&gt;1,1,1)</f>
        <v>1</v>
      </c>
      <c r="Y326" s="3">
        <f t="shared" si="104"/>
        <v>3</v>
      </c>
      <c r="Z326" s="3">
        <f>IF(AND(DataTable[[#This Row],[Sentido]]="URUGUAI para BRASIL",DataTable[[#This Row],[Valor]]&gt;350),1,0)</f>
        <v>0</v>
      </c>
      <c r="AA326" s="3">
        <f>IF(DataTable[[#This Row],[Valor]]&gt;1,0,0)</f>
        <v>0</v>
      </c>
    </row>
    <row r="327" spans="1:27" x14ac:dyDescent="0.25">
      <c r="A327" s="2" t="s">
        <v>21</v>
      </c>
      <c r="B327" s="2">
        <v>375</v>
      </c>
      <c r="C327" s="3">
        <f t="shared" si="90"/>
        <v>89.480153543307082</v>
      </c>
      <c r="D327" s="3">
        <f t="shared" si="91"/>
        <v>94.480153543307082</v>
      </c>
      <c r="E327" s="3">
        <f t="shared" si="92"/>
        <v>91.980153543307082</v>
      </c>
      <c r="F327" s="3">
        <f t="shared" si="93"/>
        <v>30</v>
      </c>
      <c r="G327" s="3">
        <f t="shared" si="94"/>
        <v>90</v>
      </c>
      <c r="H327" s="3">
        <f t="shared" si="95"/>
        <v>90</v>
      </c>
      <c r="I327" s="3"/>
      <c r="J327" s="3">
        <f t="shared" si="96"/>
        <v>90.497853543307087</v>
      </c>
      <c r="K327" s="3">
        <f t="shared" si="97"/>
        <v>94.480153543307082</v>
      </c>
      <c r="L327" s="34">
        <f t="shared" si="98"/>
        <v>91.980153543307082</v>
      </c>
      <c r="M327" s="3">
        <f t="shared" si="99"/>
        <v>-25</v>
      </c>
      <c r="N327" s="3">
        <f t="shared" si="100"/>
        <v>140</v>
      </c>
      <c r="O327" s="3"/>
      <c r="P327" s="3">
        <f t="shared" si="101"/>
        <v>118.10803149606299</v>
      </c>
      <c r="Q327" s="3">
        <f t="shared" si="102"/>
        <v>144.43450708661416</v>
      </c>
      <c r="R327" s="3">
        <f>vd(DataTable[[#This Row],[Sentido]],DataTable[[#This Row],[Valor]])</f>
        <v>130.71732283464567</v>
      </c>
      <c r="S327" s="3">
        <f>IF(DataTable[[#This Row],[Valor]]&gt;1,1,1)</f>
        <v>1</v>
      </c>
      <c r="T327" s="3">
        <f>IF(DataTable[[#This Row],[Valor]]&gt;1,1,1)</f>
        <v>1</v>
      </c>
      <c r="U327" s="3">
        <f>angr(DataTable[[#This Row],[Sentido]],DataTable[[#This Row],[Valor]])</f>
        <v>30.714173228346461</v>
      </c>
      <c r="V327" s="3">
        <f>ANGI(DataTable[[#This Row],[Sentido]],DataTable[[#This Row],[Valor]])</f>
        <v>33.666929133858268</v>
      </c>
      <c r="W327" s="3">
        <f t="shared" si="103"/>
        <v>3</v>
      </c>
      <c r="X327" s="3">
        <f>IF(DataTable[[#This Row],[Valor]]&gt;1,1,1)</f>
        <v>1</v>
      </c>
      <c r="Y327" s="3">
        <f t="shared" si="104"/>
        <v>3</v>
      </c>
      <c r="Z327" s="3">
        <f>IF(AND(DataTable[[#This Row],[Sentido]]="URUGUAI para BRASIL",DataTable[[#This Row],[Valor]]&gt;350),1,0)</f>
        <v>0</v>
      </c>
      <c r="AA327" s="3">
        <f>IF(DataTable[[#This Row],[Valor]]&gt;1,0,0)</f>
        <v>0</v>
      </c>
    </row>
    <row r="328" spans="1:27" x14ac:dyDescent="0.25">
      <c r="A328" s="2" t="s">
        <v>21</v>
      </c>
      <c r="B328" s="2">
        <v>376</v>
      </c>
      <c r="C328" s="3">
        <f t="shared" si="90"/>
        <v>89.552377952755904</v>
      </c>
      <c r="D328" s="3">
        <f t="shared" si="91"/>
        <v>94.552377952755904</v>
      </c>
      <c r="E328" s="3">
        <f t="shared" si="92"/>
        <v>92.052377952755904</v>
      </c>
      <c r="F328" s="3">
        <f t="shared" si="93"/>
        <v>29.880000000000003</v>
      </c>
      <c r="G328" s="3">
        <f t="shared" si="94"/>
        <v>89.8</v>
      </c>
      <c r="H328" s="3">
        <f t="shared" si="95"/>
        <v>89.8</v>
      </c>
      <c r="I328" s="3"/>
      <c r="J328" s="3">
        <f t="shared" si="96"/>
        <v>90.570077952755909</v>
      </c>
      <c r="K328" s="3">
        <f t="shared" si="97"/>
        <v>94.552377952755904</v>
      </c>
      <c r="L328" s="34">
        <f t="shared" si="98"/>
        <v>92.052377952755904</v>
      </c>
      <c r="M328" s="3">
        <f t="shared" si="99"/>
        <v>-25.12</v>
      </c>
      <c r="N328" s="3">
        <f t="shared" si="100"/>
        <v>139.91999999999999</v>
      </c>
      <c r="O328" s="3"/>
      <c r="P328" s="3">
        <f t="shared" si="101"/>
        <v>118.36069291338583</v>
      </c>
      <c r="Q328" s="3">
        <f t="shared" si="102"/>
        <v>144.53995590551182</v>
      </c>
      <c r="R328" s="3">
        <f>vd(DataTable[[#This Row],[Sentido]],DataTable[[#This Row],[Valor]])</f>
        <v>130.98110236220472</v>
      </c>
      <c r="S328" s="3">
        <f>IF(DataTable[[#This Row],[Valor]]&gt;1,1,1)</f>
        <v>1</v>
      </c>
      <c r="T328" s="3">
        <f>IF(DataTable[[#This Row],[Valor]]&gt;1,1,1)</f>
        <v>1</v>
      </c>
      <c r="U328" s="3">
        <f>angr(DataTable[[#This Row],[Sentido]],DataTable[[#This Row],[Valor]])</f>
        <v>30.61181102362205</v>
      </c>
      <c r="V328" s="3">
        <f>ANGI(DataTable[[#This Row],[Sentido]],DataTable[[#This Row],[Valor]])</f>
        <v>33.57244094488189</v>
      </c>
      <c r="W328" s="3">
        <f t="shared" si="103"/>
        <v>3</v>
      </c>
      <c r="X328" s="3">
        <f>IF(DataTable[[#This Row],[Valor]]&gt;1,1,1)</f>
        <v>1</v>
      </c>
      <c r="Y328" s="3">
        <f t="shared" si="104"/>
        <v>3</v>
      </c>
      <c r="Z328" s="3">
        <f>IF(AND(DataTable[[#This Row],[Sentido]]="URUGUAI para BRASIL",DataTable[[#This Row],[Valor]]&gt;350),1,0)</f>
        <v>0</v>
      </c>
      <c r="AA328" s="3">
        <f>IF(DataTable[[#This Row],[Valor]]&gt;1,0,0)</f>
        <v>0</v>
      </c>
    </row>
    <row r="329" spans="1:27" x14ac:dyDescent="0.25">
      <c r="A329" s="2" t="s">
        <v>21</v>
      </c>
      <c r="B329" s="2">
        <v>377</v>
      </c>
      <c r="C329" s="3">
        <f t="shared" si="90"/>
        <v>89.624602362204726</v>
      </c>
      <c r="D329" s="3">
        <f t="shared" si="91"/>
        <v>94.624602362204726</v>
      </c>
      <c r="E329" s="3">
        <f t="shared" si="92"/>
        <v>92.124602362204726</v>
      </c>
      <c r="F329" s="3">
        <f t="shared" si="93"/>
        <v>29.759999999999998</v>
      </c>
      <c r="G329" s="3">
        <f t="shared" si="94"/>
        <v>89.6</v>
      </c>
      <c r="H329" s="3">
        <f t="shared" si="95"/>
        <v>89.6</v>
      </c>
      <c r="I329" s="3"/>
      <c r="J329" s="3">
        <f t="shared" si="96"/>
        <v>90.642302362204717</v>
      </c>
      <c r="K329" s="3">
        <f t="shared" si="97"/>
        <v>94.624602362204726</v>
      </c>
      <c r="L329" s="34">
        <f t="shared" si="98"/>
        <v>92.124602362204726</v>
      </c>
      <c r="M329" s="3">
        <f t="shared" si="99"/>
        <v>-25.24</v>
      </c>
      <c r="N329" s="3">
        <f t="shared" si="100"/>
        <v>139.84</v>
      </c>
      <c r="O329" s="3"/>
      <c r="P329" s="3">
        <f t="shared" si="101"/>
        <v>118.61335433070865</v>
      </c>
      <c r="Q329" s="3">
        <f t="shared" si="102"/>
        <v>144.64540472440945</v>
      </c>
      <c r="R329" s="3">
        <f>vd(DataTable[[#This Row],[Sentido]],DataTable[[#This Row],[Valor]])</f>
        <v>131.24488188976378</v>
      </c>
      <c r="S329" s="3">
        <f>IF(DataTable[[#This Row],[Valor]]&gt;1,1,1)</f>
        <v>1</v>
      </c>
      <c r="T329" s="3">
        <f>IF(DataTable[[#This Row],[Valor]]&gt;1,1,1)</f>
        <v>1</v>
      </c>
      <c r="U329" s="3">
        <f>angr(DataTable[[#This Row],[Sentido]],DataTable[[#This Row],[Valor]])</f>
        <v>30.509448818897642</v>
      </c>
      <c r="V329" s="3">
        <f>ANGI(DataTable[[#This Row],[Sentido]],DataTable[[#This Row],[Valor]])</f>
        <v>33.477952755905513</v>
      </c>
      <c r="W329" s="3">
        <f t="shared" si="103"/>
        <v>3</v>
      </c>
      <c r="X329" s="3">
        <f>IF(DataTable[[#This Row],[Valor]]&gt;1,1,1)</f>
        <v>1</v>
      </c>
      <c r="Y329" s="3">
        <f t="shared" si="104"/>
        <v>3</v>
      </c>
      <c r="Z329" s="3">
        <f>IF(AND(DataTable[[#This Row],[Sentido]]="URUGUAI para BRASIL",DataTable[[#This Row],[Valor]]&gt;350),1,0)</f>
        <v>0</v>
      </c>
      <c r="AA329" s="3">
        <f>IF(DataTable[[#This Row],[Valor]]&gt;1,0,0)</f>
        <v>0</v>
      </c>
    </row>
    <row r="330" spans="1:27" x14ac:dyDescent="0.25">
      <c r="A330" s="2" t="s">
        <v>21</v>
      </c>
      <c r="B330" s="2">
        <v>378</v>
      </c>
      <c r="C330" s="3">
        <f t="shared" si="90"/>
        <v>89.696826771653548</v>
      </c>
      <c r="D330" s="3">
        <f t="shared" si="91"/>
        <v>94.696826771653548</v>
      </c>
      <c r="E330" s="3">
        <f t="shared" si="92"/>
        <v>92.196826771653548</v>
      </c>
      <c r="F330" s="3">
        <f t="shared" si="93"/>
        <v>29.64</v>
      </c>
      <c r="G330" s="3">
        <f t="shared" si="94"/>
        <v>89.4</v>
      </c>
      <c r="H330" s="3">
        <f t="shared" si="95"/>
        <v>89.4</v>
      </c>
      <c r="I330" s="3"/>
      <c r="J330" s="3">
        <f t="shared" si="96"/>
        <v>90.714526771653553</v>
      </c>
      <c r="K330" s="3">
        <f t="shared" si="97"/>
        <v>94.696826771653548</v>
      </c>
      <c r="L330" s="34">
        <f t="shared" si="98"/>
        <v>92.196826771653548</v>
      </c>
      <c r="M330" s="3">
        <f t="shared" si="99"/>
        <v>-25.36</v>
      </c>
      <c r="N330" s="3">
        <f t="shared" si="100"/>
        <v>139.76</v>
      </c>
      <c r="O330" s="3"/>
      <c r="P330" s="3">
        <f t="shared" si="101"/>
        <v>118.86601574803151</v>
      </c>
      <c r="Q330" s="3">
        <f t="shared" si="102"/>
        <v>144.75085354330707</v>
      </c>
      <c r="R330" s="3">
        <f>vd(DataTable[[#This Row],[Sentido]],DataTable[[#This Row],[Valor]])</f>
        <v>131.50866141732286</v>
      </c>
      <c r="S330" s="3">
        <f>IF(DataTable[[#This Row],[Valor]]&gt;1,1,1)</f>
        <v>1</v>
      </c>
      <c r="T330" s="3">
        <f>IF(DataTable[[#This Row],[Valor]]&gt;1,1,1)</f>
        <v>1</v>
      </c>
      <c r="U330" s="3">
        <f>angr(DataTable[[#This Row],[Sentido]],DataTable[[#This Row],[Valor]])</f>
        <v>30.407086614173227</v>
      </c>
      <c r="V330" s="3">
        <f>ANGI(DataTable[[#This Row],[Sentido]],DataTable[[#This Row],[Valor]])</f>
        <v>33.383464566929135</v>
      </c>
      <c r="W330" s="3">
        <f t="shared" si="103"/>
        <v>3</v>
      </c>
      <c r="X330" s="3">
        <f>IF(DataTable[[#This Row],[Valor]]&gt;1,1,1)</f>
        <v>1</v>
      </c>
      <c r="Y330" s="3">
        <f t="shared" si="104"/>
        <v>3</v>
      </c>
      <c r="Z330" s="3">
        <f>IF(AND(DataTable[[#This Row],[Sentido]]="URUGUAI para BRASIL",DataTable[[#This Row],[Valor]]&gt;350),1,0)</f>
        <v>0</v>
      </c>
      <c r="AA330" s="3">
        <f>IF(DataTable[[#This Row],[Valor]]&gt;1,0,0)</f>
        <v>0</v>
      </c>
    </row>
    <row r="331" spans="1:27" x14ac:dyDescent="0.25">
      <c r="A331" s="2" t="s">
        <v>21</v>
      </c>
      <c r="B331" s="2">
        <v>379</v>
      </c>
      <c r="C331" s="3">
        <f t="shared" si="90"/>
        <v>89.76905118110237</v>
      </c>
      <c r="D331" s="3">
        <f t="shared" si="91"/>
        <v>94.76905118110237</v>
      </c>
      <c r="E331" s="3">
        <f t="shared" si="92"/>
        <v>92.26905118110237</v>
      </c>
      <c r="F331" s="3">
        <f t="shared" si="93"/>
        <v>29.520000000000003</v>
      </c>
      <c r="G331" s="3">
        <f t="shared" si="94"/>
        <v>89.2</v>
      </c>
      <c r="H331" s="3">
        <f t="shared" si="95"/>
        <v>89.2</v>
      </c>
      <c r="I331" s="3"/>
      <c r="J331" s="3">
        <f t="shared" si="96"/>
        <v>90.78675118110236</v>
      </c>
      <c r="K331" s="3">
        <f t="shared" si="97"/>
        <v>94.76905118110237</v>
      </c>
      <c r="L331" s="34">
        <f t="shared" si="98"/>
        <v>92.26905118110237</v>
      </c>
      <c r="M331" s="3">
        <f t="shared" si="99"/>
        <v>-25.48</v>
      </c>
      <c r="N331" s="3">
        <f t="shared" si="100"/>
        <v>139.68</v>
      </c>
      <c r="O331" s="3"/>
      <c r="P331" s="3">
        <f t="shared" si="101"/>
        <v>119.11867716535434</v>
      </c>
      <c r="Q331" s="3">
        <f t="shared" si="102"/>
        <v>144.85630236220473</v>
      </c>
      <c r="R331" s="3">
        <f>vd(DataTable[[#This Row],[Sentido]],DataTable[[#This Row],[Valor]])</f>
        <v>131.77244094488191</v>
      </c>
      <c r="S331" s="3">
        <f>IF(DataTable[[#This Row],[Valor]]&gt;1,1,1)</f>
        <v>1</v>
      </c>
      <c r="T331" s="3">
        <f>IF(DataTable[[#This Row],[Valor]]&gt;1,1,1)</f>
        <v>1</v>
      </c>
      <c r="U331" s="3">
        <f>angr(DataTable[[#This Row],[Sentido]],DataTable[[#This Row],[Valor]])</f>
        <v>30.304724409448816</v>
      </c>
      <c r="V331" s="3">
        <f>ANGI(DataTable[[#This Row],[Sentido]],DataTable[[#This Row],[Valor]])</f>
        <v>33.288976377952757</v>
      </c>
      <c r="W331" s="3">
        <f t="shared" si="103"/>
        <v>3</v>
      </c>
      <c r="X331" s="3">
        <f>IF(DataTable[[#This Row],[Valor]]&gt;1,1,1)</f>
        <v>1</v>
      </c>
      <c r="Y331" s="3">
        <f t="shared" si="104"/>
        <v>3</v>
      </c>
      <c r="Z331" s="3">
        <f>IF(AND(DataTable[[#This Row],[Sentido]]="URUGUAI para BRASIL",DataTable[[#This Row],[Valor]]&gt;350),1,0)</f>
        <v>0</v>
      </c>
      <c r="AA331" s="3">
        <f>IF(DataTable[[#This Row],[Valor]]&gt;1,0,0)</f>
        <v>0</v>
      </c>
    </row>
    <row r="332" spans="1:27" x14ac:dyDescent="0.25">
      <c r="A332" s="2" t="s">
        <v>21</v>
      </c>
      <c r="B332" s="2">
        <v>380</v>
      </c>
      <c r="C332" s="3">
        <f t="shared" si="90"/>
        <v>89.841275590551177</v>
      </c>
      <c r="D332" s="3">
        <f t="shared" si="91"/>
        <v>94.841275590551177</v>
      </c>
      <c r="E332" s="3">
        <f t="shared" si="92"/>
        <v>92.341275590551177</v>
      </c>
      <c r="F332" s="3">
        <f t="shared" si="93"/>
        <v>29.4</v>
      </c>
      <c r="G332" s="3">
        <f t="shared" si="94"/>
        <v>89</v>
      </c>
      <c r="H332" s="3">
        <f t="shared" si="95"/>
        <v>89</v>
      </c>
      <c r="I332" s="3"/>
      <c r="J332" s="3">
        <f t="shared" si="96"/>
        <v>90.858975590551182</v>
      </c>
      <c r="K332" s="3">
        <f t="shared" si="97"/>
        <v>94.841275590551177</v>
      </c>
      <c r="L332" s="34">
        <f t="shared" si="98"/>
        <v>92.341275590551177</v>
      </c>
      <c r="M332" s="3">
        <f t="shared" si="99"/>
        <v>-25.599999999999998</v>
      </c>
      <c r="N332" s="3">
        <f t="shared" si="100"/>
        <v>139.6</v>
      </c>
      <c r="O332" s="3"/>
      <c r="P332" s="3">
        <f t="shared" si="101"/>
        <v>119.37133858267717</v>
      </c>
      <c r="Q332" s="3">
        <f t="shared" si="102"/>
        <v>144.96175118110236</v>
      </c>
      <c r="R332" s="3">
        <f>vd(DataTable[[#This Row],[Sentido]],DataTable[[#This Row],[Valor]])</f>
        <v>132.03622047244096</v>
      </c>
      <c r="S332" s="3">
        <f>IF(DataTable[[#This Row],[Valor]]&gt;1,1,1)</f>
        <v>1</v>
      </c>
      <c r="T332" s="3">
        <f>IF(DataTable[[#This Row],[Valor]]&gt;1,1,1)</f>
        <v>1</v>
      </c>
      <c r="U332" s="3">
        <f>angr(DataTable[[#This Row],[Sentido]],DataTable[[#This Row],[Valor]])</f>
        <v>30.202362204724409</v>
      </c>
      <c r="V332" s="3">
        <f>ANGI(DataTable[[#This Row],[Sentido]],DataTable[[#This Row],[Valor]])</f>
        <v>33.194488188976379</v>
      </c>
      <c r="W332" s="3">
        <f t="shared" si="103"/>
        <v>3</v>
      </c>
      <c r="X332" s="3">
        <f>IF(DataTable[[#This Row],[Valor]]&gt;1,1,1)</f>
        <v>1</v>
      </c>
      <c r="Y332" s="3">
        <f t="shared" si="104"/>
        <v>3</v>
      </c>
      <c r="Z332" s="3">
        <f>IF(AND(DataTable[[#This Row],[Sentido]]="URUGUAI para BRASIL",DataTable[[#This Row],[Valor]]&gt;350),1,0)</f>
        <v>0</v>
      </c>
      <c r="AA332" s="3">
        <f>IF(DataTable[[#This Row],[Valor]]&gt;1,0,0)</f>
        <v>0</v>
      </c>
    </row>
    <row r="333" spans="1:27" x14ac:dyDescent="0.25">
      <c r="A333" s="2" t="s">
        <v>21</v>
      </c>
      <c r="B333" s="2">
        <v>381</v>
      </c>
      <c r="C333" s="3">
        <f t="shared" si="90"/>
        <v>89.913499999999999</v>
      </c>
      <c r="D333" s="3">
        <f t="shared" si="91"/>
        <v>94.913499999999999</v>
      </c>
      <c r="E333" s="3">
        <f t="shared" si="92"/>
        <v>92.413499999999999</v>
      </c>
      <c r="F333" s="3">
        <f t="shared" si="93"/>
        <v>29.28</v>
      </c>
      <c r="G333" s="3">
        <f t="shared" si="94"/>
        <v>88.8</v>
      </c>
      <c r="H333" s="3">
        <f t="shared" si="95"/>
        <v>88.8</v>
      </c>
      <c r="I333" s="3"/>
      <c r="J333" s="3">
        <f t="shared" si="96"/>
        <v>90.931200000000004</v>
      </c>
      <c r="K333" s="3">
        <f t="shared" si="97"/>
        <v>94.913499999999999</v>
      </c>
      <c r="L333" s="34">
        <f t="shared" si="98"/>
        <v>92.413499999999999</v>
      </c>
      <c r="M333" s="3">
        <f t="shared" si="99"/>
        <v>-25.72</v>
      </c>
      <c r="N333" s="3">
        <f t="shared" si="100"/>
        <v>139.52000000000001</v>
      </c>
      <c r="O333" s="3"/>
      <c r="P333" s="3">
        <f t="shared" si="101"/>
        <v>119.624</v>
      </c>
      <c r="Q333" s="3">
        <f t="shared" si="102"/>
        <v>145.06720000000001</v>
      </c>
      <c r="R333" s="3">
        <f>vd(DataTable[[#This Row],[Sentido]],DataTable[[#This Row],[Valor]])</f>
        <v>132.30000000000001</v>
      </c>
      <c r="S333" s="3">
        <f>IF(DataTable[[#This Row],[Valor]]&gt;1,1,1)</f>
        <v>1</v>
      </c>
      <c r="T333" s="3">
        <f>IF(DataTable[[#This Row],[Valor]]&gt;1,1,1)</f>
        <v>1</v>
      </c>
      <c r="U333" s="3">
        <f>angr(DataTable[[#This Row],[Sentido]],DataTable[[#This Row],[Valor]])</f>
        <v>30.1</v>
      </c>
      <c r="V333" s="3">
        <f>ANGI(DataTable[[#This Row],[Sentido]],DataTable[[#This Row],[Valor]])</f>
        <v>33.1</v>
      </c>
      <c r="W333" s="3">
        <f t="shared" si="103"/>
        <v>3</v>
      </c>
      <c r="X333" s="3">
        <f>IF(DataTable[[#This Row],[Valor]]&gt;1,1,1)</f>
        <v>1</v>
      </c>
      <c r="Y333" s="3">
        <f t="shared" si="104"/>
        <v>3</v>
      </c>
      <c r="Z333" s="3">
        <f>IF(AND(DataTable[[#This Row],[Sentido]]="URUGUAI para BRASIL",DataTable[[#This Row],[Valor]]&gt;350),1,0)</f>
        <v>0</v>
      </c>
      <c r="AA333" s="3">
        <f>IF(DataTable[[#This Row],[Valor]]&gt;1,0,0)</f>
        <v>0</v>
      </c>
    </row>
    <row r="334" spans="1:27" x14ac:dyDescent="0.25">
      <c r="A334" s="2" t="s">
        <v>21</v>
      </c>
      <c r="B334" s="2">
        <v>382</v>
      </c>
      <c r="C334" s="3">
        <f t="shared" si="90"/>
        <v>89.985724409448821</v>
      </c>
      <c r="D334" s="3">
        <f t="shared" si="91"/>
        <v>94.985724409448821</v>
      </c>
      <c r="E334" s="3">
        <f t="shared" si="92"/>
        <v>92.485724409448821</v>
      </c>
      <c r="F334" s="3">
        <f t="shared" si="93"/>
        <v>29.160000000000004</v>
      </c>
      <c r="G334" s="3">
        <f t="shared" si="94"/>
        <v>88.6</v>
      </c>
      <c r="H334" s="3">
        <f t="shared" si="95"/>
        <v>88.6</v>
      </c>
      <c r="I334" s="3"/>
      <c r="J334" s="3">
        <f t="shared" si="96"/>
        <v>91.003424409448826</v>
      </c>
      <c r="K334" s="3">
        <f t="shared" si="97"/>
        <v>94.985724409448821</v>
      </c>
      <c r="L334" s="34">
        <f t="shared" si="98"/>
        <v>92.485724409448821</v>
      </c>
      <c r="M334" s="3">
        <f t="shared" si="99"/>
        <v>-25.84</v>
      </c>
      <c r="N334" s="3">
        <f t="shared" si="100"/>
        <v>139.44</v>
      </c>
      <c r="O334" s="3"/>
      <c r="P334" s="3">
        <f t="shared" si="101"/>
        <v>119.87666141732284</v>
      </c>
      <c r="Q334" s="3">
        <f t="shared" si="102"/>
        <v>145.17264881889764</v>
      </c>
      <c r="R334" s="3">
        <f>vd(DataTable[[#This Row],[Sentido]],DataTable[[#This Row],[Valor]])</f>
        <v>132.55984251968505</v>
      </c>
      <c r="S334" s="3">
        <f>IF(DataTable[[#This Row],[Valor]]&gt;1,1,1)</f>
        <v>1</v>
      </c>
      <c r="T334" s="3">
        <f>IF(DataTable[[#This Row],[Valor]]&gt;1,1,1)</f>
        <v>1</v>
      </c>
      <c r="U334" s="3">
        <f>angr(DataTable[[#This Row],[Sentido]],DataTable[[#This Row],[Valor]])</f>
        <v>29.993700787401576</v>
      </c>
      <c r="V334" s="3">
        <f>ANGI(DataTable[[#This Row],[Sentido]],DataTable[[#This Row],[Valor]])</f>
        <v>33.005511811023624</v>
      </c>
      <c r="W334" s="3">
        <f t="shared" si="103"/>
        <v>3</v>
      </c>
      <c r="X334" s="3">
        <f>IF(DataTable[[#This Row],[Valor]]&gt;1,1,1)</f>
        <v>1</v>
      </c>
      <c r="Y334" s="3">
        <f t="shared" si="104"/>
        <v>3</v>
      </c>
      <c r="Z334" s="3">
        <f>IF(AND(DataTable[[#This Row],[Sentido]]="URUGUAI para BRASIL",DataTable[[#This Row],[Valor]]&gt;350),1,0)</f>
        <v>0</v>
      </c>
      <c r="AA334" s="3">
        <f>IF(DataTable[[#This Row],[Valor]]&gt;1,0,0)</f>
        <v>0</v>
      </c>
    </row>
    <row r="335" spans="1:27" x14ac:dyDescent="0.25">
      <c r="A335" s="2" t="s">
        <v>21</v>
      </c>
      <c r="B335" s="2">
        <v>383</v>
      </c>
      <c r="C335" s="3">
        <f t="shared" si="90"/>
        <v>90.057948818897643</v>
      </c>
      <c r="D335" s="3">
        <f t="shared" si="91"/>
        <v>95.057948818897643</v>
      </c>
      <c r="E335" s="3">
        <f t="shared" si="92"/>
        <v>92.557948818897643</v>
      </c>
      <c r="F335" s="3">
        <f t="shared" si="93"/>
        <v>29.04</v>
      </c>
      <c r="G335" s="3">
        <f t="shared" si="94"/>
        <v>88.4</v>
      </c>
      <c r="H335" s="3">
        <f t="shared" si="95"/>
        <v>88.4</v>
      </c>
      <c r="I335" s="3"/>
      <c r="J335" s="3">
        <f t="shared" si="96"/>
        <v>91.075648818897633</v>
      </c>
      <c r="K335" s="3">
        <f t="shared" si="97"/>
        <v>95.057948818897643</v>
      </c>
      <c r="L335" s="34">
        <f t="shared" si="98"/>
        <v>92.557948818897643</v>
      </c>
      <c r="M335" s="3">
        <f t="shared" si="99"/>
        <v>-25.96</v>
      </c>
      <c r="N335" s="3">
        <f t="shared" si="100"/>
        <v>139.36000000000001</v>
      </c>
      <c r="O335" s="3"/>
      <c r="P335" s="3">
        <f t="shared" si="101"/>
        <v>120.12932283464568</v>
      </c>
      <c r="Q335" s="3">
        <f t="shared" si="102"/>
        <v>145.27809763779527</v>
      </c>
      <c r="R335" s="3">
        <f>vd(DataTable[[#This Row],[Sentido]],DataTable[[#This Row],[Valor]])</f>
        <v>132.81968503937009</v>
      </c>
      <c r="S335" s="3">
        <f>IF(DataTable[[#This Row],[Valor]]&gt;1,1,1)</f>
        <v>1</v>
      </c>
      <c r="T335" s="3">
        <f>IF(DataTable[[#This Row],[Valor]]&gt;1,1,1)</f>
        <v>1</v>
      </c>
      <c r="U335" s="3">
        <f>angr(DataTable[[#This Row],[Sentido]],DataTable[[#This Row],[Valor]])</f>
        <v>29.887401574803153</v>
      </c>
      <c r="V335" s="3">
        <f>ANGI(DataTable[[#This Row],[Sentido]],DataTable[[#This Row],[Valor]])</f>
        <v>32.911023622047246</v>
      </c>
      <c r="W335" s="3">
        <f t="shared" si="103"/>
        <v>3</v>
      </c>
      <c r="X335" s="3">
        <f>IF(DataTable[[#This Row],[Valor]]&gt;1,1,1)</f>
        <v>1</v>
      </c>
      <c r="Y335" s="3">
        <f t="shared" si="104"/>
        <v>3</v>
      </c>
      <c r="Z335" s="3">
        <f>IF(AND(DataTable[[#This Row],[Sentido]]="URUGUAI para BRASIL",DataTable[[#This Row],[Valor]]&gt;350),1,0)</f>
        <v>0</v>
      </c>
      <c r="AA335" s="3">
        <f>IF(DataTable[[#This Row],[Valor]]&gt;1,0,0)</f>
        <v>0</v>
      </c>
    </row>
    <row r="336" spans="1:27" x14ac:dyDescent="0.25">
      <c r="A336" s="2" t="s">
        <v>21</v>
      </c>
      <c r="B336" s="2">
        <v>384</v>
      </c>
      <c r="C336" s="3">
        <f t="shared" si="90"/>
        <v>90.13017322834645</v>
      </c>
      <c r="D336" s="3">
        <f t="shared" si="91"/>
        <v>95.13017322834645</v>
      </c>
      <c r="E336" s="3">
        <f t="shared" si="92"/>
        <v>92.63017322834645</v>
      </c>
      <c r="F336" s="3">
        <f t="shared" si="93"/>
        <v>28.92</v>
      </c>
      <c r="G336" s="3">
        <f t="shared" si="94"/>
        <v>88.2</v>
      </c>
      <c r="H336" s="3">
        <f t="shared" si="95"/>
        <v>88.2</v>
      </c>
      <c r="I336" s="3"/>
      <c r="J336" s="3">
        <f t="shared" si="96"/>
        <v>91.147873228346455</v>
      </c>
      <c r="K336" s="3">
        <f t="shared" si="97"/>
        <v>95.13017322834645</v>
      </c>
      <c r="L336" s="34">
        <f t="shared" si="98"/>
        <v>92.63017322834645</v>
      </c>
      <c r="M336" s="3">
        <f t="shared" si="99"/>
        <v>-26.08</v>
      </c>
      <c r="N336" s="3">
        <f t="shared" si="100"/>
        <v>139.28</v>
      </c>
      <c r="O336" s="3"/>
      <c r="P336" s="3">
        <f t="shared" si="101"/>
        <v>120.38198425196849</v>
      </c>
      <c r="Q336" s="3">
        <f t="shared" si="102"/>
        <v>145.38354645669293</v>
      </c>
      <c r="R336" s="3">
        <f>vd(DataTable[[#This Row],[Sentido]],DataTable[[#This Row],[Valor]])</f>
        <v>133.07952755905512</v>
      </c>
      <c r="S336" s="3">
        <f>IF(DataTable[[#This Row],[Valor]]&gt;1,1,1)</f>
        <v>1</v>
      </c>
      <c r="T336" s="3">
        <f>IF(DataTable[[#This Row],[Valor]]&gt;1,1,1)</f>
        <v>1</v>
      </c>
      <c r="U336" s="3">
        <f>angr(DataTable[[#This Row],[Sentido]],DataTable[[#This Row],[Valor]])</f>
        <v>29.781102362204727</v>
      </c>
      <c r="V336" s="3">
        <f>ANGI(DataTable[[#This Row],[Sentido]],DataTable[[#This Row],[Valor]])</f>
        <v>32.816535433070868</v>
      </c>
      <c r="W336" s="3">
        <f t="shared" si="103"/>
        <v>3</v>
      </c>
      <c r="X336" s="3">
        <f>IF(DataTable[[#This Row],[Valor]]&gt;1,1,1)</f>
        <v>1</v>
      </c>
      <c r="Y336" s="3">
        <f t="shared" si="104"/>
        <v>3</v>
      </c>
      <c r="Z336" s="3">
        <f>IF(AND(DataTable[[#This Row],[Sentido]]="URUGUAI para BRASIL",DataTable[[#This Row],[Valor]]&gt;350),1,0)</f>
        <v>0</v>
      </c>
      <c r="AA336" s="3">
        <f>IF(DataTable[[#This Row],[Valor]]&gt;1,0,0)</f>
        <v>0</v>
      </c>
    </row>
    <row r="337" spans="1:27" x14ac:dyDescent="0.25">
      <c r="A337" s="2" t="s">
        <v>21</v>
      </c>
      <c r="B337" s="2">
        <v>385</v>
      </c>
      <c r="C337" s="3">
        <f t="shared" si="90"/>
        <v>90.202397637795272</v>
      </c>
      <c r="D337" s="3">
        <f t="shared" si="91"/>
        <v>95.202397637795272</v>
      </c>
      <c r="E337" s="3">
        <f t="shared" si="92"/>
        <v>92.702397637795272</v>
      </c>
      <c r="F337" s="3">
        <f t="shared" si="93"/>
        <v>28.799999999999997</v>
      </c>
      <c r="G337" s="3">
        <f t="shared" si="94"/>
        <v>88</v>
      </c>
      <c r="H337" s="3">
        <f t="shared" si="95"/>
        <v>88</v>
      </c>
      <c r="I337" s="3"/>
      <c r="J337" s="3">
        <f t="shared" si="96"/>
        <v>91.220097637795277</v>
      </c>
      <c r="K337" s="3">
        <f t="shared" si="97"/>
        <v>95.202397637795272</v>
      </c>
      <c r="L337" s="34">
        <f t="shared" si="98"/>
        <v>92.702397637795272</v>
      </c>
      <c r="M337" s="3">
        <f t="shared" si="99"/>
        <v>-26.2</v>
      </c>
      <c r="N337" s="3">
        <f t="shared" si="100"/>
        <v>139.19999999999999</v>
      </c>
      <c r="O337" s="3"/>
      <c r="P337" s="3">
        <f t="shared" si="101"/>
        <v>120.63464566929136</v>
      </c>
      <c r="Q337" s="3">
        <f t="shared" si="102"/>
        <v>145.48899527559055</v>
      </c>
      <c r="R337" s="3">
        <f>vd(DataTable[[#This Row],[Sentido]],DataTable[[#This Row],[Valor]])</f>
        <v>133.33937007874019</v>
      </c>
      <c r="S337" s="3">
        <f>IF(DataTable[[#This Row],[Valor]]&gt;1,1,1)</f>
        <v>1</v>
      </c>
      <c r="T337" s="3">
        <f>IF(DataTable[[#This Row],[Valor]]&gt;1,1,1)</f>
        <v>1</v>
      </c>
      <c r="U337" s="3">
        <f>angr(DataTable[[#This Row],[Sentido]],DataTable[[#This Row],[Valor]])</f>
        <v>29.674803149606298</v>
      </c>
      <c r="V337" s="3">
        <f>ANGI(DataTable[[#This Row],[Sentido]],DataTable[[#This Row],[Valor]])</f>
        <v>32.722047244094483</v>
      </c>
      <c r="W337" s="3">
        <f t="shared" si="103"/>
        <v>3</v>
      </c>
      <c r="X337" s="3">
        <f>IF(DataTable[[#This Row],[Valor]]&gt;1,1,1)</f>
        <v>1</v>
      </c>
      <c r="Y337" s="3">
        <f t="shared" si="104"/>
        <v>3</v>
      </c>
      <c r="Z337" s="3">
        <f>IF(AND(DataTable[[#This Row],[Sentido]]="URUGUAI para BRASIL",DataTable[[#This Row],[Valor]]&gt;350),1,0)</f>
        <v>0</v>
      </c>
      <c r="AA337" s="3">
        <f>IF(DataTable[[#This Row],[Valor]]&gt;1,0,0)</f>
        <v>0</v>
      </c>
    </row>
    <row r="338" spans="1:27" x14ac:dyDescent="0.25">
      <c r="A338" s="2" t="s">
        <v>21</v>
      </c>
      <c r="B338" s="2">
        <v>386</v>
      </c>
      <c r="C338" s="3">
        <f t="shared" si="90"/>
        <v>90.274622047244094</v>
      </c>
      <c r="D338" s="3">
        <f t="shared" si="91"/>
        <v>95.274622047244094</v>
      </c>
      <c r="E338" s="3">
        <f t="shared" si="92"/>
        <v>92.774622047244094</v>
      </c>
      <c r="F338" s="3">
        <f t="shared" si="93"/>
        <v>28.68</v>
      </c>
      <c r="G338" s="3">
        <f t="shared" si="94"/>
        <v>87.8</v>
      </c>
      <c r="H338" s="3">
        <f t="shared" si="95"/>
        <v>87.8</v>
      </c>
      <c r="I338" s="3"/>
      <c r="J338" s="3">
        <f t="shared" si="96"/>
        <v>91.292322047244099</v>
      </c>
      <c r="K338" s="3">
        <f t="shared" si="97"/>
        <v>95.274622047244094</v>
      </c>
      <c r="L338" s="34">
        <f t="shared" si="98"/>
        <v>92.774622047244094</v>
      </c>
      <c r="M338" s="3">
        <f t="shared" si="99"/>
        <v>-26.32</v>
      </c>
      <c r="N338" s="3">
        <f t="shared" si="100"/>
        <v>139.12</v>
      </c>
      <c r="O338" s="3"/>
      <c r="P338" s="3">
        <f t="shared" si="101"/>
        <v>120.88730708661417</v>
      </c>
      <c r="Q338" s="3">
        <f t="shared" si="102"/>
        <v>145.59444409448821</v>
      </c>
      <c r="R338" s="3">
        <f>vd(DataTable[[#This Row],[Sentido]],DataTable[[#This Row],[Valor]])</f>
        <v>133.59921259842523</v>
      </c>
      <c r="S338" s="3">
        <f>IF(DataTable[[#This Row],[Valor]]&gt;1,1,1)</f>
        <v>1</v>
      </c>
      <c r="T338" s="3">
        <f>IF(DataTable[[#This Row],[Valor]]&gt;1,1,1)</f>
        <v>1</v>
      </c>
      <c r="U338" s="3">
        <f>angr(DataTable[[#This Row],[Sentido]],DataTable[[#This Row],[Valor]])</f>
        <v>29.568503937007872</v>
      </c>
      <c r="V338" s="3">
        <f>ANGI(DataTable[[#This Row],[Sentido]],DataTable[[#This Row],[Valor]])</f>
        <v>32.627559055118112</v>
      </c>
      <c r="W338" s="3">
        <f t="shared" si="103"/>
        <v>3</v>
      </c>
      <c r="X338" s="3">
        <f>IF(DataTable[[#This Row],[Valor]]&gt;1,1,1)</f>
        <v>1</v>
      </c>
      <c r="Y338" s="3">
        <f t="shared" si="104"/>
        <v>3</v>
      </c>
      <c r="Z338" s="3">
        <f>IF(AND(DataTable[[#This Row],[Sentido]]="URUGUAI para BRASIL",DataTable[[#This Row],[Valor]]&gt;350),1,0)</f>
        <v>0</v>
      </c>
      <c r="AA338" s="3">
        <f>IF(DataTable[[#This Row],[Valor]]&gt;1,0,0)</f>
        <v>0</v>
      </c>
    </row>
    <row r="339" spans="1:27" x14ac:dyDescent="0.25">
      <c r="A339" s="2" t="s">
        <v>21</v>
      </c>
      <c r="B339" s="2">
        <v>387</v>
      </c>
      <c r="C339" s="3">
        <f t="shared" si="90"/>
        <v>90.346846456692916</v>
      </c>
      <c r="D339" s="3">
        <f t="shared" si="91"/>
        <v>95.346846456692916</v>
      </c>
      <c r="E339" s="3">
        <f t="shared" si="92"/>
        <v>92.846846456692916</v>
      </c>
      <c r="F339" s="3">
        <f t="shared" si="93"/>
        <v>28.560000000000002</v>
      </c>
      <c r="G339" s="3">
        <f t="shared" si="94"/>
        <v>87.6</v>
      </c>
      <c r="H339" s="3">
        <f t="shared" si="95"/>
        <v>87.6</v>
      </c>
      <c r="I339" s="3"/>
      <c r="J339" s="3">
        <f t="shared" si="96"/>
        <v>91.364546456692921</v>
      </c>
      <c r="K339" s="3">
        <f t="shared" si="97"/>
        <v>95.346846456692916</v>
      </c>
      <c r="L339" s="34">
        <f t="shared" si="98"/>
        <v>92.846846456692916</v>
      </c>
      <c r="M339" s="3">
        <f t="shared" si="99"/>
        <v>-26.439999999999998</v>
      </c>
      <c r="N339" s="3">
        <f t="shared" si="100"/>
        <v>139.04</v>
      </c>
      <c r="O339" s="3"/>
      <c r="P339" s="3">
        <f t="shared" si="101"/>
        <v>121.13996850393701</v>
      </c>
      <c r="Q339" s="3">
        <f t="shared" si="102"/>
        <v>145.69989291338584</v>
      </c>
      <c r="R339" s="3">
        <f>vd(DataTable[[#This Row],[Sentido]],DataTable[[#This Row],[Valor]])</f>
        <v>133.85905511811023</v>
      </c>
      <c r="S339" s="3">
        <f>IF(DataTable[[#This Row],[Valor]]&gt;1,1,1)</f>
        <v>1</v>
      </c>
      <c r="T339" s="3">
        <f>IF(DataTable[[#This Row],[Valor]]&gt;1,1,1)</f>
        <v>1</v>
      </c>
      <c r="U339" s="3">
        <f>angr(DataTable[[#This Row],[Sentido]],DataTable[[#This Row],[Valor]])</f>
        <v>29.46220472440945</v>
      </c>
      <c r="V339" s="3">
        <f>ANGI(DataTable[[#This Row],[Sentido]],DataTable[[#This Row],[Valor]])</f>
        <v>32.533070866141735</v>
      </c>
      <c r="W339" s="3">
        <f t="shared" si="103"/>
        <v>3</v>
      </c>
      <c r="X339" s="3">
        <f>IF(DataTable[[#This Row],[Valor]]&gt;1,1,1)</f>
        <v>1</v>
      </c>
      <c r="Y339" s="3">
        <f t="shared" si="104"/>
        <v>3</v>
      </c>
      <c r="Z339" s="3">
        <f>IF(AND(DataTable[[#This Row],[Sentido]]="URUGUAI para BRASIL",DataTable[[#This Row],[Valor]]&gt;350),1,0)</f>
        <v>0</v>
      </c>
      <c r="AA339" s="3">
        <f>IF(DataTable[[#This Row],[Valor]]&gt;1,0,0)</f>
        <v>0</v>
      </c>
    </row>
    <row r="340" spans="1:27" x14ac:dyDescent="0.25">
      <c r="A340" s="2" t="s">
        <v>21</v>
      </c>
      <c r="B340" s="2">
        <v>388</v>
      </c>
      <c r="C340" s="3">
        <f t="shared" si="90"/>
        <v>90.419070866141737</v>
      </c>
      <c r="D340" s="3">
        <f t="shared" si="91"/>
        <v>95.419070866141737</v>
      </c>
      <c r="E340" s="3">
        <f t="shared" si="92"/>
        <v>92.919070866141737</v>
      </c>
      <c r="F340" s="3">
        <f t="shared" si="93"/>
        <v>28.439999999999998</v>
      </c>
      <c r="G340" s="3">
        <f t="shared" si="94"/>
        <v>87.4</v>
      </c>
      <c r="H340" s="3">
        <f t="shared" si="95"/>
        <v>87.4</v>
      </c>
      <c r="I340" s="3"/>
      <c r="J340" s="3">
        <f t="shared" si="96"/>
        <v>91.436770866141728</v>
      </c>
      <c r="K340" s="3">
        <f t="shared" si="97"/>
        <v>95.419070866141737</v>
      </c>
      <c r="L340" s="34">
        <f t="shared" si="98"/>
        <v>92.919070866141737</v>
      </c>
      <c r="M340" s="3">
        <f t="shared" si="99"/>
        <v>-26.56</v>
      </c>
      <c r="N340" s="3">
        <f t="shared" si="100"/>
        <v>138.96</v>
      </c>
      <c r="O340" s="3"/>
      <c r="P340" s="3">
        <f t="shared" si="101"/>
        <v>121.39262992125984</v>
      </c>
      <c r="Q340" s="3">
        <f t="shared" si="102"/>
        <v>145.80534173228347</v>
      </c>
      <c r="R340" s="3">
        <f>vd(DataTable[[#This Row],[Sentido]],DataTable[[#This Row],[Valor]])</f>
        <v>134.11889763779527</v>
      </c>
      <c r="S340" s="3">
        <f>IF(DataTable[[#This Row],[Valor]]&gt;1,1,1)</f>
        <v>1</v>
      </c>
      <c r="T340" s="3">
        <f>IF(DataTable[[#This Row],[Valor]]&gt;1,1,1)</f>
        <v>1</v>
      </c>
      <c r="U340" s="3">
        <f>angr(DataTable[[#This Row],[Sentido]],DataTable[[#This Row],[Valor]])</f>
        <v>29.355905511811024</v>
      </c>
      <c r="V340" s="3">
        <f>ANGI(DataTable[[#This Row],[Sentido]],DataTable[[#This Row],[Valor]])</f>
        <v>32.438582677165357</v>
      </c>
      <c r="W340" s="3">
        <f t="shared" si="103"/>
        <v>3</v>
      </c>
      <c r="X340" s="3">
        <f>IF(DataTable[[#This Row],[Valor]]&gt;1,1,1)</f>
        <v>1</v>
      </c>
      <c r="Y340" s="3">
        <f t="shared" si="104"/>
        <v>3</v>
      </c>
      <c r="Z340" s="3">
        <f>IF(AND(DataTable[[#This Row],[Sentido]]="URUGUAI para BRASIL",DataTable[[#This Row],[Valor]]&gt;350),1,0)</f>
        <v>0</v>
      </c>
      <c r="AA340" s="3">
        <f>IF(DataTable[[#This Row],[Valor]]&gt;1,0,0)</f>
        <v>0</v>
      </c>
    </row>
    <row r="341" spans="1:27" x14ac:dyDescent="0.25">
      <c r="A341" s="2" t="s">
        <v>21</v>
      </c>
      <c r="B341" s="2">
        <v>389</v>
      </c>
      <c r="C341" s="3">
        <f t="shared" si="90"/>
        <v>90.491295275590545</v>
      </c>
      <c r="D341" s="3">
        <f t="shared" si="91"/>
        <v>95.491295275590545</v>
      </c>
      <c r="E341" s="3">
        <f t="shared" si="92"/>
        <v>92.991295275590545</v>
      </c>
      <c r="F341" s="3">
        <f t="shared" si="93"/>
        <v>28.32</v>
      </c>
      <c r="G341" s="3">
        <f t="shared" si="94"/>
        <v>87.2</v>
      </c>
      <c r="H341" s="3">
        <f t="shared" si="95"/>
        <v>87.2</v>
      </c>
      <c r="I341" s="3"/>
      <c r="J341" s="3">
        <f t="shared" si="96"/>
        <v>91.50899527559055</v>
      </c>
      <c r="K341" s="3">
        <f t="shared" si="97"/>
        <v>95.491295275590545</v>
      </c>
      <c r="L341" s="34">
        <f t="shared" si="98"/>
        <v>92.991295275590545</v>
      </c>
      <c r="M341" s="3">
        <f t="shared" si="99"/>
        <v>-26.68</v>
      </c>
      <c r="N341" s="3">
        <f t="shared" si="100"/>
        <v>138.88</v>
      </c>
      <c r="O341" s="3"/>
      <c r="P341" s="3">
        <f t="shared" si="101"/>
        <v>121.64529133858268</v>
      </c>
      <c r="Q341" s="3">
        <f t="shared" si="102"/>
        <v>145.91079055118109</v>
      </c>
      <c r="R341" s="3">
        <f>vd(DataTable[[#This Row],[Sentido]],DataTable[[#This Row],[Valor]])</f>
        <v>134.37874015748031</v>
      </c>
      <c r="S341" s="3">
        <f>IF(DataTable[[#This Row],[Valor]]&gt;1,1,1)</f>
        <v>1</v>
      </c>
      <c r="T341" s="3">
        <f>IF(DataTable[[#This Row],[Valor]]&gt;1,1,1)</f>
        <v>1</v>
      </c>
      <c r="U341" s="3">
        <f>angr(DataTable[[#This Row],[Sentido]],DataTable[[#This Row],[Valor]])</f>
        <v>29.249606299212601</v>
      </c>
      <c r="V341" s="3">
        <f>ANGI(DataTable[[#This Row],[Sentido]],DataTable[[#This Row],[Valor]])</f>
        <v>32.344094488188979</v>
      </c>
      <c r="W341" s="3">
        <f t="shared" si="103"/>
        <v>3</v>
      </c>
      <c r="X341" s="3">
        <f>IF(DataTable[[#This Row],[Valor]]&gt;1,1,1)</f>
        <v>1</v>
      </c>
      <c r="Y341" s="3">
        <f t="shared" si="104"/>
        <v>3</v>
      </c>
      <c r="Z341" s="3">
        <f>IF(AND(DataTable[[#This Row],[Sentido]]="URUGUAI para BRASIL",DataTable[[#This Row],[Valor]]&gt;350),1,0)</f>
        <v>0</v>
      </c>
      <c r="AA341" s="3">
        <f>IF(DataTable[[#This Row],[Valor]]&gt;1,0,0)</f>
        <v>0</v>
      </c>
    </row>
    <row r="342" spans="1:27" x14ac:dyDescent="0.25">
      <c r="A342" s="2" t="s">
        <v>21</v>
      </c>
      <c r="B342" s="2">
        <v>390</v>
      </c>
      <c r="C342" s="3">
        <f t="shared" si="90"/>
        <v>90.563519685039367</v>
      </c>
      <c r="D342" s="3">
        <f t="shared" si="91"/>
        <v>95.563519685039367</v>
      </c>
      <c r="E342" s="3">
        <f t="shared" si="92"/>
        <v>93.063519685039367</v>
      </c>
      <c r="F342" s="3">
        <f t="shared" si="93"/>
        <v>28.200000000000003</v>
      </c>
      <c r="G342" s="3">
        <f t="shared" si="94"/>
        <v>87</v>
      </c>
      <c r="H342" s="3">
        <f t="shared" si="95"/>
        <v>87</v>
      </c>
      <c r="I342" s="3"/>
      <c r="J342" s="3">
        <f t="shared" si="96"/>
        <v>91.581219685039372</v>
      </c>
      <c r="K342" s="3">
        <f t="shared" si="97"/>
        <v>95.563519685039367</v>
      </c>
      <c r="L342" s="34">
        <f t="shared" si="98"/>
        <v>93.063519685039367</v>
      </c>
      <c r="M342" s="3">
        <f t="shared" si="99"/>
        <v>-26.8</v>
      </c>
      <c r="N342" s="3">
        <f t="shared" si="100"/>
        <v>138.80000000000001</v>
      </c>
      <c r="O342" s="3"/>
      <c r="P342" s="3">
        <f t="shared" si="101"/>
        <v>121.89795275590549</v>
      </c>
      <c r="Q342" s="3">
        <f t="shared" si="102"/>
        <v>146.01623937007872</v>
      </c>
      <c r="R342" s="3">
        <f>vd(DataTable[[#This Row],[Sentido]],DataTable[[#This Row],[Valor]])</f>
        <v>134.63858267716535</v>
      </c>
      <c r="S342" s="3">
        <f>IF(DataTable[[#This Row],[Valor]]&gt;1,1,1)</f>
        <v>1</v>
      </c>
      <c r="T342" s="3">
        <f>IF(DataTable[[#This Row],[Valor]]&gt;1,1,1)</f>
        <v>1</v>
      </c>
      <c r="U342" s="3">
        <f>angr(DataTable[[#This Row],[Sentido]],DataTable[[#This Row],[Valor]])</f>
        <v>29.143307086614175</v>
      </c>
      <c r="V342" s="3">
        <f>ANGI(DataTable[[#This Row],[Sentido]],DataTable[[#This Row],[Valor]])</f>
        <v>32.249606299212601</v>
      </c>
      <c r="W342" s="3">
        <f t="shared" si="103"/>
        <v>3</v>
      </c>
      <c r="X342" s="3">
        <f>IF(DataTable[[#This Row],[Valor]]&gt;1,1,1)</f>
        <v>1</v>
      </c>
      <c r="Y342" s="3">
        <f t="shared" si="104"/>
        <v>3</v>
      </c>
      <c r="Z342" s="3">
        <f>IF(AND(DataTable[[#This Row],[Sentido]]="URUGUAI para BRASIL",DataTable[[#This Row],[Valor]]&gt;350),1,0)</f>
        <v>0</v>
      </c>
      <c r="AA342" s="3">
        <f>IF(DataTable[[#This Row],[Valor]]&gt;1,0,0)</f>
        <v>0</v>
      </c>
    </row>
    <row r="343" spans="1:27" x14ac:dyDescent="0.25">
      <c r="A343" s="2" t="s">
        <v>21</v>
      </c>
      <c r="B343" s="2">
        <v>391</v>
      </c>
      <c r="C343" s="3">
        <f t="shared" si="90"/>
        <v>90.635744094488189</v>
      </c>
      <c r="D343" s="3">
        <f t="shared" si="91"/>
        <v>95.635744094488189</v>
      </c>
      <c r="E343" s="3">
        <f t="shared" si="92"/>
        <v>93.135744094488189</v>
      </c>
      <c r="F343" s="3">
        <f t="shared" si="93"/>
        <v>28.08</v>
      </c>
      <c r="G343" s="3">
        <f t="shared" si="94"/>
        <v>86.8</v>
      </c>
      <c r="H343" s="3">
        <f t="shared" si="95"/>
        <v>86.8</v>
      </c>
      <c r="I343" s="3"/>
      <c r="J343" s="3">
        <f t="shared" si="96"/>
        <v>91.653444094488194</v>
      </c>
      <c r="K343" s="3">
        <f t="shared" si="97"/>
        <v>95.635744094488189</v>
      </c>
      <c r="L343" s="34">
        <f t="shared" si="98"/>
        <v>93.135744094488189</v>
      </c>
      <c r="M343" s="3">
        <f t="shared" si="99"/>
        <v>-26.919999999999998</v>
      </c>
      <c r="N343" s="3">
        <f t="shared" si="100"/>
        <v>138.72</v>
      </c>
      <c r="O343" s="3"/>
      <c r="P343" s="3">
        <f t="shared" si="101"/>
        <v>122.15061417322833</v>
      </c>
      <c r="Q343" s="3">
        <f t="shared" si="102"/>
        <v>146.12168818897638</v>
      </c>
      <c r="R343" s="3">
        <f>vd(DataTable[[#This Row],[Sentido]],DataTable[[#This Row],[Valor]])</f>
        <v>134.89842519685038</v>
      </c>
      <c r="S343" s="3">
        <f>IF(DataTable[[#This Row],[Valor]]&gt;1,1,1)</f>
        <v>1</v>
      </c>
      <c r="T343" s="3">
        <f>IF(DataTable[[#This Row],[Valor]]&gt;1,1,1)</f>
        <v>1</v>
      </c>
      <c r="U343" s="3">
        <f>angr(DataTable[[#This Row],[Sentido]],DataTable[[#This Row],[Valor]])</f>
        <v>29.037007874015753</v>
      </c>
      <c r="V343" s="3">
        <f>ANGI(DataTable[[#This Row],[Sentido]],DataTable[[#This Row],[Valor]])</f>
        <v>32.155118110236224</v>
      </c>
      <c r="W343" s="3">
        <f t="shared" si="103"/>
        <v>3</v>
      </c>
      <c r="X343" s="3">
        <f>IF(DataTable[[#This Row],[Valor]]&gt;1,1,1)</f>
        <v>1</v>
      </c>
      <c r="Y343" s="3">
        <f t="shared" si="104"/>
        <v>3</v>
      </c>
      <c r="Z343" s="3">
        <f>IF(AND(DataTable[[#This Row],[Sentido]]="URUGUAI para BRASIL",DataTable[[#This Row],[Valor]]&gt;350),1,0)</f>
        <v>0</v>
      </c>
      <c r="AA343" s="3">
        <f>IF(DataTable[[#This Row],[Valor]]&gt;1,0,0)</f>
        <v>0</v>
      </c>
    </row>
    <row r="344" spans="1:27" x14ac:dyDescent="0.25">
      <c r="A344" s="2" t="s">
        <v>21</v>
      </c>
      <c r="B344" s="2">
        <v>392</v>
      </c>
      <c r="C344" s="3">
        <f t="shared" si="90"/>
        <v>90.70796850393701</v>
      </c>
      <c r="D344" s="3">
        <f t="shared" si="91"/>
        <v>95.70796850393701</v>
      </c>
      <c r="E344" s="3">
        <f t="shared" si="92"/>
        <v>93.20796850393701</v>
      </c>
      <c r="F344" s="3">
        <f t="shared" si="93"/>
        <v>27.96</v>
      </c>
      <c r="G344" s="3">
        <f t="shared" si="94"/>
        <v>86.6</v>
      </c>
      <c r="H344" s="3">
        <f t="shared" si="95"/>
        <v>86.6</v>
      </c>
      <c r="I344" s="3"/>
      <c r="J344" s="3">
        <f t="shared" si="96"/>
        <v>91.725668503937015</v>
      </c>
      <c r="K344" s="3">
        <f t="shared" si="97"/>
        <v>95.70796850393701</v>
      </c>
      <c r="L344" s="34">
        <f t="shared" si="98"/>
        <v>93.20796850393701</v>
      </c>
      <c r="M344" s="3">
        <f t="shared" si="99"/>
        <v>-27.04</v>
      </c>
      <c r="N344" s="3">
        <f t="shared" si="100"/>
        <v>138.63999999999999</v>
      </c>
      <c r="O344" s="3"/>
      <c r="P344" s="3">
        <f t="shared" si="101"/>
        <v>122.4032755905512</v>
      </c>
      <c r="Q344" s="3">
        <f t="shared" si="102"/>
        <v>146.22713700787401</v>
      </c>
      <c r="R344" s="3">
        <f>vd(DataTable[[#This Row],[Sentido]],DataTable[[#This Row],[Valor]])</f>
        <v>135.15826771653545</v>
      </c>
      <c r="S344" s="3">
        <f>IF(DataTable[[#This Row],[Valor]]&gt;1,1,1)</f>
        <v>1</v>
      </c>
      <c r="T344" s="3">
        <f>IF(DataTable[[#This Row],[Valor]]&gt;1,1,1)</f>
        <v>1</v>
      </c>
      <c r="U344" s="3">
        <f>angr(DataTable[[#This Row],[Sentido]],DataTable[[#This Row],[Valor]])</f>
        <v>28.93070866141732</v>
      </c>
      <c r="V344" s="3">
        <f>ANGI(DataTable[[#This Row],[Sentido]],DataTable[[#This Row],[Valor]])</f>
        <v>32.060629921259839</v>
      </c>
      <c r="W344" s="3">
        <f t="shared" si="103"/>
        <v>3</v>
      </c>
      <c r="X344" s="3">
        <f>IF(DataTable[[#This Row],[Valor]]&gt;1,1,1)</f>
        <v>1</v>
      </c>
      <c r="Y344" s="3">
        <f t="shared" si="104"/>
        <v>3</v>
      </c>
      <c r="Z344" s="3">
        <f>IF(AND(DataTable[[#This Row],[Sentido]]="URUGUAI para BRASIL",DataTable[[#This Row],[Valor]]&gt;350),1,0)</f>
        <v>0</v>
      </c>
      <c r="AA344" s="3">
        <f>IF(DataTable[[#This Row],[Valor]]&gt;1,0,0)</f>
        <v>0</v>
      </c>
    </row>
    <row r="345" spans="1:27" x14ac:dyDescent="0.25">
      <c r="A345" s="2" t="s">
        <v>21</v>
      </c>
      <c r="B345" s="2">
        <v>393</v>
      </c>
      <c r="C345" s="3">
        <f t="shared" si="90"/>
        <v>90.780192913385832</v>
      </c>
      <c r="D345" s="3">
        <f t="shared" si="91"/>
        <v>95.780192913385832</v>
      </c>
      <c r="E345" s="3">
        <f t="shared" si="92"/>
        <v>93.280192913385832</v>
      </c>
      <c r="F345" s="3">
        <f t="shared" si="93"/>
        <v>27.840000000000003</v>
      </c>
      <c r="G345" s="3">
        <f t="shared" si="94"/>
        <v>86.4</v>
      </c>
      <c r="H345" s="3">
        <f t="shared" si="95"/>
        <v>86.4</v>
      </c>
      <c r="I345" s="3"/>
      <c r="J345" s="3">
        <f t="shared" si="96"/>
        <v>91.797892913385823</v>
      </c>
      <c r="K345" s="3">
        <f t="shared" si="97"/>
        <v>95.780192913385832</v>
      </c>
      <c r="L345" s="34">
        <f t="shared" si="98"/>
        <v>93.280192913385832</v>
      </c>
      <c r="M345" s="3">
        <f t="shared" si="99"/>
        <v>-27.16</v>
      </c>
      <c r="N345" s="3">
        <f t="shared" si="100"/>
        <v>138.56</v>
      </c>
      <c r="O345" s="3"/>
      <c r="P345" s="3">
        <f t="shared" si="101"/>
        <v>122.65593700787402</v>
      </c>
      <c r="Q345" s="3">
        <f t="shared" si="102"/>
        <v>146.33258582677166</v>
      </c>
      <c r="R345" s="3">
        <f>vd(DataTable[[#This Row],[Sentido]],DataTable[[#This Row],[Valor]])</f>
        <v>135.41811023622049</v>
      </c>
      <c r="S345" s="3">
        <f>IF(DataTable[[#This Row],[Valor]]&gt;1,1,1)</f>
        <v>1</v>
      </c>
      <c r="T345" s="3">
        <f>IF(DataTable[[#This Row],[Valor]]&gt;1,1,1)</f>
        <v>1</v>
      </c>
      <c r="U345" s="3">
        <f>angr(DataTable[[#This Row],[Sentido]],DataTable[[#This Row],[Valor]])</f>
        <v>28.824409448818898</v>
      </c>
      <c r="V345" s="3">
        <f>ANGI(DataTable[[#This Row],[Sentido]],DataTable[[#This Row],[Valor]])</f>
        <v>31.966141732283464</v>
      </c>
      <c r="W345" s="3">
        <f t="shared" si="103"/>
        <v>3</v>
      </c>
      <c r="X345" s="3">
        <f>IF(DataTable[[#This Row],[Valor]]&gt;1,1,1)</f>
        <v>1</v>
      </c>
      <c r="Y345" s="3">
        <f t="shared" si="104"/>
        <v>3</v>
      </c>
      <c r="Z345" s="3">
        <f>IF(AND(DataTable[[#This Row],[Sentido]]="URUGUAI para BRASIL",DataTable[[#This Row],[Valor]]&gt;350),1,0)</f>
        <v>0</v>
      </c>
      <c r="AA345" s="3">
        <f>IF(DataTable[[#This Row],[Valor]]&gt;1,0,0)</f>
        <v>0</v>
      </c>
    </row>
    <row r="346" spans="1:27" x14ac:dyDescent="0.25">
      <c r="A346" s="2" t="s">
        <v>21</v>
      </c>
      <c r="B346" s="2">
        <v>394</v>
      </c>
      <c r="C346" s="3">
        <f t="shared" si="90"/>
        <v>90.852417322834654</v>
      </c>
      <c r="D346" s="3">
        <f t="shared" si="91"/>
        <v>95.852417322834654</v>
      </c>
      <c r="E346" s="3">
        <f t="shared" si="92"/>
        <v>93.352417322834654</v>
      </c>
      <c r="F346" s="3">
        <f t="shared" si="93"/>
        <v>27.72</v>
      </c>
      <c r="G346" s="3">
        <f t="shared" si="94"/>
        <v>86.2</v>
      </c>
      <c r="H346" s="3">
        <f t="shared" si="95"/>
        <v>86.2</v>
      </c>
      <c r="I346" s="3"/>
      <c r="J346" s="3">
        <f t="shared" si="96"/>
        <v>91.870117322834645</v>
      </c>
      <c r="K346" s="3">
        <f t="shared" si="97"/>
        <v>95.852417322834654</v>
      </c>
      <c r="L346" s="34">
        <f t="shared" si="98"/>
        <v>93.352417322834654</v>
      </c>
      <c r="M346" s="3">
        <f t="shared" si="99"/>
        <v>-27.28</v>
      </c>
      <c r="N346" s="3">
        <f t="shared" si="100"/>
        <v>138.47999999999999</v>
      </c>
      <c r="O346" s="3"/>
      <c r="P346" s="3">
        <f t="shared" si="101"/>
        <v>122.90859842519686</v>
      </c>
      <c r="Q346" s="3">
        <f t="shared" si="102"/>
        <v>146.43803464566929</v>
      </c>
      <c r="R346" s="3">
        <f>vd(DataTable[[#This Row],[Sentido]],DataTable[[#This Row],[Valor]])</f>
        <v>135.67795275590552</v>
      </c>
      <c r="S346" s="3">
        <f>IF(DataTable[[#This Row],[Valor]]&gt;1,1,1)</f>
        <v>1</v>
      </c>
      <c r="T346" s="3">
        <f>IF(DataTable[[#This Row],[Valor]]&gt;1,1,1)</f>
        <v>1</v>
      </c>
      <c r="U346" s="3">
        <f>angr(DataTable[[#This Row],[Sentido]],DataTable[[#This Row],[Valor]])</f>
        <v>28.718110236220472</v>
      </c>
      <c r="V346" s="3">
        <f>ANGI(DataTable[[#This Row],[Sentido]],DataTable[[#This Row],[Valor]])</f>
        <v>31.871653543307087</v>
      </c>
      <c r="W346" s="3">
        <f t="shared" si="103"/>
        <v>3</v>
      </c>
      <c r="X346" s="3">
        <f>IF(DataTable[[#This Row],[Valor]]&gt;1,1,1)</f>
        <v>1</v>
      </c>
      <c r="Y346" s="3">
        <f t="shared" si="104"/>
        <v>3</v>
      </c>
      <c r="Z346" s="3">
        <f>IF(AND(DataTable[[#This Row],[Sentido]]="URUGUAI para BRASIL",DataTable[[#This Row],[Valor]]&gt;350),1,0)</f>
        <v>0</v>
      </c>
      <c r="AA346" s="3">
        <f>IF(DataTable[[#This Row],[Valor]]&gt;1,0,0)</f>
        <v>0</v>
      </c>
    </row>
    <row r="347" spans="1:27" x14ac:dyDescent="0.25">
      <c r="A347" s="2" t="s">
        <v>21</v>
      </c>
      <c r="B347" s="2">
        <v>395</v>
      </c>
      <c r="C347" s="3">
        <f t="shared" si="90"/>
        <v>90.924641732283462</v>
      </c>
      <c r="D347" s="3">
        <f t="shared" si="91"/>
        <v>95.924641732283462</v>
      </c>
      <c r="E347" s="3">
        <f t="shared" si="92"/>
        <v>93.424641732283462</v>
      </c>
      <c r="F347" s="3">
        <f t="shared" si="93"/>
        <v>27.6</v>
      </c>
      <c r="G347" s="3">
        <f t="shared" si="94"/>
        <v>86</v>
      </c>
      <c r="H347" s="3">
        <f t="shared" si="95"/>
        <v>86</v>
      </c>
      <c r="I347" s="3"/>
      <c r="J347" s="3">
        <f t="shared" si="96"/>
        <v>91.942341732283467</v>
      </c>
      <c r="K347" s="3">
        <f t="shared" si="97"/>
        <v>95.924641732283462</v>
      </c>
      <c r="L347" s="34">
        <f t="shared" si="98"/>
        <v>93.424641732283462</v>
      </c>
      <c r="M347" s="3">
        <f t="shared" si="99"/>
        <v>-27.4</v>
      </c>
      <c r="N347" s="3">
        <f t="shared" si="100"/>
        <v>138.4</v>
      </c>
      <c r="O347" s="3"/>
      <c r="P347" s="3">
        <f t="shared" si="101"/>
        <v>123.16125984251968</v>
      </c>
      <c r="Q347" s="3">
        <f t="shared" si="102"/>
        <v>146.54348346456692</v>
      </c>
      <c r="R347" s="3">
        <f>vd(DataTable[[#This Row],[Sentido]],DataTable[[#This Row],[Valor]])</f>
        <v>135.93779527559056</v>
      </c>
      <c r="S347" s="3">
        <f>IF(DataTable[[#This Row],[Valor]]&gt;1,1,1)</f>
        <v>1</v>
      </c>
      <c r="T347" s="3">
        <f>IF(DataTable[[#This Row],[Valor]]&gt;1,1,1)</f>
        <v>1</v>
      </c>
      <c r="U347" s="3">
        <f>angr(DataTable[[#This Row],[Sentido]],DataTable[[#This Row],[Valor]])</f>
        <v>28.61181102362205</v>
      </c>
      <c r="V347" s="3">
        <f>ANGI(DataTable[[#This Row],[Sentido]],DataTable[[#This Row],[Valor]])</f>
        <v>31.777165354330709</v>
      </c>
      <c r="W347" s="3">
        <f t="shared" si="103"/>
        <v>3</v>
      </c>
      <c r="X347" s="3">
        <f>IF(DataTable[[#This Row],[Valor]]&gt;1,1,1)</f>
        <v>1</v>
      </c>
      <c r="Y347" s="3">
        <f t="shared" si="104"/>
        <v>3</v>
      </c>
      <c r="Z347" s="3">
        <f>IF(AND(DataTable[[#This Row],[Sentido]]="URUGUAI para BRASIL",DataTable[[#This Row],[Valor]]&gt;350),1,0)</f>
        <v>0</v>
      </c>
      <c r="AA347" s="3">
        <f>IF(DataTable[[#This Row],[Valor]]&gt;1,0,0)</f>
        <v>0</v>
      </c>
    </row>
    <row r="348" spans="1:27" x14ac:dyDescent="0.25">
      <c r="A348" s="2" t="s">
        <v>21</v>
      </c>
      <c r="B348" s="2">
        <v>396</v>
      </c>
      <c r="C348" s="3">
        <f t="shared" si="90"/>
        <v>90.996866141732283</v>
      </c>
      <c r="D348" s="3">
        <f t="shared" si="91"/>
        <v>95.996866141732283</v>
      </c>
      <c r="E348" s="3">
        <f t="shared" si="92"/>
        <v>93.496866141732283</v>
      </c>
      <c r="F348" s="3">
        <f t="shared" si="93"/>
        <v>27.480000000000004</v>
      </c>
      <c r="G348" s="3">
        <f t="shared" si="94"/>
        <v>85.8</v>
      </c>
      <c r="H348" s="3">
        <f t="shared" si="95"/>
        <v>85.8</v>
      </c>
      <c r="I348" s="3"/>
      <c r="J348" s="3">
        <f t="shared" si="96"/>
        <v>92.014566141732288</v>
      </c>
      <c r="K348" s="3">
        <f t="shared" si="97"/>
        <v>95.996866141732283</v>
      </c>
      <c r="L348" s="34">
        <f t="shared" si="98"/>
        <v>93.496866141732283</v>
      </c>
      <c r="M348" s="3">
        <f t="shared" si="99"/>
        <v>-27.52</v>
      </c>
      <c r="N348" s="3">
        <f t="shared" si="100"/>
        <v>138.32</v>
      </c>
      <c r="O348" s="3"/>
      <c r="P348" s="3">
        <f t="shared" si="101"/>
        <v>123.41392125984252</v>
      </c>
      <c r="Q348" s="3">
        <f t="shared" si="102"/>
        <v>146.64893228346457</v>
      </c>
      <c r="R348" s="3">
        <f>vd(DataTable[[#This Row],[Sentido]],DataTable[[#This Row],[Valor]])</f>
        <v>136.1976377952756</v>
      </c>
      <c r="S348" s="3">
        <f>IF(DataTable[[#This Row],[Valor]]&gt;1,1,1)</f>
        <v>1</v>
      </c>
      <c r="T348" s="3">
        <f>IF(DataTable[[#This Row],[Valor]]&gt;1,1,1)</f>
        <v>1</v>
      </c>
      <c r="U348" s="3">
        <f>angr(DataTable[[#This Row],[Sentido]],DataTable[[#This Row],[Valor]])</f>
        <v>28.505511811023624</v>
      </c>
      <c r="V348" s="3">
        <f>ANGI(DataTable[[#This Row],[Sentido]],DataTable[[#This Row],[Valor]])</f>
        <v>31.682677165354331</v>
      </c>
      <c r="W348" s="3">
        <f t="shared" si="103"/>
        <v>3</v>
      </c>
      <c r="X348" s="3">
        <f>IF(DataTable[[#This Row],[Valor]]&gt;1,1,1)</f>
        <v>1</v>
      </c>
      <c r="Y348" s="3">
        <f t="shared" si="104"/>
        <v>3</v>
      </c>
      <c r="Z348" s="3">
        <f>IF(AND(DataTable[[#This Row],[Sentido]]="URUGUAI para BRASIL",DataTable[[#This Row],[Valor]]&gt;350),1,0)</f>
        <v>0</v>
      </c>
      <c r="AA348" s="3">
        <f>IF(DataTable[[#This Row],[Valor]]&gt;1,0,0)</f>
        <v>0</v>
      </c>
    </row>
    <row r="349" spans="1:27" x14ac:dyDescent="0.25">
      <c r="A349" s="2" t="s">
        <v>21</v>
      </c>
      <c r="B349" s="2">
        <v>397</v>
      </c>
      <c r="C349" s="3">
        <f t="shared" si="90"/>
        <v>91.069090551181105</v>
      </c>
      <c r="D349" s="3">
        <f t="shared" si="91"/>
        <v>96.069090551181105</v>
      </c>
      <c r="E349" s="3">
        <f t="shared" si="92"/>
        <v>93.569090551181105</v>
      </c>
      <c r="F349" s="3">
        <f t="shared" si="93"/>
        <v>27.36</v>
      </c>
      <c r="G349" s="3">
        <f t="shared" si="94"/>
        <v>85.6</v>
      </c>
      <c r="H349" s="3">
        <f t="shared" si="95"/>
        <v>85.6</v>
      </c>
      <c r="I349" s="3"/>
      <c r="J349" s="3">
        <f t="shared" si="96"/>
        <v>92.086790551181096</v>
      </c>
      <c r="K349" s="3">
        <f t="shared" si="97"/>
        <v>96.069090551181105</v>
      </c>
      <c r="L349" s="34">
        <f t="shared" si="98"/>
        <v>93.569090551181105</v>
      </c>
      <c r="M349" s="3">
        <f t="shared" si="99"/>
        <v>-27.64</v>
      </c>
      <c r="N349" s="3">
        <f t="shared" si="100"/>
        <v>138.24</v>
      </c>
      <c r="O349" s="3"/>
      <c r="P349" s="3">
        <f t="shared" si="101"/>
        <v>123.66658267716534</v>
      </c>
      <c r="Q349" s="3">
        <f t="shared" si="102"/>
        <v>146.7543811023622</v>
      </c>
      <c r="R349" s="3">
        <f>vd(DataTable[[#This Row],[Sentido]],DataTable[[#This Row],[Valor]])</f>
        <v>136.45748031496063</v>
      </c>
      <c r="S349" s="3">
        <f>IF(DataTable[[#This Row],[Valor]]&gt;1,1,1)</f>
        <v>1</v>
      </c>
      <c r="T349" s="3">
        <f>IF(DataTable[[#This Row],[Valor]]&gt;1,1,1)</f>
        <v>1</v>
      </c>
      <c r="U349" s="3">
        <f>angr(DataTable[[#This Row],[Sentido]],DataTable[[#This Row],[Valor]])</f>
        <v>28.399212598425201</v>
      </c>
      <c r="V349" s="3">
        <f>ANGI(DataTable[[#This Row],[Sentido]],DataTable[[#This Row],[Valor]])</f>
        <v>31.588188976377957</v>
      </c>
      <c r="W349" s="3">
        <f t="shared" si="103"/>
        <v>3</v>
      </c>
      <c r="X349" s="3">
        <f>IF(DataTable[[#This Row],[Valor]]&gt;1,1,1)</f>
        <v>1</v>
      </c>
      <c r="Y349" s="3">
        <f t="shared" si="104"/>
        <v>3</v>
      </c>
      <c r="Z349" s="3">
        <f>IF(AND(DataTable[[#This Row],[Sentido]]="URUGUAI para BRASIL",DataTable[[#This Row],[Valor]]&gt;350),1,0)</f>
        <v>0</v>
      </c>
      <c r="AA349" s="3">
        <f>IF(DataTable[[#This Row],[Valor]]&gt;1,0,0)</f>
        <v>0</v>
      </c>
    </row>
    <row r="350" spans="1:27" x14ac:dyDescent="0.25">
      <c r="A350" s="2" t="s">
        <v>21</v>
      </c>
      <c r="B350" s="2">
        <v>398</v>
      </c>
      <c r="C350" s="3">
        <f t="shared" si="90"/>
        <v>91.141314960629927</v>
      </c>
      <c r="D350" s="3">
        <f t="shared" si="91"/>
        <v>96.141314960629927</v>
      </c>
      <c r="E350" s="3">
        <f t="shared" si="92"/>
        <v>93.641314960629927</v>
      </c>
      <c r="F350" s="3">
        <f t="shared" si="93"/>
        <v>27.240000000000002</v>
      </c>
      <c r="G350" s="3">
        <f t="shared" si="94"/>
        <v>85.4</v>
      </c>
      <c r="H350" s="3">
        <f t="shared" si="95"/>
        <v>85.4</v>
      </c>
      <c r="I350" s="3"/>
      <c r="J350" s="3">
        <f t="shared" si="96"/>
        <v>92.159014960629918</v>
      </c>
      <c r="K350" s="3">
        <f t="shared" si="97"/>
        <v>96.141314960629927</v>
      </c>
      <c r="L350" s="34">
        <f t="shared" si="98"/>
        <v>93.641314960629927</v>
      </c>
      <c r="M350" s="3">
        <f t="shared" si="99"/>
        <v>-27.759999999999998</v>
      </c>
      <c r="N350" s="3">
        <f t="shared" si="100"/>
        <v>138.16</v>
      </c>
      <c r="O350" s="3"/>
      <c r="P350" s="3">
        <f t="shared" si="101"/>
        <v>123.91924409448821</v>
      </c>
      <c r="Q350" s="3">
        <f t="shared" si="102"/>
        <v>146.85982992125986</v>
      </c>
      <c r="R350" s="3">
        <f>vd(DataTable[[#This Row],[Sentido]],DataTable[[#This Row],[Valor]])</f>
        <v>136.7173228346457</v>
      </c>
      <c r="S350" s="3">
        <f>IF(DataTable[[#This Row],[Valor]]&gt;1,1,1)</f>
        <v>1</v>
      </c>
      <c r="T350" s="3">
        <f>IF(DataTable[[#This Row],[Valor]]&gt;1,1,1)</f>
        <v>1</v>
      </c>
      <c r="U350" s="3">
        <f>angr(DataTable[[#This Row],[Sentido]],DataTable[[#This Row],[Valor]])</f>
        <v>28.292913385826768</v>
      </c>
      <c r="V350" s="3">
        <f>ANGI(DataTable[[#This Row],[Sentido]],DataTable[[#This Row],[Valor]])</f>
        <v>31.493700787401572</v>
      </c>
      <c r="W350" s="3">
        <f t="shared" si="103"/>
        <v>3</v>
      </c>
      <c r="X350" s="3">
        <f>IF(DataTable[[#This Row],[Valor]]&gt;1,1,1)</f>
        <v>1</v>
      </c>
      <c r="Y350" s="3">
        <f t="shared" si="104"/>
        <v>3</v>
      </c>
      <c r="Z350" s="3">
        <f>IF(AND(DataTable[[#This Row],[Sentido]]="URUGUAI para BRASIL",DataTable[[#This Row],[Valor]]&gt;350),1,0)</f>
        <v>0</v>
      </c>
      <c r="AA350" s="3">
        <f>IF(DataTable[[#This Row],[Valor]]&gt;1,0,0)</f>
        <v>0</v>
      </c>
    </row>
    <row r="351" spans="1:27" x14ac:dyDescent="0.25">
      <c r="A351" s="2" t="s">
        <v>21</v>
      </c>
      <c r="B351" s="2">
        <v>399</v>
      </c>
      <c r="C351" s="3">
        <f t="shared" si="90"/>
        <v>91.213539370078749</v>
      </c>
      <c r="D351" s="3">
        <f t="shared" si="91"/>
        <v>96.213539370078749</v>
      </c>
      <c r="E351" s="3">
        <f t="shared" si="92"/>
        <v>93.713539370078749</v>
      </c>
      <c r="F351" s="3">
        <f t="shared" si="93"/>
        <v>27.119999999999997</v>
      </c>
      <c r="G351" s="3">
        <f t="shared" si="94"/>
        <v>85.2</v>
      </c>
      <c r="H351" s="3">
        <f t="shared" si="95"/>
        <v>85.2</v>
      </c>
      <c r="I351" s="3"/>
      <c r="J351" s="3">
        <f t="shared" si="96"/>
        <v>92.23123937007874</v>
      </c>
      <c r="K351" s="3">
        <f t="shared" si="97"/>
        <v>96.213539370078749</v>
      </c>
      <c r="L351" s="34">
        <f t="shared" si="98"/>
        <v>93.713539370078749</v>
      </c>
      <c r="M351" s="3">
        <f t="shared" si="99"/>
        <v>-27.88</v>
      </c>
      <c r="N351" s="3">
        <f t="shared" si="100"/>
        <v>138.08000000000001</v>
      </c>
      <c r="O351" s="3"/>
      <c r="P351" s="3">
        <f t="shared" si="101"/>
        <v>124.17190551181105</v>
      </c>
      <c r="Q351" s="3">
        <f t="shared" si="102"/>
        <v>146.96527874015749</v>
      </c>
      <c r="R351" s="3">
        <f>vd(DataTable[[#This Row],[Sentido]],DataTable[[#This Row],[Valor]])</f>
        <v>136.97716535433071</v>
      </c>
      <c r="S351" s="3">
        <f>IF(DataTable[[#This Row],[Valor]]&gt;1,1,1)</f>
        <v>1</v>
      </c>
      <c r="T351" s="3">
        <f>IF(DataTable[[#This Row],[Valor]]&gt;1,1,1)</f>
        <v>1</v>
      </c>
      <c r="U351" s="3">
        <f>angr(DataTable[[#This Row],[Sentido]],DataTable[[#This Row],[Valor]])</f>
        <v>28.186614173228342</v>
      </c>
      <c r="V351" s="3">
        <f>ANGI(DataTable[[#This Row],[Sentido]],DataTable[[#This Row],[Valor]])</f>
        <v>31.399212598425194</v>
      </c>
      <c r="W351" s="3">
        <f t="shared" si="103"/>
        <v>3</v>
      </c>
      <c r="X351" s="3">
        <f>IF(DataTable[[#This Row],[Valor]]&gt;1,1,1)</f>
        <v>1</v>
      </c>
      <c r="Y351" s="3">
        <f t="shared" si="104"/>
        <v>3</v>
      </c>
      <c r="Z351" s="3">
        <f>IF(AND(DataTable[[#This Row],[Sentido]]="URUGUAI para BRASIL",DataTable[[#This Row],[Valor]]&gt;350),1,0)</f>
        <v>0</v>
      </c>
      <c r="AA351" s="3">
        <f>IF(DataTable[[#This Row],[Valor]]&gt;1,0,0)</f>
        <v>0</v>
      </c>
    </row>
    <row r="352" spans="1:27" x14ac:dyDescent="0.25">
      <c r="A352" s="2" t="s">
        <v>21</v>
      </c>
      <c r="B352" s="2">
        <v>400</v>
      </c>
      <c r="C352" s="3">
        <f t="shared" si="90"/>
        <v>91.285763779527556</v>
      </c>
      <c r="D352" s="3">
        <f t="shared" si="91"/>
        <v>96.285763779527556</v>
      </c>
      <c r="E352" s="3">
        <f t="shared" si="92"/>
        <v>93.785763779527556</v>
      </c>
      <c r="F352" s="3">
        <f t="shared" si="93"/>
        <v>27</v>
      </c>
      <c r="G352" s="3">
        <f t="shared" si="94"/>
        <v>85</v>
      </c>
      <c r="H352" s="3">
        <f t="shared" si="95"/>
        <v>85</v>
      </c>
      <c r="I352" s="3"/>
      <c r="J352" s="3">
        <f t="shared" si="96"/>
        <v>92.303463779527561</v>
      </c>
      <c r="K352" s="3">
        <f t="shared" si="97"/>
        <v>96.285763779527556</v>
      </c>
      <c r="L352" s="34">
        <f t="shared" si="98"/>
        <v>93.785763779527556</v>
      </c>
      <c r="M352" s="3">
        <f t="shared" si="99"/>
        <v>-28</v>
      </c>
      <c r="N352" s="3">
        <f t="shared" si="100"/>
        <v>138</v>
      </c>
      <c r="O352" s="3"/>
      <c r="P352" s="3">
        <f t="shared" si="101"/>
        <v>124.42456692913386</v>
      </c>
      <c r="Q352" s="3">
        <f t="shared" si="102"/>
        <v>147.07072755905511</v>
      </c>
      <c r="R352" s="3">
        <f>vd(DataTable[[#This Row],[Sentido]],DataTable[[#This Row],[Valor]])</f>
        <v>137.23700787401575</v>
      </c>
      <c r="S352" s="3">
        <f>IF(DataTable[[#This Row],[Valor]]&gt;1,1,1)</f>
        <v>1</v>
      </c>
      <c r="T352" s="3">
        <f>IF(DataTable[[#This Row],[Valor]]&gt;1,1,1)</f>
        <v>1</v>
      </c>
      <c r="U352" s="3">
        <f>angr(DataTable[[#This Row],[Sentido]],DataTable[[#This Row],[Valor]])</f>
        <v>28.08031496062992</v>
      </c>
      <c r="V352" s="3">
        <f>ANGI(DataTable[[#This Row],[Sentido]],DataTable[[#This Row],[Valor]])</f>
        <v>31.304724409448816</v>
      </c>
      <c r="W352" s="3">
        <f t="shared" si="103"/>
        <v>3</v>
      </c>
      <c r="X352" s="3">
        <f>IF(DataTable[[#This Row],[Valor]]&gt;1,1,1)</f>
        <v>1</v>
      </c>
      <c r="Y352" s="3">
        <f t="shared" si="104"/>
        <v>3</v>
      </c>
      <c r="Z352" s="3">
        <f>IF(AND(DataTable[[#This Row],[Sentido]]="URUGUAI para BRASIL",DataTable[[#This Row],[Valor]]&gt;350),1,0)</f>
        <v>0</v>
      </c>
      <c r="AA352" s="3">
        <f>IF(DataTable[[#This Row],[Valor]]&gt;1,0,0)</f>
        <v>0</v>
      </c>
    </row>
    <row r="353" spans="1:27" x14ac:dyDescent="0.25">
      <c r="A353" s="2" t="s">
        <v>21</v>
      </c>
      <c r="B353" s="2">
        <v>401</v>
      </c>
      <c r="C353" s="3">
        <f t="shared" si="90"/>
        <v>91.357988188976378</v>
      </c>
      <c r="D353" s="3">
        <f t="shared" si="91"/>
        <v>96.357988188976378</v>
      </c>
      <c r="E353" s="3">
        <f t="shared" si="92"/>
        <v>93.857988188976378</v>
      </c>
      <c r="F353" s="3">
        <f t="shared" si="93"/>
        <v>26.880000000000003</v>
      </c>
      <c r="G353" s="3">
        <f t="shared" si="94"/>
        <v>84.8</v>
      </c>
      <c r="H353" s="3">
        <f t="shared" si="95"/>
        <v>84.8</v>
      </c>
      <c r="I353" s="3"/>
      <c r="J353" s="3">
        <f t="shared" si="96"/>
        <v>92.375688188976383</v>
      </c>
      <c r="K353" s="3">
        <f t="shared" si="97"/>
        <v>96.357988188976378</v>
      </c>
      <c r="L353" s="34">
        <f t="shared" si="98"/>
        <v>93.857988188976378</v>
      </c>
      <c r="M353" s="3">
        <f t="shared" si="99"/>
        <v>-28.12</v>
      </c>
      <c r="N353" s="3">
        <f t="shared" si="100"/>
        <v>137.91999999999999</v>
      </c>
      <c r="O353" s="3"/>
      <c r="P353" s="3">
        <f t="shared" si="101"/>
        <v>124.6772283464567</v>
      </c>
      <c r="Q353" s="3">
        <f t="shared" si="102"/>
        <v>147.17617637795277</v>
      </c>
      <c r="R353" s="3">
        <f>vd(DataTable[[#This Row],[Sentido]],DataTable[[#This Row],[Valor]])</f>
        <v>137.49685039370078</v>
      </c>
      <c r="S353" s="3">
        <f>IF(DataTable[[#This Row],[Valor]]&gt;1,1,1)</f>
        <v>1</v>
      </c>
      <c r="T353" s="3">
        <f>IF(DataTable[[#This Row],[Valor]]&gt;1,1,1)</f>
        <v>1</v>
      </c>
      <c r="U353" s="3">
        <f>angr(DataTable[[#This Row],[Sentido]],DataTable[[#This Row],[Valor]])</f>
        <v>27.974015748031494</v>
      </c>
      <c r="V353" s="3">
        <f>ANGI(DataTable[[#This Row],[Sentido]],DataTable[[#This Row],[Valor]])</f>
        <v>31.210236220472442</v>
      </c>
      <c r="W353" s="3">
        <f t="shared" si="103"/>
        <v>3</v>
      </c>
      <c r="X353" s="3">
        <f>IF(DataTable[[#This Row],[Valor]]&gt;1,1,1)</f>
        <v>1</v>
      </c>
      <c r="Y353" s="3">
        <f t="shared" si="104"/>
        <v>3</v>
      </c>
      <c r="Z353" s="3">
        <f>IF(AND(DataTable[[#This Row],[Sentido]]="URUGUAI para BRASIL",DataTable[[#This Row],[Valor]]&gt;350),1,0)</f>
        <v>0</v>
      </c>
      <c r="AA353" s="3">
        <f>IF(DataTable[[#This Row],[Valor]]&gt;1,0,0)</f>
        <v>0</v>
      </c>
    </row>
    <row r="354" spans="1:27" x14ac:dyDescent="0.25">
      <c r="A354" s="2" t="s">
        <v>21</v>
      </c>
      <c r="B354" s="2">
        <v>402</v>
      </c>
      <c r="C354" s="3">
        <f t="shared" si="90"/>
        <v>91.4302125984252</v>
      </c>
      <c r="D354" s="3">
        <f t="shared" si="91"/>
        <v>96.4302125984252</v>
      </c>
      <c r="E354" s="3">
        <f t="shared" si="92"/>
        <v>93.9302125984252</v>
      </c>
      <c r="F354" s="3">
        <f t="shared" si="93"/>
        <v>26.759999999999998</v>
      </c>
      <c r="G354" s="3">
        <f t="shared" si="94"/>
        <v>84.6</v>
      </c>
      <c r="H354" s="3">
        <f t="shared" si="95"/>
        <v>84.6</v>
      </c>
      <c r="I354" s="3"/>
      <c r="J354" s="3">
        <f t="shared" si="96"/>
        <v>92.447912598425191</v>
      </c>
      <c r="K354" s="3">
        <f t="shared" si="97"/>
        <v>96.4302125984252</v>
      </c>
      <c r="L354" s="34">
        <f t="shared" si="98"/>
        <v>93.9302125984252</v>
      </c>
      <c r="M354" s="3">
        <f t="shared" si="99"/>
        <v>-28.24</v>
      </c>
      <c r="N354" s="3">
        <f t="shared" si="100"/>
        <v>137.84</v>
      </c>
      <c r="O354" s="3"/>
      <c r="P354" s="3">
        <f t="shared" si="101"/>
        <v>124.92988976377953</v>
      </c>
      <c r="Q354" s="3">
        <f t="shared" si="102"/>
        <v>147.2816251968504</v>
      </c>
      <c r="R354" s="3">
        <f>vd(DataTable[[#This Row],[Sentido]],DataTable[[#This Row],[Valor]])</f>
        <v>137.75669291338582</v>
      </c>
      <c r="S354" s="3">
        <f>IF(DataTable[[#This Row],[Valor]]&gt;1,1,1)</f>
        <v>1</v>
      </c>
      <c r="T354" s="3">
        <f>IF(DataTable[[#This Row],[Valor]]&gt;1,1,1)</f>
        <v>1</v>
      </c>
      <c r="U354" s="3">
        <f>angr(DataTable[[#This Row],[Sentido]],DataTable[[#This Row],[Valor]])</f>
        <v>27.867716535433072</v>
      </c>
      <c r="V354" s="3">
        <f>ANGI(DataTable[[#This Row],[Sentido]],DataTable[[#This Row],[Valor]])</f>
        <v>31.115748031496064</v>
      </c>
      <c r="W354" s="3">
        <f t="shared" si="103"/>
        <v>3</v>
      </c>
      <c r="X354" s="3">
        <f>IF(DataTable[[#This Row],[Valor]]&gt;1,1,1)</f>
        <v>1</v>
      </c>
      <c r="Y354" s="3">
        <f t="shared" si="104"/>
        <v>3</v>
      </c>
      <c r="Z354" s="3">
        <f>IF(AND(DataTable[[#This Row],[Sentido]]="URUGUAI para BRASIL",DataTable[[#This Row],[Valor]]&gt;350),1,0)</f>
        <v>0</v>
      </c>
      <c r="AA354" s="3">
        <f>IF(DataTable[[#This Row],[Valor]]&gt;1,0,0)</f>
        <v>0</v>
      </c>
    </row>
    <row r="355" spans="1:27" x14ac:dyDescent="0.25">
      <c r="A355" s="2" t="s">
        <v>21</v>
      </c>
      <c r="B355" s="2">
        <v>403</v>
      </c>
      <c r="C355" s="3">
        <f t="shared" si="90"/>
        <v>91.502437007874022</v>
      </c>
      <c r="D355" s="3">
        <f t="shared" si="91"/>
        <v>96.502437007874022</v>
      </c>
      <c r="E355" s="3">
        <f t="shared" si="92"/>
        <v>94.002437007874022</v>
      </c>
      <c r="F355" s="3">
        <f t="shared" si="93"/>
        <v>26.64</v>
      </c>
      <c r="G355" s="3">
        <f t="shared" si="94"/>
        <v>84.4</v>
      </c>
      <c r="H355" s="3">
        <f t="shared" si="95"/>
        <v>84.4</v>
      </c>
      <c r="I355" s="3"/>
      <c r="J355" s="3">
        <f t="shared" si="96"/>
        <v>92.520137007874013</v>
      </c>
      <c r="K355" s="3">
        <f t="shared" si="97"/>
        <v>96.502437007874022</v>
      </c>
      <c r="L355" s="34">
        <f t="shared" si="98"/>
        <v>94.002437007874022</v>
      </c>
      <c r="M355" s="3">
        <f t="shared" si="99"/>
        <v>-28.36</v>
      </c>
      <c r="N355" s="3">
        <f t="shared" si="100"/>
        <v>137.76</v>
      </c>
      <c r="O355" s="3"/>
      <c r="P355" s="3">
        <f t="shared" si="101"/>
        <v>125.18255118110235</v>
      </c>
      <c r="Q355" s="3">
        <f t="shared" si="102"/>
        <v>147.38707401574803</v>
      </c>
      <c r="R355" s="3">
        <f>vd(DataTable[[#This Row],[Sentido]],DataTable[[#This Row],[Valor]])</f>
        <v>138.01653543307086</v>
      </c>
      <c r="S355" s="3">
        <f>IF(DataTable[[#This Row],[Valor]]&gt;1,1,1)</f>
        <v>1</v>
      </c>
      <c r="T355" s="3">
        <f>IF(DataTable[[#This Row],[Valor]]&gt;1,1,1)</f>
        <v>1</v>
      </c>
      <c r="U355" s="3">
        <f>angr(DataTable[[#This Row],[Sentido]],DataTable[[#This Row],[Valor]])</f>
        <v>27.761417322834646</v>
      </c>
      <c r="V355" s="3">
        <f>ANGI(DataTable[[#This Row],[Sentido]],DataTable[[#This Row],[Valor]])</f>
        <v>31.021259842519687</v>
      </c>
      <c r="W355" s="3">
        <f t="shared" si="103"/>
        <v>3</v>
      </c>
      <c r="X355" s="3">
        <f>IF(DataTable[[#This Row],[Valor]]&gt;1,1,1)</f>
        <v>1</v>
      </c>
      <c r="Y355" s="3">
        <f t="shared" si="104"/>
        <v>3</v>
      </c>
      <c r="Z355" s="3">
        <f>IF(AND(DataTable[[#This Row],[Sentido]]="URUGUAI para BRASIL",DataTable[[#This Row],[Valor]]&gt;350),1,0)</f>
        <v>0</v>
      </c>
      <c r="AA355" s="3">
        <f>IF(DataTable[[#This Row],[Valor]]&gt;1,0,0)</f>
        <v>0</v>
      </c>
    </row>
    <row r="356" spans="1:27" x14ac:dyDescent="0.25">
      <c r="A356" s="2" t="s">
        <v>21</v>
      </c>
      <c r="B356" s="2">
        <v>404</v>
      </c>
      <c r="C356" s="3">
        <f t="shared" si="90"/>
        <v>91.574661417322829</v>
      </c>
      <c r="D356" s="3">
        <f t="shared" si="91"/>
        <v>96.574661417322829</v>
      </c>
      <c r="E356" s="3">
        <f t="shared" si="92"/>
        <v>94.074661417322829</v>
      </c>
      <c r="F356" s="3">
        <f t="shared" si="93"/>
        <v>26.520000000000003</v>
      </c>
      <c r="G356" s="3">
        <f t="shared" si="94"/>
        <v>84.2</v>
      </c>
      <c r="H356" s="3">
        <f t="shared" si="95"/>
        <v>84.2</v>
      </c>
      <c r="I356" s="3"/>
      <c r="J356" s="3">
        <f t="shared" si="96"/>
        <v>92.592361417322834</v>
      </c>
      <c r="K356" s="3">
        <f t="shared" si="97"/>
        <v>96.574661417322829</v>
      </c>
      <c r="L356" s="34">
        <f t="shared" si="98"/>
        <v>94.074661417322829</v>
      </c>
      <c r="M356" s="3">
        <f t="shared" si="99"/>
        <v>-28.48</v>
      </c>
      <c r="N356" s="3">
        <f t="shared" si="100"/>
        <v>137.68</v>
      </c>
      <c r="O356" s="3"/>
      <c r="P356" s="3">
        <f t="shared" si="101"/>
        <v>125.43521259842518</v>
      </c>
      <c r="Q356" s="3">
        <f t="shared" si="102"/>
        <v>147.49252283464565</v>
      </c>
      <c r="R356" s="3">
        <f>vd(DataTable[[#This Row],[Sentido]],DataTable[[#This Row],[Valor]])</f>
        <v>138.27637795275589</v>
      </c>
      <c r="S356" s="3">
        <f>IF(DataTable[[#This Row],[Valor]]&gt;1,1,1)</f>
        <v>1</v>
      </c>
      <c r="T356" s="3">
        <f>IF(DataTable[[#This Row],[Valor]]&gt;1,1,1)</f>
        <v>1</v>
      </c>
      <c r="U356" s="3">
        <f>angr(DataTable[[#This Row],[Sentido]],DataTable[[#This Row],[Valor]])</f>
        <v>27.655118110236224</v>
      </c>
      <c r="V356" s="3">
        <f>ANGI(DataTable[[#This Row],[Sentido]],DataTable[[#This Row],[Valor]])</f>
        <v>30.926771653543309</v>
      </c>
      <c r="W356" s="3">
        <f t="shared" si="103"/>
        <v>3</v>
      </c>
      <c r="X356" s="3">
        <f>IF(DataTable[[#This Row],[Valor]]&gt;1,1,1)</f>
        <v>1</v>
      </c>
      <c r="Y356" s="3">
        <f t="shared" si="104"/>
        <v>3</v>
      </c>
      <c r="Z356" s="3">
        <f>IF(AND(DataTable[[#This Row],[Sentido]]="URUGUAI para BRASIL",DataTable[[#This Row],[Valor]]&gt;350),1,0)</f>
        <v>0</v>
      </c>
      <c r="AA356" s="3">
        <f>IF(DataTable[[#This Row],[Valor]]&gt;1,0,0)</f>
        <v>0</v>
      </c>
    </row>
    <row r="357" spans="1:27" x14ac:dyDescent="0.25">
      <c r="A357" s="2" t="s">
        <v>21</v>
      </c>
      <c r="B357" s="2">
        <v>405</v>
      </c>
      <c r="C357" s="3">
        <f t="shared" si="90"/>
        <v>91.646885826771651</v>
      </c>
      <c r="D357" s="3">
        <f t="shared" si="91"/>
        <v>96.646885826771651</v>
      </c>
      <c r="E357" s="3">
        <f t="shared" si="92"/>
        <v>94.146885826771651</v>
      </c>
      <c r="F357" s="3">
        <f t="shared" si="93"/>
        <v>26.4</v>
      </c>
      <c r="G357" s="3">
        <f t="shared" si="94"/>
        <v>84</v>
      </c>
      <c r="H357" s="3">
        <f t="shared" si="95"/>
        <v>84</v>
      </c>
      <c r="I357" s="3"/>
      <c r="J357" s="3">
        <f t="shared" si="96"/>
        <v>92.664585826771656</v>
      </c>
      <c r="K357" s="3">
        <f t="shared" si="97"/>
        <v>96.646885826771651</v>
      </c>
      <c r="L357" s="34">
        <f t="shared" si="98"/>
        <v>94.146885826771651</v>
      </c>
      <c r="M357" s="3">
        <f t="shared" si="99"/>
        <v>-28.599999999999998</v>
      </c>
      <c r="N357" s="3">
        <f t="shared" si="100"/>
        <v>137.6</v>
      </c>
      <c r="O357" s="3"/>
      <c r="P357" s="3">
        <f t="shared" si="101"/>
        <v>125.68787401574805</v>
      </c>
      <c r="Q357" s="3">
        <f t="shared" si="102"/>
        <v>147.59797165354331</v>
      </c>
      <c r="R357" s="3">
        <f>vd(DataTable[[#This Row],[Sentido]],DataTable[[#This Row],[Valor]])</f>
        <v>138.53622047244096</v>
      </c>
      <c r="S357" s="3">
        <f>IF(DataTable[[#This Row],[Valor]]&gt;1,1,1)</f>
        <v>1</v>
      </c>
      <c r="T357" s="3">
        <f>IF(DataTable[[#This Row],[Valor]]&gt;1,1,1)</f>
        <v>1</v>
      </c>
      <c r="U357" s="3">
        <f>angr(DataTable[[#This Row],[Sentido]],DataTable[[#This Row],[Valor]])</f>
        <v>27.548818897637791</v>
      </c>
      <c r="V357" s="3">
        <f>ANGI(DataTable[[#This Row],[Sentido]],DataTable[[#This Row],[Valor]])</f>
        <v>30.832283464566927</v>
      </c>
      <c r="W357" s="3">
        <f t="shared" si="103"/>
        <v>3</v>
      </c>
      <c r="X357" s="3">
        <f>IF(DataTable[[#This Row],[Valor]]&gt;1,1,1)</f>
        <v>1</v>
      </c>
      <c r="Y357" s="3">
        <f t="shared" si="104"/>
        <v>3</v>
      </c>
      <c r="Z357" s="3">
        <f>IF(AND(DataTable[[#This Row],[Sentido]]="URUGUAI para BRASIL",DataTable[[#This Row],[Valor]]&gt;350),1,0)</f>
        <v>0</v>
      </c>
      <c r="AA357" s="3">
        <f>IF(DataTable[[#This Row],[Valor]]&gt;1,0,0)</f>
        <v>0</v>
      </c>
    </row>
    <row r="358" spans="1:27" x14ac:dyDescent="0.25">
      <c r="A358" s="2" t="s">
        <v>21</v>
      </c>
      <c r="B358" s="2">
        <v>406</v>
      </c>
      <c r="C358" s="3">
        <f t="shared" si="90"/>
        <v>91.719110236220473</v>
      </c>
      <c r="D358" s="3">
        <f t="shared" si="91"/>
        <v>96.719110236220473</v>
      </c>
      <c r="E358" s="3">
        <f t="shared" si="92"/>
        <v>94.219110236220473</v>
      </c>
      <c r="F358" s="3">
        <f t="shared" si="93"/>
        <v>26.28</v>
      </c>
      <c r="G358" s="3">
        <f t="shared" si="94"/>
        <v>83.8</v>
      </c>
      <c r="H358" s="3">
        <f t="shared" si="95"/>
        <v>83.8</v>
      </c>
      <c r="I358" s="3"/>
      <c r="J358" s="3">
        <f t="shared" si="96"/>
        <v>92.736810236220478</v>
      </c>
      <c r="K358" s="3">
        <f t="shared" si="97"/>
        <v>96.719110236220473</v>
      </c>
      <c r="L358" s="34">
        <f t="shared" si="98"/>
        <v>94.219110236220473</v>
      </c>
      <c r="M358" s="3">
        <f t="shared" si="99"/>
        <v>-28.72</v>
      </c>
      <c r="N358" s="3">
        <f t="shared" si="100"/>
        <v>137.52000000000001</v>
      </c>
      <c r="O358" s="3"/>
      <c r="P358" s="3">
        <f t="shared" si="101"/>
        <v>125.94053543307086</v>
      </c>
      <c r="Q358" s="3">
        <f t="shared" si="102"/>
        <v>147.70342047244094</v>
      </c>
      <c r="R358" s="3">
        <f>vd(DataTable[[#This Row],[Sentido]],DataTable[[#This Row],[Valor]])</f>
        <v>138.796062992126</v>
      </c>
      <c r="S358" s="3">
        <f>IF(DataTable[[#This Row],[Valor]]&gt;1,1,1)</f>
        <v>1</v>
      </c>
      <c r="T358" s="3">
        <f>IF(DataTable[[#This Row],[Valor]]&gt;1,1,1)</f>
        <v>1</v>
      </c>
      <c r="U358" s="3">
        <f>angr(DataTable[[#This Row],[Sentido]],DataTable[[#This Row],[Valor]])</f>
        <v>27.442519685039368</v>
      </c>
      <c r="V358" s="3">
        <f>ANGI(DataTable[[#This Row],[Sentido]],DataTable[[#This Row],[Valor]])</f>
        <v>30.73779527559055</v>
      </c>
      <c r="W358" s="3">
        <f t="shared" si="103"/>
        <v>3</v>
      </c>
      <c r="X358" s="3">
        <f>IF(DataTable[[#This Row],[Valor]]&gt;1,1,1)</f>
        <v>1</v>
      </c>
      <c r="Y358" s="3">
        <f t="shared" si="104"/>
        <v>3</v>
      </c>
      <c r="Z358" s="3">
        <f>IF(AND(DataTable[[#This Row],[Sentido]]="URUGUAI para BRASIL",DataTable[[#This Row],[Valor]]&gt;350),1,0)</f>
        <v>0</v>
      </c>
      <c r="AA358" s="3">
        <f>IF(DataTable[[#This Row],[Valor]]&gt;1,0,0)</f>
        <v>0</v>
      </c>
    </row>
    <row r="359" spans="1:27" x14ac:dyDescent="0.25">
      <c r="A359" s="2" t="s">
        <v>21</v>
      </c>
      <c r="B359" s="2">
        <v>407</v>
      </c>
      <c r="C359" s="3">
        <f t="shared" si="90"/>
        <v>91.791334645669295</v>
      </c>
      <c r="D359" s="3">
        <f t="shared" si="91"/>
        <v>96.791334645669295</v>
      </c>
      <c r="E359" s="3">
        <f t="shared" si="92"/>
        <v>94.291334645669295</v>
      </c>
      <c r="F359" s="3">
        <f t="shared" si="93"/>
        <v>26.160000000000004</v>
      </c>
      <c r="G359" s="3">
        <f t="shared" si="94"/>
        <v>83.6</v>
      </c>
      <c r="H359" s="3">
        <f t="shared" si="95"/>
        <v>83.6</v>
      </c>
      <c r="I359" s="3"/>
      <c r="J359" s="3">
        <f t="shared" si="96"/>
        <v>92.8090346456693</v>
      </c>
      <c r="K359" s="3">
        <f t="shared" si="97"/>
        <v>96.791334645669295</v>
      </c>
      <c r="L359" s="34">
        <f t="shared" si="98"/>
        <v>94.291334645669295</v>
      </c>
      <c r="M359" s="3">
        <f t="shared" si="99"/>
        <v>-28.84</v>
      </c>
      <c r="N359" s="3">
        <f t="shared" si="100"/>
        <v>137.44</v>
      </c>
      <c r="O359" s="3"/>
      <c r="P359" s="3">
        <f t="shared" si="101"/>
        <v>126.1931968503937</v>
      </c>
      <c r="Q359" s="3">
        <f t="shared" si="102"/>
        <v>147.80886929133857</v>
      </c>
      <c r="R359" s="3">
        <f>vd(DataTable[[#This Row],[Sentido]],DataTable[[#This Row],[Valor]])</f>
        <v>139.03937007874018</v>
      </c>
      <c r="S359" s="3">
        <f>IF(DataTable[[#This Row],[Valor]]&gt;1,1,1)</f>
        <v>1</v>
      </c>
      <c r="T359" s="3">
        <f>IF(DataTable[[#This Row],[Valor]]&gt;1,1,1)</f>
        <v>1</v>
      </c>
      <c r="U359" s="3">
        <f>angr(DataTable[[#This Row],[Sentido]],DataTable[[#This Row],[Valor]])</f>
        <v>27.345669291338581</v>
      </c>
      <c r="V359" s="3">
        <f>ANGI(DataTable[[#This Row],[Sentido]],DataTable[[#This Row],[Valor]])</f>
        <v>30.65275590551181</v>
      </c>
      <c r="W359" s="3">
        <f t="shared" si="103"/>
        <v>3</v>
      </c>
      <c r="X359" s="3">
        <f>IF(DataTable[[#This Row],[Valor]]&gt;1,1,1)</f>
        <v>1</v>
      </c>
      <c r="Y359" s="3">
        <f t="shared" si="104"/>
        <v>3</v>
      </c>
      <c r="Z359" s="3">
        <f>IF(AND(DataTable[[#This Row],[Sentido]]="URUGUAI para BRASIL",DataTable[[#This Row],[Valor]]&gt;350),1,0)</f>
        <v>0</v>
      </c>
      <c r="AA359" s="3">
        <f>IF(DataTable[[#This Row],[Valor]]&gt;1,0,0)</f>
        <v>0</v>
      </c>
    </row>
    <row r="360" spans="1:27" x14ac:dyDescent="0.25">
      <c r="A360" s="2" t="s">
        <v>21</v>
      </c>
      <c r="B360" s="2">
        <v>408</v>
      </c>
      <c r="C360" s="3">
        <f t="shared" si="90"/>
        <v>91.863559055118117</v>
      </c>
      <c r="D360" s="3">
        <f t="shared" si="91"/>
        <v>96.863559055118117</v>
      </c>
      <c r="E360" s="3">
        <f t="shared" si="92"/>
        <v>94.363559055118117</v>
      </c>
      <c r="F360" s="3">
        <f t="shared" si="93"/>
        <v>26.04</v>
      </c>
      <c r="G360" s="3">
        <f t="shared" si="94"/>
        <v>83.4</v>
      </c>
      <c r="H360" s="3">
        <f t="shared" si="95"/>
        <v>83.4</v>
      </c>
      <c r="I360" s="3"/>
      <c r="J360" s="3">
        <f t="shared" si="96"/>
        <v>92.881259055118107</v>
      </c>
      <c r="K360" s="3">
        <f t="shared" si="97"/>
        <v>96.863559055118117</v>
      </c>
      <c r="L360" s="34">
        <f t="shared" si="98"/>
        <v>94.363559055118117</v>
      </c>
      <c r="M360" s="3">
        <f t="shared" si="99"/>
        <v>-28.96</v>
      </c>
      <c r="N360" s="3">
        <f t="shared" si="100"/>
        <v>137.36000000000001</v>
      </c>
      <c r="O360" s="3"/>
      <c r="P360" s="3">
        <f t="shared" si="101"/>
        <v>126.44585826771655</v>
      </c>
      <c r="Q360" s="3">
        <f t="shared" si="102"/>
        <v>147.91431811023622</v>
      </c>
      <c r="R360" s="3">
        <f>vd(DataTable[[#This Row],[Sentido]],DataTable[[#This Row],[Valor]])</f>
        <v>139.27165354330708</v>
      </c>
      <c r="S360" s="3">
        <f>IF(DataTable[[#This Row],[Valor]]&gt;1,1,1)</f>
        <v>1</v>
      </c>
      <c r="T360" s="3">
        <f>IF(DataTable[[#This Row],[Valor]]&gt;1,1,1)</f>
        <v>1</v>
      </c>
      <c r="U360" s="3">
        <f>angr(DataTable[[#This Row],[Sentido]],DataTable[[#This Row],[Valor]])</f>
        <v>27.255118110236218</v>
      </c>
      <c r="V360" s="3">
        <f>ANGI(DataTable[[#This Row],[Sentido]],DataTable[[#This Row],[Valor]])</f>
        <v>30.574015748031496</v>
      </c>
      <c r="W360" s="3">
        <f t="shared" si="103"/>
        <v>3</v>
      </c>
      <c r="X360" s="3">
        <f>IF(DataTable[[#This Row],[Valor]]&gt;1,1,1)</f>
        <v>1</v>
      </c>
      <c r="Y360" s="3">
        <f t="shared" si="104"/>
        <v>3</v>
      </c>
      <c r="Z360" s="3">
        <f>IF(AND(DataTable[[#This Row],[Sentido]]="URUGUAI para BRASIL",DataTable[[#This Row],[Valor]]&gt;350),1,0)</f>
        <v>0</v>
      </c>
      <c r="AA360" s="3">
        <f>IF(DataTable[[#This Row],[Valor]]&gt;1,0,0)</f>
        <v>0</v>
      </c>
    </row>
    <row r="361" spans="1:27" x14ac:dyDescent="0.25">
      <c r="A361" s="2" t="s">
        <v>21</v>
      </c>
      <c r="B361" s="2">
        <v>409</v>
      </c>
      <c r="C361" s="3">
        <f t="shared" si="90"/>
        <v>91.935783464566924</v>
      </c>
      <c r="D361" s="3">
        <f t="shared" si="91"/>
        <v>96.935783464566924</v>
      </c>
      <c r="E361" s="3">
        <f t="shared" si="92"/>
        <v>94.435783464566924</v>
      </c>
      <c r="F361" s="3">
        <f t="shared" si="93"/>
        <v>25.92</v>
      </c>
      <c r="G361" s="3">
        <f t="shared" si="94"/>
        <v>83.2</v>
      </c>
      <c r="H361" s="3">
        <f t="shared" si="95"/>
        <v>83.2</v>
      </c>
      <c r="I361" s="3"/>
      <c r="J361" s="3">
        <f t="shared" si="96"/>
        <v>92.953483464566929</v>
      </c>
      <c r="K361" s="3">
        <f t="shared" si="97"/>
        <v>96.935783464566924</v>
      </c>
      <c r="L361" s="34">
        <f t="shared" si="98"/>
        <v>94.435783464566924</v>
      </c>
      <c r="M361" s="3">
        <f t="shared" si="99"/>
        <v>-29.08</v>
      </c>
      <c r="N361" s="3">
        <f t="shared" si="100"/>
        <v>137.28</v>
      </c>
      <c r="O361" s="3"/>
      <c r="P361" s="3">
        <f t="shared" si="101"/>
        <v>126.69851968503937</v>
      </c>
      <c r="Q361" s="3">
        <f t="shared" si="102"/>
        <v>148.01976692913385</v>
      </c>
      <c r="R361" s="3">
        <f>vd(DataTable[[#This Row],[Sentido]],DataTable[[#This Row],[Valor]])</f>
        <v>139.50393700787401</v>
      </c>
      <c r="S361" s="3">
        <f>IF(DataTable[[#This Row],[Valor]]&gt;1,1,1)</f>
        <v>1</v>
      </c>
      <c r="T361" s="3">
        <f>IF(DataTable[[#This Row],[Valor]]&gt;1,1,1)</f>
        <v>1</v>
      </c>
      <c r="U361" s="3">
        <f>angr(DataTable[[#This Row],[Sentido]],DataTable[[#This Row],[Valor]])</f>
        <v>27.164566929133859</v>
      </c>
      <c r="V361" s="3">
        <f>ANGI(DataTable[[#This Row],[Sentido]],DataTable[[#This Row],[Valor]])</f>
        <v>30.495275590551181</v>
      </c>
      <c r="W361" s="3">
        <f t="shared" si="103"/>
        <v>3</v>
      </c>
      <c r="X361" s="3">
        <f>IF(DataTable[[#This Row],[Valor]]&gt;1,1,1)</f>
        <v>1</v>
      </c>
      <c r="Y361" s="3">
        <f t="shared" si="104"/>
        <v>3</v>
      </c>
      <c r="Z361" s="3">
        <f>IF(AND(DataTable[[#This Row],[Sentido]]="URUGUAI para BRASIL",DataTable[[#This Row],[Valor]]&gt;350),1,0)</f>
        <v>0</v>
      </c>
      <c r="AA361" s="3">
        <f>IF(DataTable[[#This Row],[Valor]]&gt;1,0,0)</f>
        <v>0</v>
      </c>
    </row>
    <row r="362" spans="1:27" x14ac:dyDescent="0.25">
      <c r="A362" s="2" t="s">
        <v>21</v>
      </c>
      <c r="B362" s="2">
        <v>410</v>
      </c>
      <c r="C362" s="3">
        <f t="shared" si="90"/>
        <v>92.008007874015746</v>
      </c>
      <c r="D362" s="3">
        <f t="shared" si="91"/>
        <v>97.008007874015746</v>
      </c>
      <c r="E362" s="3">
        <f t="shared" si="92"/>
        <v>94.508007874015746</v>
      </c>
      <c r="F362" s="3">
        <f t="shared" si="93"/>
        <v>25.799999999999997</v>
      </c>
      <c r="G362" s="3">
        <f t="shared" si="94"/>
        <v>83</v>
      </c>
      <c r="H362" s="3">
        <f t="shared" si="95"/>
        <v>83</v>
      </c>
      <c r="I362" s="3"/>
      <c r="J362" s="3">
        <f t="shared" si="96"/>
        <v>93.025707874015751</v>
      </c>
      <c r="K362" s="3">
        <f t="shared" si="97"/>
        <v>97.008007874015746</v>
      </c>
      <c r="L362" s="34">
        <f t="shared" si="98"/>
        <v>94.508007874015746</v>
      </c>
      <c r="M362" s="3">
        <f t="shared" si="99"/>
        <v>-29.2</v>
      </c>
      <c r="N362" s="3">
        <f t="shared" si="100"/>
        <v>137.19999999999999</v>
      </c>
      <c r="O362" s="3"/>
      <c r="P362" s="3">
        <f t="shared" si="101"/>
        <v>126.9511811023622</v>
      </c>
      <c r="Q362" s="3">
        <f t="shared" si="102"/>
        <v>148.12521574803151</v>
      </c>
      <c r="R362" s="3">
        <f>vd(DataTable[[#This Row],[Sentido]],DataTable[[#This Row],[Valor]])</f>
        <v>139.73622047244095</v>
      </c>
      <c r="S362" s="3">
        <f>IF(DataTable[[#This Row],[Valor]]&gt;1,1,1)</f>
        <v>1</v>
      </c>
      <c r="T362" s="3">
        <f>IF(DataTable[[#This Row],[Valor]]&gt;1,1,1)</f>
        <v>1</v>
      </c>
      <c r="U362" s="3">
        <f>angr(DataTable[[#This Row],[Sentido]],DataTable[[#This Row],[Valor]])</f>
        <v>27.074015748031496</v>
      </c>
      <c r="V362" s="3">
        <f>ANGI(DataTable[[#This Row],[Sentido]],DataTable[[#This Row],[Valor]])</f>
        <v>30.416535433070866</v>
      </c>
      <c r="W362" s="3">
        <f t="shared" si="103"/>
        <v>3</v>
      </c>
      <c r="X362" s="3">
        <f>IF(DataTable[[#This Row],[Valor]]&gt;1,1,1)</f>
        <v>1</v>
      </c>
      <c r="Y362" s="3">
        <f t="shared" si="104"/>
        <v>3</v>
      </c>
      <c r="Z362" s="3">
        <f>IF(AND(DataTable[[#This Row],[Sentido]]="URUGUAI para BRASIL",DataTable[[#This Row],[Valor]]&gt;350),1,0)</f>
        <v>0</v>
      </c>
      <c r="AA362" s="3">
        <f>IF(DataTable[[#This Row],[Valor]]&gt;1,0,0)</f>
        <v>0</v>
      </c>
    </row>
    <row r="363" spans="1:27" x14ac:dyDescent="0.25">
      <c r="A363" s="2" t="s">
        <v>21</v>
      </c>
      <c r="B363" s="2">
        <v>411</v>
      </c>
      <c r="C363" s="3">
        <f t="shared" si="90"/>
        <v>92.080232283464568</v>
      </c>
      <c r="D363" s="3">
        <f t="shared" si="91"/>
        <v>97.080232283464568</v>
      </c>
      <c r="E363" s="3">
        <f t="shared" si="92"/>
        <v>94.580232283464568</v>
      </c>
      <c r="F363" s="3">
        <f t="shared" si="93"/>
        <v>25.68</v>
      </c>
      <c r="G363" s="3">
        <f t="shared" si="94"/>
        <v>82.8</v>
      </c>
      <c r="H363" s="3">
        <f t="shared" si="95"/>
        <v>82.8</v>
      </c>
      <c r="I363" s="3"/>
      <c r="J363" s="3">
        <f t="shared" si="96"/>
        <v>93.097932283464559</v>
      </c>
      <c r="K363" s="3">
        <f t="shared" si="97"/>
        <v>97.080232283464568</v>
      </c>
      <c r="L363" s="34">
        <f t="shared" si="98"/>
        <v>94.580232283464568</v>
      </c>
      <c r="M363" s="3">
        <f t="shared" si="99"/>
        <v>-29.32</v>
      </c>
      <c r="N363" s="3">
        <f t="shared" si="100"/>
        <v>137.12</v>
      </c>
      <c r="O363" s="3"/>
      <c r="P363" s="3">
        <f t="shared" si="101"/>
        <v>127.20384251968503</v>
      </c>
      <c r="Q363" s="3">
        <f t="shared" si="102"/>
        <v>148.23066456692914</v>
      </c>
      <c r="R363" s="3">
        <f>vd(DataTable[[#This Row],[Sentido]],DataTable[[#This Row],[Valor]])</f>
        <v>139.96850393700788</v>
      </c>
      <c r="S363" s="3">
        <f>IF(DataTable[[#This Row],[Valor]]&gt;1,1,1)</f>
        <v>1</v>
      </c>
      <c r="T363" s="3">
        <f>IF(DataTable[[#This Row],[Valor]]&gt;1,1,1)</f>
        <v>1</v>
      </c>
      <c r="U363" s="3">
        <f>angr(DataTable[[#This Row],[Sentido]],DataTable[[#This Row],[Valor]])</f>
        <v>26.983464566929136</v>
      </c>
      <c r="V363" s="3">
        <f>ANGI(DataTable[[#This Row],[Sentido]],DataTable[[#This Row],[Valor]])</f>
        <v>30.337795275590555</v>
      </c>
      <c r="W363" s="3">
        <f t="shared" si="103"/>
        <v>3</v>
      </c>
      <c r="X363" s="3">
        <f>IF(DataTable[[#This Row],[Valor]]&gt;1,1,1)</f>
        <v>1</v>
      </c>
      <c r="Y363" s="3">
        <f t="shared" si="104"/>
        <v>3</v>
      </c>
      <c r="Z363" s="3">
        <f>IF(AND(DataTable[[#This Row],[Sentido]]="URUGUAI para BRASIL",DataTable[[#This Row],[Valor]]&gt;350),1,0)</f>
        <v>0</v>
      </c>
      <c r="AA363" s="3">
        <f>IF(DataTable[[#This Row],[Valor]]&gt;1,0,0)</f>
        <v>0</v>
      </c>
    </row>
    <row r="364" spans="1:27" x14ac:dyDescent="0.25">
      <c r="A364" s="2" t="s">
        <v>21</v>
      </c>
      <c r="B364" s="2">
        <v>412</v>
      </c>
      <c r="C364" s="3">
        <f t="shared" si="90"/>
        <v>92.15245669291339</v>
      </c>
      <c r="D364" s="3">
        <f t="shared" si="91"/>
        <v>97.15245669291339</v>
      </c>
      <c r="E364" s="3">
        <f t="shared" si="92"/>
        <v>94.65245669291339</v>
      </c>
      <c r="F364" s="3">
        <f t="shared" si="93"/>
        <v>25.560000000000002</v>
      </c>
      <c r="G364" s="3">
        <f t="shared" si="94"/>
        <v>82.6</v>
      </c>
      <c r="H364" s="3">
        <f t="shared" si="95"/>
        <v>82.6</v>
      </c>
      <c r="I364" s="3"/>
      <c r="J364" s="3">
        <f t="shared" si="96"/>
        <v>93.170156692913395</v>
      </c>
      <c r="K364" s="3">
        <f t="shared" si="97"/>
        <v>97.15245669291339</v>
      </c>
      <c r="L364" s="34">
        <f t="shared" si="98"/>
        <v>94.65245669291339</v>
      </c>
      <c r="M364" s="3">
        <f t="shared" si="99"/>
        <v>-29.439999999999998</v>
      </c>
      <c r="N364" s="3">
        <f t="shared" si="100"/>
        <v>137.04</v>
      </c>
      <c r="O364" s="3"/>
      <c r="P364" s="3">
        <f t="shared" si="101"/>
        <v>127.45650393700789</v>
      </c>
      <c r="Q364" s="3">
        <f t="shared" si="102"/>
        <v>148.33611338582676</v>
      </c>
      <c r="R364" s="3">
        <f>vd(DataTable[[#This Row],[Sentido]],DataTable[[#This Row],[Valor]])</f>
        <v>140.20078740157481</v>
      </c>
      <c r="S364" s="3">
        <f>IF(DataTable[[#This Row],[Valor]]&gt;1,1,1)</f>
        <v>1</v>
      </c>
      <c r="T364" s="3">
        <f>IF(DataTable[[#This Row],[Valor]]&gt;1,1,1)</f>
        <v>1</v>
      </c>
      <c r="U364" s="3">
        <f>angr(DataTable[[#This Row],[Sentido]],DataTable[[#This Row],[Valor]])</f>
        <v>26.89291338582677</v>
      </c>
      <c r="V364" s="3">
        <f>ANGI(DataTable[[#This Row],[Sentido]],DataTable[[#This Row],[Valor]])</f>
        <v>30.259055118110233</v>
      </c>
      <c r="W364" s="3">
        <f t="shared" si="103"/>
        <v>3</v>
      </c>
      <c r="X364" s="3">
        <f>IF(DataTable[[#This Row],[Valor]]&gt;1,1,1)</f>
        <v>1</v>
      </c>
      <c r="Y364" s="3">
        <f t="shared" si="104"/>
        <v>3</v>
      </c>
      <c r="Z364" s="3">
        <f>IF(AND(DataTable[[#This Row],[Sentido]]="URUGUAI para BRASIL",DataTable[[#This Row],[Valor]]&gt;350),1,0)</f>
        <v>0</v>
      </c>
      <c r="AA364" s="3">
        <f>IF(DataTable[[#This Row],[Valor]]&gt;1,0,0)</f>
        <v>0</v>
      </c>
    </row>
    <row r="365" spans="1:27" x14ac:dyDescent="0.25">
      <c r="A365" s="2" t="s">
        <v>21</v>
      </c>
      <c r="B365" s="2">
        <v>413</v>
      </c>
      <c r="C365" s="3">
        <f t="shared" si="90"/>
        <v>92.224681102362212</v>
      </c>
      <c r="D365" s="3">
        <f t="shared" si="91"/>
        <v>97.224681102362212</v>
      </c>
      <c r="E365" s="3">
        <f t="shared" si="92"/>
        <v>94.724681102362212</v>
      </c>
      <c r="F365" s="3">
        <f t="shared" si="93"/>
        <v>25.439999999999998</v>
      </c>
      <c r="G365" s="3">
        <f t="shared" si="94"/>
        <v>82.4</v>
      </c>
      <c r="H365" s="3">
        <f t="shared" si="95"/>
        <v>82.4</v>
      </c>
      <c r="I365" s="3"/>
      <c r="J365" s="3">
        <f t="shared" si="96"/>
        <v>93.242381102362202</v>
      </c>
      <c r="K365" s="3">
        <f t="shared" si="97"/>
        <v>97.224681102362212</v>
      </c>
      <c r="L365" s="34">
        <f t="shared" si="98"/>
        <v>94.724681102362212</v>
      </c>
      <c r="M365" s="3">
        <f t="shared" si="99"/>
        <v>-29.56</v>
      </c>
      <c r="N365" s="3">
        <f t="shared" si="100"/>
        <v>136.96</v>
      </c>
      <c r="O365" s="3"/>
      <c r="P365" s="3">
        <f t="shared" si="101"/>
        <v>127.70916535433071</v>
      </c>
      <c r="Q365" s="3">
        <f t="shared" si="102"/>
        <v>148.44156220472442</v>
      </c>
      <c r="R365" s="3">
        <f>vd(DataTable[[#This Row],[Sentido]],DataTable[[#This Row],[Valor]])</f>
        <v>140.43307086614175</v>
      </c>
      <c r="S365" s="3">
        <f>IF(DataTable[[#This Row],[Valor]]&gt;1,1,1)</f>
        <v>1</v>
      </c>
      <c r="T365" s="3">
        <f>IF(DataTable[[#This Row],[Valor]]&gt;1,1,1)</f>
        <v>1</v>
      </c>
      <c r="U365" s="3">
        <f>angr(DataTable[[#This Row],[Sentido]],DataTable[[#This Row],[Valor]])</f>
        <v>26.802362204724407</v>
      </c>
      <c r="V365" s="3">
        <f>ANGI(DataTable[[#This Row],[Sentido]],DataTable[[#This Row],[Valor]])</f>
        <v>30.180314960629918</v>
      </c>
      <c r="W365" s="3">
        <f t="shared" si="103"/>
        <v>3</v>
      </c>
      <c r="X365" s="3">
        <f>IF(DataTable[[#This Row],[Valor]]&gt;1,1,1)</f>
        <v>1</v>
      </c>
      <c r="Y365" s="3">
        <f t="shared" si="104"/>
        <v>3</v>
      </c>
      <c r="Z365" s="3">
        <f>IF(AND(DataTable[[#This Row],[Sentido]]="URUGUAI para BRASIL",DataTable[[#This Row],[Valor]]&gt;350),1,0)</f>
        <v>0</v>
      </c>
      <c r="AA365" s="3">
        <f>IF(DataTable[[#This Row],[Valor]]&gt;1,0,0)</f>
        <v>0</v>
      </c>
    </row>
    <row r="366" spans="1:27" x14ac:dyDescent="0.25">
      <c r="A366" s="2" t="s">
        <v>21</v>
      </c>
      <c r="B366" s="2">
        <v>414</v>
      </c>
      <c r="C366" s="3">
        <f t="shared" si="90"/>
        <v>92.296905511811019</v>
      </c>
      <c r="D366" s="3">
        <f t="shared" si="91"/>
        <v>97.296905511811019</v>
      </c>
      <c r="E366" s="3">
        <f t="shared" si="92"/>
        <v>94.796905511811019</v>
      </c>
      <c r="F366" s="3">
        <f t="shared" si="93"/>
        <v>25.32</v>
      </c>
      <c r="G366" s="3">
        <f t="shared" si="94"/>
        <v>82.2</v>
      </c>
      <c r="H366" s="3">
        <f t="shared" si="95"/>
        <v>82.2</v>
      </c>
      <c r="I366" s="3"/>
      <c r="J366" s="3">
        <f t="shared" si="96"/>
        <v>93.314605511811024</v>
      </c>
      <c r="K366" s="3">
        <f t="shared" si="97"/>
        <v>97.296905511811019</v>
      </c>
      <c r="L366" s="34">
        <f t="shared" si="98"/>
        <v>94.796905511811019</v>
      </c>
      <c r="M366" s="3">
        <f t="shared" si="99"/>
        <v>-29.68</v>
      </c>
      <c r="N366" s="3">
        <f t="shared" si="100"/>
        <v>136.88</v>
      </c>
      <c r="O366" s="3"/>
      <c r="P366" s="3">
        <f t="shared" si="101"/>
        <v>127.96182677165355</v>
      </c>
      <c r="Q366" s="3">
        <f t="shared" si="102"/>
        <v>148.54701102362205</v>
      </c>
      <c r="R366" s="3">
        <f>vd(DataTable[[#This Row],[Sentido]],DataTable[[#This Row],[Valor]])</f>
        <v>140.66535433070868</v>
      </c>
      <c r="S366" s="3">
        <f>IF(DataTable[[#This Row],[Valor]]&gt;1,1,1)</f>
        <v>1</v>
      </c>
      <c r="T366" s="3">
        <f>IF(DataTable[[#This Row],[Valor]]&gt;1,1,1)</f>
        <v>1</v>
      </c>
      <c r="U366" s="3">
        <f>angr(DataTable[[#This Row],[Sentido]],DataTable[[#This Row],[Valor]])</f>
        <v>26.711811023622047</v>
      </c>
      <c r="V366" s="3">
        <f>ANGI(DataTable[[#This Row],[Sentido]],DataTable[[#This Row],[Valor]])</f>
        <v>30.101574803149607</v>
      </c>
      <c r="W366" s="3">
        <f t="shared" si="103"/>
        <v>3</v>
      </c>
      <c r="X366" s="3">
        <f>IF(DataTable[[#This Row],[Valor]]&gt;1,1,1)</f>
        <v>1</v>
      </c>
      <c r="Y366" s="3">
        <f t="shared" si="104"/>
        <v>3</v>
      </c>
      <c r="Z366" s="3">
        <f>IF(AND(DataTable[[#This Row],[Sentido]]="URUGUAI para BRASIL",DataTable[[#This Row],[Valor]]&gt;350),1,0)</f>
        <v>0</v>
      </c>
      <c r="AA366" s="3">
        <f>IF(DataTable[[#This Row],[Valor]]&gt;1,0,0)</f>
        <v>0</v>
      </c>
    </row>
    <row r="367" spans="1:27" x14ac:dyDescent="0.25">
      <c r="A367" s="2" t="s">
        <v>21</v>
      </c>
      <c r="B367" s="2">
        <v>415</v>
      </c>
      <c r="C367" s="3">
        <f t="shared" si="90"/>
        <v>92.369129921259841</v>
      </c>
      <c r="D367" s="3">
        <f t="shared" si="91"/>
        <v>97.369129921259841</v>
      </c>
      <c r="E367" s="3">
        <f t="shared" si="92"/>
        <v>94.869129921259841</v>
      </c>
      <c r="F367" s="3">
        <f t="shared" si="93"/>
        <v>25.200000000000003</v>
      </c>
      <c r="G367" s="3">
        <f t="shared" si="94"/>
        <v>82</v>
      </c>
      <c r="H367" s="3">
        <f t="shared" si="95"/>
        <v>82</v>
      </c>
      <c r="I367" s="3"/>
      <c r="J367" s="3">
        <f t="shared" si="96"/>
        <v>93.386829921259846</v>
      </c>
      <c r="K367" s="3">
        <f t="shared" si="97"/>
        <v>97.369129921259841</v>
      </c>
      <c r="L367" s="34">
        <f t="shared" si="98"/>
        <v>94.869129921259841</v>
      </c>
      <c r="M367" s="3">
        <f t="shared" si="99"/>
        <v>-29.8</v>
      </c>
      <c r="N367" s="3">
        <f t="shared" si="100"/>
        <v>136.80000000000001</v>
      </c>
      <c r="O367" s="3"/>
      <c r="P367" s="3">
        <f t="shared" si="101"/>
        <v>128.21448818897639</v>
      </c>
      <c r="Q367" s="3">
        <f t="shared" si="102"/>
        <v>148.6524598425197</v>
      </c>
      <c r="R367" s="3">
        <f>vd(DataTable[[#This Row],[Sentido]],DataTable[[#This Row],[Valor]])</f>
        <v>140.89763779527559</v>
      </c>
      <c r="S367" s="3">
        <f>IF(DataTable[[#This Row],[Valor]]&gt;1,1,1)</f>
        <v>1</v>
      </c>
      <c r="T367" s="3">
        <f>IF(DataTable[[#This Row],[Valor]]&gt;1,1,1)</f>
        <v>1</v>
      </c>
      <c r="U367" s="3">
        <f>angr(DataTable[[#This Row],[Sentido]],DataTable[[#This Row],[Valor]])</f>
        <v>26.621259842519684</v>
      </c>
      <c r="V367" s="3">
        <f>ANGI(DataTable[[#This Row],[Sentido]],DataTable[[#This Row],[Valor]])</f>
        <v>30.022834645669292</v>
      </c>
      <c r="W367" s="3">
        <f t="shared" si="103"/>
        <v>3</v>
      </c>
      <c r="X367" s="3">
        <f>IF(DataTable[[#This Row],[Valor]]&gt;1,1,1)</f>
        <v>1</v>
      </c>
      <c r="Y367" s="3">
        <f t="shared" si="104"/>
        <v>3</v>
      </c>
      <c r="Z367" s="3">
        <f>IF(AND(DataTable[[#This Row],[Sentido]]="URUGUAI para BRASIL",DataTable[[#This Row],[Valor]]&gt;350),1,0)</f>
        <v>0</v>
      </c>
      <c r="AA367" s="3">
        <f>IF(DataTable[[#This Row],[Valor]]&gt;1,0,0)</f>
        <v>0</v>
      </c>
    </row>
    <row r="368" spans="1:27" x14ac:dyDescent="0.25">
      <c r="A368" s="2" t="s">
        <v>21</v>
      </c>
      <c r="B368" s="2">
        <v>416</v>
      </c>
      <c r="C368" s="3">
        <f t="shared" si="90"/>
        <v>92.441354330708663</v>
      </c>
      <c r="D368" s="3">
        <f t="shared" si="91"/>
        <v>97.441354330708663</v>
      </c>
      <c r="E368" s="3">
        <f t="shared" si="92"/>
        <v>94.941354330708663</v>
      </c>
      <c r="F368" s="3">
        <f t="shared" si="93"/>
        <v>25.08</v>
      </c>
      <c r="G368" s="3">
        <f t="shared" si="94"/>
        <v>81.8</v>
      </c>
      <c r="H368" s="3">
        <f t="shared" si="95"/>
        <v>81.8</v>
      </c>
      <c r="I368" s="3"/>
      <c r="J368" s="3">
        <f t="shared" si="96"/>
        <v>93.459054330708668</v>
      </c>
      <c r="K368" s="3">
        <f t="shared" si="97"/>
        <v>97.441354330708663</v>
      </c>
      <c r="L368" s="34">
        <f t="shared" si="98"/>
        <v>94.941354330708663</v>
      </c>
      <c r="M368" s="3">
        <f t="shared" si="99"/>
        <v>-29.919999999999998</v>
      </c>
      <c r="N368" s="3">
        <f t="shared" si="100"/>
        <v>136.72</v>
      </c>
      <c r="O368" s="3"/>
      <c r="P368" s="3">
        <f t="shared" si="101"/>
        <v>128.46714960629922</v>
      </c>
      <c r="Q368" s="3">
        <f t="shared" si="102"/>
        <v>148.75790866141733</v>
      </c>
      <c r="R368" s="3">
        <f>vd(DataTable[[#This Row],[Sentido]],DataTable[[#This Row],[Valor]])</f>
        <v>141.12992125984252</v>
      </c>
      <c r="S368" s="3">
        <f>IF(DataTable[[#This Row],[Valor]]&gt;1,1,1)</f>
        <v>1</v>
      </c>
      <c r="T368" s="3">
        <f>IF(DataTable[[#This Row],[Valor]]&gt;1,1,1)</f>
        <v>1</v>
      </c>
      <c r="U368" s="3">
        <f>angr(DataTable[[#This Row],[Sentido]],DataTable[[#This Row],[Valor]])</f>
        <v>26.530708661417325</v>
      </c>
      <c r="V368" s="3">
        <f>ANGI(DataTable[[#This Row],[Sentido]],DataTable[[#This Row],[Valor]])</f>
        <v>29.944094488188977</v>
      </c>
      <c r="W368" s="3">
        <f t="shared" si="103"/>
        <v>3</v>
      </c>
      <c r="X368" s="3">
        <f>IF(DataTable[[#This Row],[Valor]]&gt;1,1,1)</f>
        <v>1</v>
      </c>
      <c r="Y368" s="3">
        <f t="shared" si="104"/>
        <v>3</v>
      </c>
      <c r="Z368" s="3">
        <f>IF(AND(DataTable[[#This Row],[Sentido]]="URUGUAI para BRASIL",DataTable[[#This Row],[Valor]]&gt;350),1,0)</f>
        <v>0</v>
      </c>
      <c r="AA368" s="3">
        <f>IF(DataTable[[#This Row],[Valor]]&gt;1,0,0)</f>
        <v>0</v>
      </c>
    </row>
    <row r="369" spans="1:27" x14ac:dyDescent="0.25">
      <c r="A369" s="2" t="s">
        <v>21</v>
      </c>
      <c r="B369" s="2">
        <v>417</v>
      </c>
      <c r="C369" s="3">
        <f t="shared" si="90"/>
        <v>92.513578740157485</v>
      </c>
      <c r="D369" s="3">
        <f t="shared" si="91"/>
        <v>97.513578740157485</v>
      </c>
      <c r="E369" s="3">
        <f t="shared" si="92"/>
        <v>95.013578740157485</v>
      </c>
      <c r="F369" s="3">
        <f t="shared" si="93"/>
        <v>24.96</v>
      </c>
      <c r="G369" s="3">
        <f t="shared" si="94"/>
        <v>81.599999999999994</v>
      </c>
      <c r="H369" s="3">
        <f t="shared" si="95"/>
        <v>81.599999999999994</v>
      </c>
      <c r="I369" s="3"/>
      <c r="J369" s="3">
        <f t="shared" si="96"/>
        <v>93.531278740157475</v>
      </c>
      <c r="K369" s="3">
        <f t="shared" si="97"/>
        <v>97.513578740157485</v>
      </c>
      <c r="L369" s="34">
        <f t="shared" si="98"/>
        <v>95.013578740157485</v>
      </c>
      <c r="M369" s="3">
        <f t="shared" si="99"/>
        <v>-30.04</v>
      </c>
      <c r="N369" s="3">
        <f t="shared" si="100"/>
        <v>136.63999999999999</v>
      </c>
      <c r="O369" s="3"/>
      <c r="P369" s="3">
        <f t="shared" si="101"/>
        <v>128.71981102362204</v>
      </c>
      <c r="Q369" s="3">
        <f t="shared" si="102"/>
        <v>148.86335748031496</v>
      </c>
      <c r="R369" s="3">
        <f>vd(DataTable[[#This Row],[Sentido]],DataTable[[#This Row],[Valor]])</f>
        <v>141.36220472440945</v>
      </c>
      <c r="S369" s="3">
        <f>IF(DataTable[[#This Row],[Valor]]&gt;1,1,1)</f>
        <v>1</v>
      </c>
      <c r="T369" s="3">
        <f>IF(DataTable[[#This Row],[Valor]]&gt;1,1,1)</f>
        <v>1</v>
      </c>
      <c r="U369" s="3">
        <f>angr(DataTable[[#This Row],[Sentido]],DataTable[[#This Row],[Valor]])</f>
        <v>26.440157480314962</v>
      </c>
      <c r="V369" s="3">
        <f>ANGI(DataTable[[#This Row],[Sentido]],DataTable[[#This Row],[Valor]])</f>
        <v>29.865354330708662</v>
      </c>
      <c r="W369" s="3">
        <f t="shared" si="103"/>
        <v>3</v>
      </c>
      <c r="X369" s="3">
        <f>IF(DataTable[[#This Row],[Valor]]&gt;1,1,1)</f>
        <v>1</v>
      </c>
      <c r="Y369" s="3">
        <f t="shared" si="104"/>
        <v>3</v>
      </c>
      <c r="Z369" s="3">
        <f>IF(AND(DataTable[[#This Row],[Sentido]]="URUGUAI para BRASIL",DataTable[[#This Row],[Valor]]&gt;350),1,0)</f>
        <v>0</v>
      </c>
      <c r="AA369" s="3">
        <f>IF(DataTable[[#This Row],[Valor]]&gt;1,0,0)</f>
        <v>0</v>
      </c>
    </row>
    <row r="370" spans="1:27" x14ac:dyDescent="0.25">
      <c r="A370" s="2" t="s">
        <v>21</v>
      </c>
      <c r="B370" s="2">
        <v>418</v>
      </c>
      <c r="C370" s="3">
        <f t="shared" si="90"/>
        <v>92.585803149606306</v>
      </c>
      <c r="D370" s="3">
        <f t="shared" si="91"/>
        <v>97.585803149606306</v>
      </c>
      <c r="E370" s="3">
        <f t="shared" si="92"/>
        <v>95.085803149606306</v>
      </c>
      <c r="F370" s="3">
        <f t="shared" si="93"/>
        <v>24.840000000000003</v>
      </c>
      <c r="G370" s="3">
        <f t="shared" si="94"/>
        <v>81.400000000000006</v>
      </c>
      <c r="H370" s="3">
        <f t="shared" si="95"/>
        <v>81.400000000000006</v>
      </c>
      <c r="I370" s="3"/>
      <c r="J370" s="3">
        <f t="shared" si="96"/>
        <v>93.603503149606297</v>
      </c>
      <c r="K370" s="3">
        <f t="shared" si="97"/>
        <v>97.585803149606306</v>
      </c>
      <c r="L370" s="34">
        <f t="shared" si="98"/>
        <v>95.085803149606306</v>
      </c>
      <c r="M370" s="3">
        <f t="shared" si="99"/>
        <v>-30.16</v>
      </c>
      <c r="N370" s="3">
        <f t="shared" si="100"/>
        <v>136.56</v>
      </c>
      <c r="O370" s="3"/>
      <c r="P370" s="3">
        <f t="shared" si="101"/>
        <v>128.9724724409449</v>
      </c>
      <c r="Q370" s="3">
        <f t="shared" si="102"/>
        <v>148.96880629921262</v>
      </c>
      <c r="R370" s="3">
        <f>vd(DataTable[[#This Row],[Sentido]],DataTable[[#This Row],[Valor]])</f>
        <v>141.59448818897638</v>
      </c>
      <c r="S370" s="3">
        <f>IF(DataTable[[#This Row],[Valor]]&gt;1,1,1)</f>
        <v>1</v>
      </c>
      <c r="T370" s="3">
        <f>IF(DataTable[[#This Row],[Valor]]&gt;1,1,1)</f>
        <v>1</v>
      </c>
      <c r="U370" s="3">
        <f>angr(DataTable[[#This Row],[Sentido]],DataTable[[#This Row],[Valor]])</f>
        <v>26.349606299212596</v>
      </c>
      <c r="V370" s="3">
        <f>ANGI(DataTable[[#This Row],[Sentido]],DataTable[[#This Row],[Valor]])</f>
        <v>29.786614173228344</v>
      </c>
      <c r="W370" s="3">
        <f t="shared" si="103"/>
        <v>3</v>
      </c>
      <c r="X370" s="3">
        <f>IF(DataTable[[#This Row],[Valor]]&gt;1,1,1)</f>
        <v>1</v>
      </c>
      <c r="Y370" s="3">
        <f t="shared" si="104"/>
        <v>3</v>
      </c>
      <c r="Z370" s="3">
        <f>IF(AND(DataTable[[#This Row],[Sentido]]="URUGUAI para BRASIL",DataTable[[#This Row],[Valor]]&gt;350),1,0)</f>
        <v>0</v>
      </c>
      <c r="AA370" s="3">
        <f>IF(DataTable[[#This Row],[Valor]]&gt;1,0,0)</f>
        <v>0</v>
      </c>
    </row>
    <row r="371" spans="1:27" x14ac:dyDescent="0.25">
      <c r="A371" s="2" t="s">
        <v>21</v>
      </c>
      <c r="B371" s="2">
        <v>419</v>
      </c>
      <c r="C371" s="3">
        <f t="shared" si="90"/>
        <v>92.658027559055114</v>
      </c>
      <c r="D371" s="3">
        <f t="shared" si="91"/>
        <v>97.658027559055114</v>
      </c>
      <c r="E371" s="3">
        <f t="shared" si="92"/>
        <v>95.158027559055114</v>
      </c>
      <c r="F371" s="3">
        <f t="shared" si="93"/>
        <v>24.72</v>
      </c>
      <c r="G371" s="3">
        <f t="shared" si="94"/>
        <v>81.2</v>
      </c>
      <c r="H371" s="3">
        <f t="shared" si="95"/>
        <v>81.2</v>
      </c>
      <c r="I371" s="3"/>
      <c r="J371" s="3">
        <f t="shared" si="96"/>
        <v>93.675727559055119</v>
      </c>
      <c r="K371" s="3">
        <f t="shared" si="97"/>
        <v>97.658027559055114</v>
      </c>
      <c r="L371" s="34">
        <f t="shared" si="98"/>
        <v>95.158027559055114</v>
      </c>
      <c r="M371" s="3">
        <f t="shared" si="99"/>
        <v>-30.279999999999998</v>
      </c>
      <c r="N371" s="3">
        <f t="shared" si="100"/>
        <v>136.47999999999999</v>
      </c>
      <c r="O371" s="3"/>
      <c r="P371" s="3">
        <f t="shared" si="101"/>
        <v>129.22513385826772</v>
      </c>
      <c r="Q371" s="3">
        <f t="shared" si="102"/>
        <v>149.07425511811024</v>
      </c>
      <c r="R371" s="3">
        <f>vd(DataTable[[#This Row],[Sentido]],DataTable[[#This Row],[Valor]])</f>
        <v>141.82677165354332</v>
      </c>
      <c r="S371" s="3">
        <f>IF(DataTable[[#This Row],[Valor]]&gt;1,1,1)</f>
        <v>1</v>
      </c>
      <c r="T371" s="3">
        <f>IF(DataTable[[#This Row],[Valor]]&gt;1,1,1)</f>
        <v>1</v>
      </c>
      <c r="U371" s="3">
        <f>angr(DataTable[[#This Row],[Sentido]],DataTable[[#This Row],[Valor]])</f>
        <v>26.259055118110233</v>
      </c>
      <c r="V371" s="3">
        <f>ANGI(DataTable[[#This Row],[Sentido]],DataTable[[#This Row],[Valor]])</f>
        <v>29.707874015748029</v>
      </c>
      <c r="W371" s="3">
        <f t="shared" si="103"/>
        <v>3</v>
      </c>
      <c r="X371" s="3">
        <f>IF(DataTable[[#This Row],[Valor]]&gt;1,1,1)</f>
        <v>1</v>
      </c>
      <c r="Y371" s="3">
        <f t="shared" si="104"/>
        <v>3</v>
      </c>
      <c r="Z371" s="3">
        <f>IF(AND(DataTable[[#This Row],[Sentido]]="URUGUAI para BRASIL",DataTable[[#This Row],[Valor]]&gt;350),1,0)</f>
        <v>0</v>
      </c>
      <c r="AA371" s="3">
        <f>IF(DataTable[[#This Row],[Valor]]&gt;1,0,0)</f>
        <v>0</v>
      </c>
    </row>
    <row r="372" spans="1:27" x14ac:dyDescent="0.25">
      <c r="A372" s="2" t="s">
        <v>21</v>
      </c>
      <c r="B372" s="2">
        <v>420</v>
      </c>
      <c r="C372" s="3">
        <f t="shared" si="90"/>
        <v>92.730251968503936</v>
      </c>
      <c r="D372" s="3">
        <f t="shared" si="91"/>
        <v>97.730251968503936</v>
      </c>
      <c r="E372" s="3">
        <f t="shared" si="92"/>
        <v>95.230251968503936</v>
      </c>
      <c r="F372" s="3">
        <f t="shared" si="93"/>
        <v>24.6</v>
      </c>
      <c r="G372" s="3">
        <f t="shared" si="94"/>
        <v>81</v>
      </c>
      <c r="H372" s="3">
        <f t="shared" si="95"/>
        <v>81</v>
      </c>
      <c r="I372" s="3"/>
      <c r="J372" s="3">
        <f t="shared" si="96"/>
        <v>93.747951968503941</v>
      </c>
      <c r="K372" s="3">
        <f t="shared" si="97"/>
        <v>97.730251968503936</v>
      </c>
      <c r="L372" s="34">
        <f t="shared" si="98"/>
        <v>95.230251968503936</v>
      </c>
      <c r="M372" s="3">
        <f t="shared" si="99"/>
        <v>-30.4</v>
      </c>
      <c r="N372" s="3">
        <f t="shared" si="100"/>
        <v>136.4</v>
      </c>
      <c r="O372" s="3"/>
      <c r="P372" s="3">
        <f t="shared" si="101"/>
        <v>129.47779527559055</v>
      </c>
      <c r="Q372" s="3">
        <f t="shared" si="102"/>
        <v>149.17970393700787</v>
      </c>
      <c r="R372" s="3">
        <f>vd(DataTable[[#This Row],[Sentido]],DataTable[[#This Row],[Valor]])</f>
        <v>142.05905511811025</v>
      </c>
      <c r="S372" s="3">
        <f>IF(DataTable[[#This Row],[Valor]]&gt;1,1,1)</f>
        <v>1</v>
      </c>
      <c r="T372" s="3">
        <f>IF(DataTable[[#This Row],[Valor]]&gt;1,1,1)</f>
        <v>1</v>
      </c>
      <c r="U372" s="3">
        <f>angr(DataTable[[#This Row],[Sentido]],DataTable[[#This Row],[Valor]])</f>
        <v>26.168503937007873</v>
      </c>
      <c r="V372" s="3">
        <f>ANGI(DataTable[[#This Row],[Sentido]],DataTable[[#This Row],[Valor]])</f>
        <v>29.629133858267714</v>
      </c>
      <c r="W372" s="3">
        <f t="shared" si="103"/>
        <v>3</v>
      </c>
      <c r="X372" s="3">
        <f>IF(DataTable[[#This Row],[Valor]]&gt;1,1,1)</f>
        <v>1</v>
      </c>
      <c r="Y372" s="3">
        <f t="shared" si="104"/>
        <v>3</v>
      </c>
      <c r="Z372" s="3">
        <f>IF(AND(DataTable[[#This Row],[Sentido]]="URUGUAI para BRASIL",DataTable[[#This Row],[Valor]]&gt;350),1,0)</f>
        <v>0</v>
      </c>
      <c r="AA372" s="3">
        <f>IF(DataTable[[#This Row],[Valor]]&gt;1,0,0)</f>
        <v>0</v>
      </c>
    </row>
    <row r="373" spans="1:27" x14ac:dyDescent="0.25">
      <c r="A373" s="2" t="s">
        <v>21</v>
      </c>
      <c r="B373" s="2">
        <v>421</v>
      </c>
      <c r="C373" s="3">
        <f t="shared" si="90"/>
        <v>92.802476377952758</v>
      </c>
      <c r="D373" s="3">
        <f t="shared" si="91"/>
        <v>97.802476377952758</v>
      </c>
      <c r="E373" s="3">
        <f t="shared" si="92"/>
        <v>95.302476377952758</v>
      </c>
      <c r="F373" s="3">
        <f t="shared" si="93"/>
        <v>24.480000000000004</v>
      </c>
      <c r="G373" s="3">
        <f t="shared" si="94"/>
        <v>80.8</v>
      </c>
      <c r="H373" s="3">
        <f t="shared" si="95"/>
        <v>80.8</v>
      </c>
      <c r="I373" s="3"/>
      <c r="J373" s="3">
        <f t="shared" si="96"/>
        <v>93.820176377952762</v>
      </c>
      <c r="K373" s="3">
        <f t="shared" si="97"/>
        <v>97.802476377952758</v>
      </c>
      <c r="L373" s="34">
        <f t="shared" si="98"/>
        <v>95.302476377952758</v>
      </c>
      <c r="M373" s="3">
        <f t="shared" si="99"/>
        <v>-30.52</v>
      </c>
      <c r="N373" s="3">
        <f t="shared" si="100"/>
        <v>136.32</v>
      </c>
      <c r="O373" s="3"/>
      <c r="P373" s="3">
        <f t="shared" si="101"/>
        <v>129.73045669291338</v>
      </c>
      <c r="Q373" s="3">
        <f t="shared" si="102"/>
        <v>149.2851527559055</v>
      </c>
      <c r="R373" s="3">
        <f>vd(DataTable[[#This Row],[Sentido]],DataTable[[#This Row],[Valor]])</f>
        <v>142.29133858267718</v>
      </c>
      <c r="S373" s="3">
        <f>IF(DataTable[[#This Row],[Valor]]&gt;1,1,1)</f>
        <v>1</v>
      </c>
      <c r="T373" s="3">
        <f>IF(DataTable[[#This Row],[Valor]]&gt;1,1,1)</f>
        <v>1</v>
      </c>
      <c r="U373" s="3">
        <f>angr(DataTable[[#This Row],[Sentido]],DataTable[[#This Row],[Valor]])</f>
        <v>26.07795275590551</v>
      </c>
      <c r="V373" s="3">
        <f>ANGI(DataTable[[#This Row],[Sentido]],DataTable[[#This Row],[Valor]])</f>
        <v>29.550393700787399</v>
      </c>
      <c r="W373" s="3">
        <f t="shared" si="103"/>
        <v>3</v>
      </c>
      <c r="X373" s="3">
        <f>IF(DataTable[[#This Row],[Valor]]&gt;1,1,1)</f>
        <v>1</v>
      </c>
      <c r="Y373" s="3">
        <f t="shared" si="104"/>
        <v>3</v>
      </c>
      <c r="Z373" s="3">
        <f>IF(AND(DataTable[[#This Row],[Sentido]]="URUGUAI para BRASIL",DataTable[[#This Row],[Valor]]&gt;350),1,0)</f>
        <v>0</v>
      </c>
      <c r="AA373" s="3">
        <f>IF(DataTable[[#This Row],[Valor]]&gt;1,0,0)</f>
        <v>0</v>
      </c>
    </row>
    <row r="374" spans="1:27" x14ac:dyDescent="0.25">
      <c r="A374" s="2" t="s">
        <v>21</v>
      </c>
      <c r="B374" s="2">
        <v>422</v>
      </c>
      <c r="C374" s="3">
        <f t="shared" si="90"/>
        <v>92.874700787401579</v>
      </c>
      <c r="D374" s="3">
        <f t="shared" si="91"/>
        <v>97.874700787401579</v>
      </c>
      <c r="E374" s="3">
        <f t="shared" si="92"/>
        <v>95.374700787401579</v>
      </c>
      <c r="F374" s="3">
        <f t="shared" si="93"/>
        <v>24.36</v>
      </c>
      <c r="G374" s="3">
        <f t="shared" si="94"/>
        <v>80.599999999999994</v>
      </c>
      <c r="H374" s="3">
        <f t="shared" si="95"/>
        <v>80.599999999999994</v>
      </c>
      <c r="I374" s="3"/>
      <c r="J374" s="3">
        <f t="shared" si="96"/>
        <v>93.89240078740157</v>
      </c>
      <c r="K374" s="3">
        <f t="shared" si="97"/>
        <v>97.874700787401579</v>
      </c>
      <c r="L374" s="34">
        <f t="shared" si="98"/>
        <v>95.374700787401579</v>
      </c>
      <c r="M374" s="3">
        <f t="shared" si="99"/>
        <v>-30.64</v>
      </c>
      <c r="N374" s="3">
        <f t="shared" si="100"/>
        <v>136.24</v>
      </c>
      <c r="O374" s="3"/>
      <c r="P374" s="3">
        <f t="shared" si="101"/>
        <v>129.98311811023623</v>
      </c>
      <c r="Q374" s="3">
        <f t="shared" si="102"/>
        <v>149.39060157480316</v>
      </c>
      <c r="R374" s="3">
        <f>vd(DataTable[[#This Row],[Sentido]],DataTable[[#This Row],[Valor]])</f>
        <v>142.52362204724409</v>
      </c>
      <c r="S374" s="3">
        <f>IF(DataTable[[#This Row],[Valor]]&gt;1,1,1)</f>
        <v>1</v>
      </c>
      <c r="T374" s="3">
        <f>IF(DataTable[[#This Row],[Valor]]&gt;1,1,1)</f>
        <v>1</v>
      </c>
      <c r="U374" s="3">
        <f>angr(DataTable[[#This Row],[Sentido]],DataTable[[#This Row],[Valor]])</f>
        <v>25.987401574803151</v>
      </c>
      <c r="V374" s="3">
        <f>ANGI(DataTable[[#This Row],[Sentido]],DataTable[[#This Row],[Valor]])</f>
        <v>29.471653543307088</v>
      </c>
      <c r="W374" s="3">
        <f t="shared" si="103"/>
        <v>3</v>
      </c>
      <c r="X374" s="3">
        <f>IF(DataTable[[#This Row],[Valor]]&gt;1,1,1)</f>
        <v>1</v>
      </c>
      <c r="Y374" s="3">
        <f t="shared" si="104"/>
        <v>3</v>
      </c>
      <c r="Z374" s="3">
        <f>IF(AND(DataTable[[#This Row],[Sentido]]="URUGUAI para BRASIL",DataTable[[#This Row],[Valor]]&gt;350),1,0)</f>
        <v>0</v>
      </c>
      <c r="AA374" s="3">
        <f>IF(DataTable[[#This Row],[Valor]]&gt;1,0,0)</f>
        <v>0</v>
      </c>
    </row>
    <row r="375" spans="1:27" x14ac:dyDescent="0.25">
      <c r="A375" s="2" t="s">
        <v>21</v>
      </c>
      <c r="B375" s="2">
        <v>423</v>
      </c>
      <c r="C375" s="3">
        <f t="shared" si="90"/>
        <v>92.946925196850387</v>
      </c>
      <c r="D375" s="3">
        <f t="shared" si="91"/>
        <v>97.946925196850387</v>
      </c>
      <c r="E375" s="3">
        <f t="shared" si="92"/>
        <v>95.446925196850387</v>
      </c>
      <c r="F375" s="3">
        <f t="shared" si="93"/>
        <v>24.240000000000002</v>
      </c>
      <c r="G375" s="3">
        <f t="shared" si="94"/>
        <v>80.400000000000006</v>
      </c>
      <c r="H375" s="3">
        <f t="shared" si="95"/>
        <v>80.400000000000006</v>
      </c>
      <c r="I375" s="3"/>
      <c r="J375" s="3">
        <f t="shared" si="96"/>
        <v>93.964625196850392</v>
      </c>
      <c r="K375" s="3">
        <f t="shared" si="97"/>
        <v>97.946925196850387</v>
      </c>
      <c r="L375" s="34">
        <f t="shared" si="98"/>
        <v>95.446925196850387</v>
      </c>
      <c r="M375" s="3">
        <f t="shared" si="99"/>
        <v>-30.759999999999998</v>
      </c>
      <c r="N375" s="3">
        <f t="shared" si="100"/>
        <v>136.16</v>
      </c>
      <c r="O375" s="3"/>
      <c r="P375" s="3">
        <f t="shared" si="101"/>
        <v>130.23577952755903</v>
      </c>
      <c r="Q375" s="3">
        <f t="shared" si="102"/>
        <v>149.49605039370078</v>
      </c>
      <c r="R375" s="3">
        <f>vd(DataTable[[#This Row],[Sentido]],DataTable[[#This Row],[Valor]])</f>
        <v>142.75590551181102</v>
      </c>
      <c r="S375" s="3">
        <f>IF(DataTable[[#This Row],[Valor]]&gt;1,1,1)</f>
        <v>1</v>
      </c>
      <c r="T375" s="3">
        <f>IF(DataTable[[#This Row],[Valor]]&gt;1,1,1)</f>
        <v>1</v>
      </c>
      <c r="U375" s="3">
        <f>angr(DataTable[[#This Row],[Sentido]],DataTable[[#This Row],[Valor]])</f>
        <v>25.896850393700788</v>
      </c>
      <c r="V375" s="3">
        <f>ANGI(DataTable[[#This Row],[Sentido]],DataTable[[#This Row],[Valor]])</f>
        <v>29.392913385826773</v>
      </c>
      <c r="W375" s="3">
        <f t="shared" si="103"/>
        <v>3</v>
      </c>
      <c r="X375" s="3">
        <f>IF(DataTable[[#This Row],[Valor]]&gt;1,1,1)</f>
        <v>1</v>
      </c>
      <c r="Y375" s="3">
        <f t="shared" si="104"/>
        <v>3</v>
      </c>
      <c r="Z375" s="3">
        <f>IF(AND(DataTable[[#This Row],[Sentido]]="URUGUAI para BRASIL",DataTable[[#This Row],[Valor]]&gt;350),1,0)</f>
        <v>0</v>
      </c>
      <c r="AA375" s="3">
        <f>IF(DataTable[[#This Row],[Valor]]&gt;1,0,0)</f>
        <v>0</v>
      </c>
    </row>
    <row r="376" spans="1:27" x14ac:dyDescent="0.25">
      <c r="A376" s="2" t="s">
        <v>21</v>
      </c>
      <c r="B376" s="2">
        <v>424</v>
      </c>
      <c r="C376" s="3">
        <f t="shared" si="90"/>
        <v>93.019149606299209</v>
      </c>
      <c r="D376" s="3">
        <f t="shared" si="91"/>
        <v>98.019149606299209</v>
      </c>
      <c r="E376" s="3">
        <f t="shared" si="92"/>
        <v>95.519149606299209</v>
      </c>
      <c r="F376" s="3">
        <f t="shared" si="93"/>
        <v>24.119999999999997</v>
      </c>
      <c r="G376" s="3">
        <f t="shared" si="94"/>
        <v>80.2</v>
      </c>
      <c r="H376" s="3">
        <f t="shared" si="95"/>
        <v>80.2</v>
      </c>
      <c r="I376" s="3"/>
      <c r="J376" s="3">
        <f t="shared" si="96"/>
        <v>94.036849606299214</v>
      </c>
      <c r="K376" s="3">
        <f t="shared" si="97"/>
        <v>98.019149606299209</v>
      </c>
      <c r="L376" s="34">
        <f t="shared" si="98"/>
        <v>95.519149606299209</v>
      </c>
      <c r="M376" s="3">
        <f t="shared" si="99"/>
        <v>-30.88</v>
      </c>
      <c r="N376" s="3">
        <f t="shared" si="100"/>
        <v>136.08000000000001</v>
      </c>
      <c r="O376" s="3"/>
      <c r="P376" s="3">
        <f t="shared" si="101"/>
        <v>130.48844094488189</v>
      </c>
      <c r="Q376" s="3">
        <f t="shared" si="102"/>
        <v>149.60149921259841</v>
      </c>
      <c r="R376" s="3">
        <f>vd(DataTable[[#This Row],[Sentido]],DataTable[[#This Row],[Valor]])</f>
        <v>142.98818897637796</v>
      </c>
      <c r="S376" s="3">
        <f>IF(DataTable[[#This Row],[Valor]]&gt;1,1,1)</f>
        <v>1</v>
      </c>
      <c r="T376" s="3">
        <f>IF(DataTable[[#This Row],[Valor]]&gt;1,1,1)</f>
        <v>1</v>
      </c>
      <c r="U376" s="3">
        <f>angr(DataTable[[#This Row],[Sentido]],DataTable[[#This Row],[Valor]])</f>
        <v>25.806299212598429</v>
      </c>
      <c r="V376" s="3">
        <f>ANGI(DataTable[[#This Row],[Sentido]],DataTable[[#This Row],[Valor]])</f>
        <v>29.314173228346458</v>
      </c>
      <c r="W376" s="3">
        <f t="shared" si="103"/>
        <v>3</v>
      </c>
      <c r="X376" s="3">
        <f>IF(DataTable[[#This Row],[Valor]]&gt;1,1,1)</f>
        <v>1</v>
      </c>
      <c r="Y376" s="3">
        <f t="shared" si="104"/>
        <v>3</v>
      </c>
      <c r="Z376" s="3">
        <f>IF(AND(DataTable[[#This Row],[Sentido]]="URUGUAI para BRASIL",DataTable[[#This Row],[Valor]]&gt;350),1,0)</f>
        <v>0</v>
      </c>
      <c r="AA376" s="3">
        <f>IF(DataTable[[#This Row],[Valor]]&gt;1,0,0)</f>
        <v>0</v>
      </c>
    </row>
    <row r="377" spans="1:27" x14ac:dyDescent="0.25">
      <c r="A377" s="2" t="s">
        <v>21</v>
      </c>
      <c r="B377" s="2">
        <v>425</v>
      </c>
      <c r="C377" s="3">
        <f t="shared" si="90"/>
        <v>93.091374015748031</v>
      </c>
      <c r="D377" s="3">
        <f t="shared" si="91"/>
        <v>98.091374015748031</v>
      </c>
      <c r="E377" s="3">
        <f t="shared" si="92"/>
        <v>95.591374015748031</v>
      </c>
      <c r="F377" s="3">
        <f t="shared" si="93"/>
        <v>24</v>
      </c>
      <c r="G377" s="3">
        <f t="shared" si="94"/>
        <v>80</v>
      </c>
      <c r="H377" s="3">
        <f t="shared" si="95"/>
        <v>80</v>
      </c>
      <c r="I377" s="3"/>
      <c r="J377" s="3">
        <f t="shared" si="96"/>
        <v>94.109074015748035</v>
      </c>
      <c r="K377" s="3">
        <f t="shared" si="97"/>
        <v>98.091374015748031</v>
      </c>
      <c r="L377" s="34">
        <f t="shared" si="98"/>
        <v>95.591374015748031</v>
      </c>
      <c r="M377" s="3">
        <f t="shared" si="99"/>
        <v>-31</v>
      </c>
      <c r="N377" s="3">
        <f t="shared" si="100"/>
        <v>136</v>
      </c>
      <c r="O377" s="3"/>
      <c r="P377" s="3">
        <f t="shared" si="101"/>
        <v>130.74110236220474</v>
      </c>
      <c r="Q377" s="3">
        <f t="shared" si="102"/>
        <v>149.70694803149607</v>
      </c>
      <c r="R377" s="3">
        <f>vd(DataTable[[#This Row],[Sentido]],DataTable[[#This Row],[Valor]])</f>
        <v>143.22047244094489</v>
      </c>
      <c r="S377" s="3">
        <f>IF(DataTable[[#This Row],[Valor]]&gt;1,1,1)</f>
        <v>1</v>
      </c>
      <c r="T377" s="3">
        <f>IF(DataTable[[#This Row],[Valor]]&gt;1,1,1)</f>
        <v>1</v>
      </c>
      <c r="U377" s="3">
        <f>angr(DataTable[[#This Row],[Sentido]],DataTable[[#This Row],[Valor]])</f>
        <v>25.715748031496062</v>
      </c>
      <c r="V377" s="3">
        <f>ANGI(DataTable[[#This Row],[Sentido]],DataTable[[#This Row],[Valor]])</f>
        <v>29.23543307086614</v>
      </c>
      <c r="W377" s="3">
        <f t="shared" si="103"/>
        <v>3</v>
      </c>
      <c r="X377" s="3">
        <f>IF(DataTable[[#This Row],[Valor]]&gt;1,1,1)</f>
        <v>1</v>
      </c>
      <c r="Y377" s="3">
        <f t="shared" si="104"/>
        <v>3</v>
      </c>
      <c r="Z377" s="3">
        <f>IF(AND(DataTable[[#This Row],[Sentido]]="URUGUAI para BRASIL",DataTable[[#This Row],[Valor]]&gt;350),1,0)</f>
        <v>0</v>
      </c>
      <c r="AA377" s="3">
        <f>IF(DataTable[[#This Row],[Valor]]&gt;1,0,0)</f>
        <v>0</v>
      </c>
    </row>
    <row r="378" spans="1:27" x14ac:dyDescent="0.25">
      <c r="A378" s="2" t="s">
        <v>21</v>
      </c>
      <c r="B378" s="2">
        <v>426</v>
      </c>
      <c r="C378" s="3">
        <f t="shared" si="90"/>
        <v>93.163598425196852</v>
      </c>
      <c r="D378" s="3">
        <f t="shared" si="91"/>
        <v>98.163598425196852</v>
      </c>
      <c r="E378" s="3">
        <f t="shared" si="92"/>
        <v>95.663598425196852</v>
      </c>
      <c r="F378" s="3">
        <f t="shared" si="93"/>
        <v>23.880000000000003</v>
      </c>
      <c r="G378" s="3">
        <f t="shared" si="94"/>
        <v>79.8</v>
      </c>
      <c r="H378" s="3">
        <f t="shared" si="95"/>
        <v>79.8</v>
      </c>
      <c r="I378" s="3"/>
      <c r="J378" s="3">
        <f t="shared" si="96"/>
        <v>94.181298425196857</v>
      </c>
      <c r="K378" s="3">
        <f t="shared" si="97"/>
        <v>98.163598425196852</v>
      </c>
      <c r="L378" s="34">
        <f t="shared" si="98"/>
        <v>95.663598425196852</v>
      </c>
      <c r="M378" s="3">
        <f t="shared" si="99"/>
        <v>-31.119999999999997</v>
      </c>
      <c r="N378" s="3">
        <f t="shared" si="100"/>
        <v>135.91999999999999</v>
      </c>
      <c r="O378" s="3"/>
      <c r="P378" s="3">
        <f t="shared" si="101"/>
        <v>130.99376377952757</v>
      </c>
      <c r="Q378" s="3">
        <f t="shared" si="102"/>
        <v>149.8123968503937</v>
      </c>
      <c r="R378" s="3">
        <f>vd(DataTable[[#This Row],[Sentido]],DataTable[[#This Row],[Valor]])</f>
        <v>143.45275590551182</v>
      </c>
      <c r="S378" s="3">
        <f>IF(DataTable[[#This Row],[Valor]]&gt;1,1,1)</f>
        <v>1</v>
      </c>
      <c r="T378" s="3">
        <f>IF(DataTable[[#This Row],[Valor]]&gt;1,1,1)</f>
        <v>1</v>
      </c>
      <c r="U378" s="3">
        <f>angr(DataTable[[#This Row],[Sentido]],DataTable[[#This Row],[Valor]])</f>
        <v>25.625196850393699</v>
      </c>
      <c r="V378" s="3">
        <f>ANGI(DataTable[[#This Row],[Sentido]],DataTable[[#This Row],[Valor]])</f>
        <v>29.156692913385825</v>
      </c>
      <c r="W378" s="3">
        <f t="shared" si="103"/>
        <v>3</v>
      </c>
      <c r="X378" s="3">
        <f>IF(DataTable[[#This Row],[Valor]]&gt;1,1,1)</f>
        <v>1</v>
      </c>
      <c r="Y378" s="3">
        <f t="shared" si="104"/>
        <v>3</v>
      </c>
      <c r="Z378" s="3">
        <f>IF(AND(DataTable[[#This Row],[Sentido]]="URUGUAI para BRASIL",DataTable[[#This Row],[Valor]]&gt;350),1,0)</f>
        <v>0</v>
      </c>
      <c r="AA378" s="3">
        <f>IF(DataTable[[#This Row],[Valor]]&gt;1,0,0)</f>
        <v>0</v>
      </c>
    </row>
    <row r="379" spans="1:27" x14ac:dyDescent="0.25">
      <c r="A379" s="2" t="s">
        <v>21</v>
      </c>
      <c r="B379" s="2">
        <v>427</v>
      </c>
      <c r="C379" s="3">
        <f t="shared" si="90"/>
        <v>93.235822834645674</v>
      </c>
      <c r="D379" s="3">
        <f t="shared" si="91"/>
        <v>98.235822834645674</v>
      </c>
      <c r="E379" s="3">
        <f t="shared" si="92"/>
        <v>95.735822834645674</v>
      </c>
      <c r="F379" s="3">
        <f t="shared" si="93"/>
        <v>23.759999999999998</v>
      </c>
      <c r="G379" s="3">
        <f t="shared" si="94"/>
        <v>79.599999999999994</v>
      </c>
      <c r="H379" s="3">
        <f t="shared" si="95"/>
        <v>79.599999999999994</v>
      </c>
      <c r="I379" s="3"/>
      <c r="J379" s="3">
        <f t="shared" si="96"/>
        <v>94.253522834645665</v>
      </c>
      <c r="K379" s="3">
        <f t="shared" si="97"/>
        <v>98.235822834645674</v>
      </c>
      <c r="L379" s="34">
        <f t="shared" si="98"/>
        <v>95.735822834645674</v>
      </c>
      <c r="M379" s="3">
        <f t="shared" si="99"/>
        <v>-31.24</v>
      </c>
      <c r="N379" s="3">
        <f t="shared" si="100"/>
        <v>135.84</v>
      </c>
      <c r="O379" s="3"/>
      <c r="P379" s="3">
        <f t="shared" si="101"/>
        <v>131.2464251968504</v>
      </c>
      <c r="Q379" s="3">
        <f t="shared" si="102"/>
        <v>149.91784566929135</v>
      </c>
      <c r="R379" s="3">
        <f>vd(DataTable[[#This Row],[Sentido]],DataTable[[#This Row],[Valor]])</f>
        <v>143.68503937007875</v>
      </c>
      <c r="S379" s="3">
        <f>IF(DataTable[[#This Row],[Valor]]&gt;1,1,1)</f>
        <v>1</v>
      </c>
      <c r="T379" s="3">
        <f>IF(DataTable[[#This Row],[Valor]]&gt;1,1,1)</f>
        <v>1</v>
      </c>
      <c r="U379" s="3">
        <f>angr(DataTable[[#This Row],[Sentido]],DataTable[[#This Row],[Valor]])</f>
        <v>25.53464566929134</v>
      </c>
      <c r="V379" s="3">
        <f>ANGI(DataTable[[#This Row],[Sentido]],DataTable[[#This Row],[Valor]])</f>
        <v>29.07795275590551</v>
      </c>
      <c r="W379" s="3">
        <f t="shared" si="103"/>
        <v>3</v>
      </c>
      <c r="X379" s="3">
        <f>IF(DataTable[[#This Row],[Valor]]&gt;1,1,1)</f>
        <v>1</v>
      </c>
      <c r="Y379" s="3">
        <f t="shared" si="104"/>
        <v>3</v>
      </c>
      <c r="Z379" s="3">
        <f>IF(AND(DataTable[[#This Row],[Sentido]]="URUGUAI para BRASIL",DataTable[[#This Row],[Valor]]&gt;350),1,0)</f>
        <v>0</v>
      </c>
      <c r="AA379" s="3">
        <f>IF(DataTable[[#This Row],[Valor]]&gt;1,0,0)</f>
        <v>0</v>
      </c>
    </row>
    <row r="380" spans="1:27" x14ac:dyDescent="0.25">
      <c r="A380" s="2" t="s">
        <v>21</v>
      </c>
      <c r="B380" s="2">
        <v>428</v>
      </c>
      <c r="C380" s="3">
        <f t="shared" si="90"/>
        <v>93.308047244094496</v>
      </c>
      <c r="D380" s="3">
        <f t="shared" si="91"/>
        <v>98.308047244094496</v>
      </c>
      <c r="E380" s="3">
        <f t="shared" si="92"/>
        <v>95.808047244094496</v>
      </c>
      <c r="F380" s="3">
        <f t="shared" si="93"/>
        <v>23.64</v>
      </c>
      <c r="G380" s="3">
        <f t="shared" si="94"/>
        <v>79.400000000000006</v>
      </c>
      <c r="H380" s="3">
        <f t="shared" si="95"/>
        <v>79.400000000000006</v>
      </c>
      <c r="I380" s="3"/>
      <c r="J380" s="3">
        <f t="shared" si="96"/>
        <v>94.325747244094487</v>
      </c>
      <c r="K380" s="3">
        <f t="shared" si="97"/>
        <v>98.308047244094496</v>
      </c>
      <c r="L380" s="34">
        <f t="shared" si="98"/>
        <v>95.808047244094496</v>
      </c>
      <c r="M380" s="3">
        <f t="shared" si="99"/>
        <v>-31.36</v>
      </c>
      <c r="N380" s="3">
        <f t="shared" si="100"/>
        <v>135.76</v>
      </c>
      <c r="O380" s="3"/>
      <c r="P380" s="3">
        <f t="shared" si="101"/>
        <v>131.49908661417322</v>
      </c>
      <c r="Q380" s="3">
        <f t="shared" si="102"/>
        <v>150.02329448818898</v>
      </c>
      <c r="R380" s="3">
        <f>vd(DataTable[[#This Row],[Sentido]],DataTable[[#This Row],[Valor]])</f>
        <v>143.91732283464569</v>
      </c>
      <c r="S380" s="3">
        <f>IF(DataTable[[#This Row],[Valor]]&gt;1,1,1)</f>
        <v>1</v>
      </c>
      <c r="T380" s="3">
        <f>IF(DataTable[[#This Row],[Valor]]&gt;1,1,1)</f>
        <v>1</v>
      </c>
      <c r="U380" s="3">
        <f>angr(DataTable[[#This Row],[Sentido]],DataTable[[#This Row],[Valor]])</f>
        <v>25.444094488188977</v>
      </c>
      <c r="V380" s="3">
        <f>ANGI(DataTable[[#This Row],[Sentido]],DataTable[[#This Row],[Valor]])</f>
        <v>28.999212598425196</v>
      </c>
      <c r="W380" s="3">
        <f t="shared" si="103"/>
        <v>3</v>
      </c>
      <c r="X380" s="3">
        <f>IF(DataTable[[#This Row],[Valor]]&gt;1,1,1)</f>
        <v>1</v>
      </c>
      <c r="Y380" s="3">
        <f t="shared" si="104"/>
        <v>3</v>
      </c>
      <c r="Z380" s="3">
        <f>IF(AND(DataTable[[#This Row],[Sentido]]="URUGUAI para BRASIL",DataTable[[#This Row],[Valor]]&gt;350),1,0)</f>
        <v>0</v>
      </c>
      <c r="AA380" s="3">
        <f>IF(DataTable[[#This Row],[Valor]]&gt;1,0,0)</f>
        <v>0</v>
      </c>
    </row>
    <row r="381" spans="1:27" x14ac:dyDescent="0.25">
      <c r="A381" s="2" t="s">
        <v>21</v>
      </c>
      <c r="B381" s="2">
        <v>429</v>
      </c>
      <c r="C381" s="3">
        <f t="shared" si="90"/>
        <v>93.380271653543304</v>
      </c>
      <c r="D381" s="3">
        <f t="shared" si="91"/>
        <v>98.380271653543304</v>
      </c>
      <c r="E381" s="3">
        <f t="shared" si="92"/>
        <v>95.880271653543304</v>
      </c>
      <c r="F381" s="3">
        <f t="shared" si="93"/>
        <v>23.520000000000003</v>
      </c>
      <c r="G381" s="3">
        <f t="shared" si="94"/>
        <v>79.2</v>
      </c>
      <c r="H381" s="3">
        <f t="shared" si="95"/>
        <v>79.2</v>
      </c>
      <c r="I381" s="3"/>
      <c r="J381" s="3">
        <f t="shared" si="96"/>
        <v>94.397971653543308</v>
      </c>
      <c r="K381" s="3">
        <f t="shared" si="97"/>
        <v>98.380271653543304</v>
      </c>
      <c r="L381" s="34">
        <f t="shared" si="98"/>
        <v>95.880271653543304</v>
      </c>
      <c r="M381" s="3">
        <f t="shared" si="99"/>
        <v>-31.48</v>
      </c>
      <c r="N381" s="3">
        <f t="shared" si="100"/>
        <v>135.68</v>
      </c>
      <c r="O381" s="3"/>
      <c r="P381" s="3">
        <f t="shared" si="101"/>
        <v>131.75174803149608</v>
      </c>
      <c r="Q381" s="3">
        <f t="shared" si="102"/>
        <v>150.12874330708661</v>
      </c>
      <c r="R381" s="3">
        <f>vd(DataTable[[#This Row],[Sentido]],DataTable[[#This Row],[Valor]])</f>
        <v>144.14960629921259</v>
      </c>
      <c r="S381" s="3">
        <f>IF(DataTable[[#This Row],[Valor]]&gt;1,1,1)</f>
        <v>1</v>
      </c>
      <c r="T381" s="3">
        <f>IF(DataTable[[#This Row],[Valor]]&gt;1,1,1)</f>
        <v>1</v>
      </c>
      <c r="U381" s="3">
        <f>angr(DataTable[[#This Row],[Sentido]],DataTable[[#This Row],[Valor]])</f>
        <v>25.353543307086618</v>
      </c>
      <c r="V381" s="3">
        <f>ANGI(DataTable[[#This Row],[Sentido]],DataTable[[#This Row],[Valor]])</f>
        <v>28.920472440944881</v>
      </c>
      <c r="W381" s="3">
        <f t="shared" si="103"/>
        <v>3</v>
      </c>
      <c r="X381" s="3">
        <f>IF(DataTable[[#This Row],[Valor]]&gt;1,1,1)</f>
        <v>1</v>
      </c>
      <c r="Y381" s="3">
        <f t="shared" si="104"/>
        <v>3</v>
      </c>
      <c r="Z381" s="3">
        <f>IF(AND(DataTable[[#This Row],[Sentido]]="URUGUAI para BRASIL",DataTable[[#This Row],[Valor]]&gt;350),1,0)</f>
        <v>0</v>
      </c>
      <c r="AA381" s="3">
        <f>IF(DataTable[[#This Row],[Valor]]&gt;1,0,0)</f>
        <v>0</v>
      </c>
    </row>
    <row r="382" spans="1:27" x14ac:dyDescent="0.25">
      <c r="A382" s="2" t="s">
        <v>21</v>
      </c>
      <c r="B382" s="2">
        <v>430</v>
      </c>
      <c r="C382" s="3">
        <f t="shared" si="90"/>
        <v>93.452496062992125</v>
      </c>
      <c r="D382" s="3">
        <f t="shared" si="91"/>
        <v>98.452496062992125</v>
      </c>
      <c r="E382" s="3">
        <f t="shared" si="92"/>
        <v>95.952496062992125</v>
      </c>
      <c r="F382" s="3">
        <f t="shared" si="93"/>
        <v>23.4</v>
      </c>
      <c r="G382" s="3">
        <f t="shared" si="94"/>
        <v>79</v>
      </c>
      <c r="H382" s="3">
        <f t="shared" si="95"/>
        <v>79</v>
      </c>
      <c r="I382" s="3"/>
      <c r="J382" s="3">
        <f t="shared" si="96"/>
        <v>94.47019606299213</v>
      </c>
      <c r="K382" s="3">
        <f t="shared" si="97"/>
        <v>98.452496062992125</v>
      </c>
      <c r="L382" s="34">
        <f t="shared" si="98"/>
        <v>95.952496062992125</v>
      </c>
      <c r="M382" s="3">
        <f t="shared" si="99"/>
        <v>-31.599999999999998</v>
      </c>
      <c r="N382" s="3">
        <f t="shared" si="100"/>
        <v>135.6</v>
      </c>
      <c r="O382" s="3"/>
      <c r="P382" s="3">
        <f t="shared" si="101"/>
        <v>132.00440944881888</v>
      </c>
      <c r="Q382" s="3">
        <f t="shared" si="102"/>
        <v>150.23419212598426</v>
      </c>
      <c r="R382" s="3">
        <f>vd(DataTable[[#This Row],[Sentido]],DataTable[[#This Row],[Valor]])</f>
        <v>144.38188976377953</v>
      </c>
      <c r="S382" s="3">
        <f>IF(DataTable[[#This Row],[Valor]]&gt;1,1,1)</f>
        <v>1</v>
      </c>
      <c r="T382" s="3">
        <f>IF(DataTable[[#This Row],[Valor]]&gt;1,1,1)</f>
        <v>1</v>
      </c>
      <c r="U382" s="3">
        <f>angr(DataTable[[#This Row],[Sentido]],DataTable[[#This Row],[Valor]])</f>
        <v>25.262992125984255</v>
      </c>
      <c r="V382" s="3">
        <f>ANGI(DataTable[[#This Row],[Sentido]],DataTable[[#This Row],[Valor]])</f>
        <v>28.84173228346457</v>
      </c>
      <c r="W382" s="3">
        <f t="shared" si="103"/>
        <v>3</v>
      </c>
      <c r="X382" s="3">
        <f>IF(DataTable[[#This Row],[Valor]]&gt;1,1,1)</f>
        <v>1</v>
      </c>
      <c r="Y382" s="3">
        <f t="shared" si="104"/>
        <v>3</v>
      </c>
      <c r="Z382" s="3">
        <f>IF(AND(DataTable[[#This Row],[Sentido]]="URUGUAI para BRASIL",DataTable[[#This Row],[Valor]]&gt;350),1,0)</f>
        <v>0</v>
      </c>
      <c r="AA382" s="3">
        <f>IF(DataTable[[#This Row],[Valor]]&gt;1,0,0)</f>
        <v>0</v>
      </c>
    </row>
    <row r="383" spans="1:27" x14ac:dyDescent="0.25">
      <c r="A383" s="2" t="s">
        <v>21</v>
      </c>
      <c r="B383" s="2">
        <v>431</v>
      </c>
      <c r="C383" s="3">
        <f t="shared" si="90"/>
        <v>93.524720472440947</v>
      </c>
      <c r="D383" s="3">
        <f t="shared" si="91"/>
        <v>98.524720472440947</v>
      </c>
      <c r="E383" s="3">
        <f t="shared" si="92"/>
        <v>96.024720472440947</v>
      </c>
      <c r="F383" s="3">
        <f t="shared" si="93"/>
        <v>23.28</v>
      </c>
      <c r="G383" s="3">
        <f t="shared" si="94"/>
        <v>78.8</v>
      </c>
      <c r="H383" s="3">
        <f t="shared" si="95"/>
        <v>78.8</v>
      </c>
      <c r="I383" s="3"/>
      <c r="J383" s="3">
        <f t="shared" si="96"/>
        <v>94.542420472440938</v>
      </c>
      <c r="K383" s="3">
        <f t="shared" si="97"/>
        <v>98.524720472440947</v>
      </c>
      <c r="L383" s="34">
        <f t="shared" si="98"/>
        <v>96.024720472440947</v>
      </c>
      <c r="M383" s="3">
        <f t="shared" si="99"/>
        <v>-31.72</v>
      </c>
      <c r="N383" s="3">
        <f t="shared" si="100"/>
        <v>135.52000000000001</v>
      </c>
      <c r="O383" s="3"/>
      <c r="P383" s="3">
        <f t="shared" si="101"/>
        <v>132.25707086614173</v>
      </c>
      <c r="Q383" s="3">
        <f t="shared" si="102"/>
        <v>150.33964094488189</v>
      </c>
      <c r="R383" s="3">
        <f>vd(DataTable[[#This Row],[Sentido]],DataTable[[#This Row],[Valor]])</f>
        <v>144.61417322834646</v>
      </c>
      <c r="S383" s="3">
        <f>IF(DataTable[[#This Row],[Valor]]&gt;1,1,1)</f>
        <v>1</v>
      </c>
      <c r="T383" s="3">
        <f>IF(DataTable[[#This Row],[Valor]]&gt;1,1,1)</f>
        <v>1</v>
      </c>
      <c r="U383" s="3">
        <f>angr(DataTable[[#This Row],[Sentido]],DataTable[[#This Row],[Valor]])</f>
        <v>25.172440944881895</v>
      </c>
      <c r="V383" s="3">
        <f>ANGI(DataTable[[#This Row],[Sentido]],DataTable[[#This Row],[Valor]])</f>
        <v>28.762992125984255</v>
      </c>
      <c r="W383" s="3">
        <f t="shared" si="103"/>
        <v>3</v>
      </c>
      <c r="X383" s="3">
        <f>IF(DataTable[[#This Row],[Valor]]&gt;1,1,1)</f>
        <v>1</v>
      </c>
      <c r="Y383" s="3">
        <f t="shared" si="104"/>
        <v>3</v>
      </c>
      <c r="Z383" s="3">
        <f>IF(AND(DataTable[[#This Row],[Sentido]]="URUGUAI para BRASIL",DataTable[[#This Row],[Valor]]&gt;350),1,0)</f>
        <v>0</v>
      </c>
      <c r="AA383" s="3">
        <f>IF(DataTable[[#This Row],[Valor]]&gt;1,0,0)</f>
        <v>0</v>
      </c>
    </row>
    <row r="384" spans="1:27" x14ac:dyDescent="0.25">
      <c r="A384" s="2" t="s">
        <v>21</v>
      </c>
      <c r="B384" s="2">
        <v>432</v>
      </c>
      <c r="C384" s="3">
        <f t="shared" si="90"/>
        <v>93.596944881889769</v>
      </c>
      <c r="D384" s="3">
        <f t="shared" si="91"/>
        <v>98.596944881889769</v>
      </c>
      <c r="E384" s="3">
        <f t="shared" si="92"/>
        <v>96.096944881889769</v>
      </c>
      <c r="F384" s="3">
        <f t="shared" si="93"/>
        <v>23.160000000000004</v>
      </c>
      <c r="G384" s="3">
        <f t="shared" si="94"/>
        <v>78.599999999999994</v>
      </c>
      <c r="H384" s="3">
        <f t="shared" si="95"/>
        <v>78.599999999999994</v>
      </c>
      <c r="I384" s="3"/>
      <c r="J384" s="3">
        <f t="shared" si="96"/>
        <v>94.614644881889774</v>
      </c>
      <c r="K384" s="3">
        <f t="shared" si="97"/>
        <v>98.596944881889769</v>
      </c>
      <c r="L384" s="34">
        <f t="shared" si="98"/>
        <v>96.096944881889769</v>
      </c>
      <c r="M384" s="3">
        <f t="shared" si="99"/>
        <v>-31.84</v>
      </c>
      <c r="N384" s="3">
        <f t="shared" si="100"/>
        <v>135.44</v>
      </c>
      <c r="O384" s="3"/>
      <c r="P384" s="3">
        <f t="shared" si="101"/>
        <v>132.50973228346459</v>
      </c>
      <c r="Q384" s="3">
        <f t="shared" si="102"/>
        <v>150.44508976377955</v>
      </c>
      <c r="R384" s="3">
        <f>vd(DataTable[[#This Row],[Sentido]],DataTable[[#This Row],[Valor]])</f>
        <v>144.84645669291339</v>
      </c>
      <c r="S384" s="3">
        <f>IF(DataTable[[#This Row],[Valor]]&gt;1,1,1)</f>
        <v>1</v>
      </c>
      <c r="T384" s="3">
        <f>IF(DataTable[[#This Row],[Valor]]&gt;1,1,1)</f>
        <v>1</v>
      </c>
      <c r="U384" s="3">
        <f>angr(DataTable[[#This Row],[Sentido]],DataTable[[#This Row],[Valor]])</f>
        <v>25.071653543307086</v>
      </c>
      <c r="V384" s="3">
        <f>ANGI(DataTable[[#This Row],[Sentido]],DataTable[[#This Row],[Valor]])</f>
        <v>28.683464566929132</v>
      </c>
      <c r="W384" s="3">
        <f t="shared" si="103"/>
        <v>3</v>
      </c>
      <c r="X384" s="3">
        <f>IF(DataTable[[#This Row],[Valor]]&gt;1,1,1)</f>
        <v>1</v>
      </c>
      <c r="Y384" s="3">
        <f t="shared" si="104"/>
        <v>3</v>
      </c>
      <c r="Z384" s="3">
        <f>IF(AND(DataTable[[#This Row],[Sentido]]="URUGUAI para BRASIL",DataTable[[#This Row],[Valor]]&gt;350),1,0)</f>
        <v>0</v>
      </c>
      <c r="AA384" s="3">
        <f>IF(DataTable[[#This Row],[Valor]]&gt;1,0,0)</f>
        <v>0</v>
      </c>
    </row>
    <row r="385" spans="1:27" x14ac:dyDescent="0.25">
      <c r="A385" s="2" t="s">
        <v>21</v>
      </c>
      <c r="B385" s="2">
        <v>433</v>
      </c>
      <c r="C385" s="3">
        <f t="shared" si="90"/>
        <v>93.669169291338591</v>
      </c>
      <c r="D385" s="3">
        <f t="shared" si="91"/>
        <v>98.669169291338591</v>
      </c>
      <c r="E385" s="3">
        <f t="shared" si="92"/>
        <v>96.169169291338591</v>
      </c>
      <c r="F385" s="3">
        <f t="shared" si="93"/>
        <v>23.04</v>
      </c>
      <c r="G385" s="3">
        <f t="shared" si="94"/>
        <v>78.400000000000006</v>
      </c>
      <c r="H385" s="3">
        <f t="shared" si="95"/>
        <v>78.400000000000006</v>
      </c>
      <c r="I385" s="3"/>
      <c r="J385" s="3">
        <f t="shared" si="96"/>
        <v>94.686869291338581</v>
      </c>
      <c r="K385" s="3">
        <f t="shared" si="97"/>
        <v>98.669169291338591</v>
      </c>
      <c r="L385" s="34">
        <f t="shared" si="98"/>
        <v>96.169169291338591</v>
      </c>
      <c r="M385" s="3">
        <f t="shared" si="99"/>
        <v>-31.96</v>
      </c>
      <c r="N385" s="3">
        <f t="shared" si="100"/>
        <v>135.36000000000001</v>
      </c>
      <c r="O385" s="3"/>
      <c r="P385" s="3">
        <f t="shared" si="101"/>
        <v>132.76239370078741</v>
      </c>
      <c r="Q385" s="3">
        <f t="shared" si="102"/>
        <v>150.55053858267718</v>
      </c>
      <c r="R385" s="3">
        <f>vd(DataTable[[#This Row],[Sentido]],DataTable[[#This Row],[Valor]])</f>
        <v>145.07874015748033</v>
      </c>
      <c r="S385" s="3">
        <f>IF(DataTable[[#This Row],[Valor]]&gt;1,1,1)</f>
        <v>1</v>
      </c>
      <c r="T385" s="3">
        <f>IF(DataTable[[#This Row],[Valor]]&gt;1,1,1)</f>
        <v>1</v>
      </c>
      <c r="U385" s="3">
        <f>angr(DataTable[[#This Row],[Sentido]],DataTable[[#This Row],[Valor]])</f>
        <v>24.929921259842519</v>
      </c>
      <c r="V385" s="3">
        <f>ANGI(DataTable[[#This Row],[Sentido]],DataTable[[#This Row],[Valor]])</f>
        <v>28.600787401574802</v>
      </c>
      <c r="W385" s="3">
        <f t="shared" si="103"/>
        <v>3</v>
      </c>
      <c r="X385" s="3">
        <f>IF(DataTable[[#This Row],[Valor]]&gt;1,1,1)</f>
        <v>1</v>
      </c>
      <c r="Y385" s="3">
        <f t="shared" si="104"/>
        <v>3</v>
      </c>
      <c r="Z385" s="3">
        <f>IF(AND(DataTable[[#This Row],[Sentido]]="URUGUAI para BRASIL",DataTable[[#This Row],[Valor]]&gt;350),1,0)</f>
        <v>0</v>
      </c>
      <c r="AA385" s="3">
        <f>IF(DataTable[[#This Row],[Valor]]&gt;1,0,0)</f>
        <v>0</v>
      </c>
    </row>
    <row r="386" spans="1:27" x14ac:dyDescent="0.25">
      <c r="A386" s="2" t="s">
        <v>21</v>
      </c>
      <c r="B386" s="2">
        <v>434</v>
      </c>
      <c r="C386" s="3">
        <f t="shared" si="90"/>
        <v>93.741393700787398</v>
      </c>
      <c r="D386" s="3">
        <f t="shared" si="91"/>
        <v>98.741393700787398</v>
      </c>
      <c r="E386" s="3">
        <f t="shared" si="92"/>
        <v>96.241393700787398</v>
      </c>
      <c r="F386" s="3">
        <f t="shared" si="93"/>
        <v>22.92</v>
      </c>
      <c r="G386" s="3">
        <f t="shared" si="94"/>
        <v>78.2</v>
      </c>
      <c r="H386" s="3">
        <f t="shared" si="95"/>
        <v>78.2</v>
      </c>
      <c r="I386" s="3"/>
      <c r="J386" s="3">
        <f t="shared" si="96"/>
        <v>94.759093700787403</v>
      </c>
      <c r="K386" s="3">
        <f t="shared" si="97"/>
        <v>98.741393700787398</v>
      </c>
      <c r="L386" s="34">
        <f t="shared" si="98"/>
        <v>96.241393700787398</v>
      </c>
      <c r="M386" s="3">
        <f t="shared" si="99"/>
        <v>-32.08</v>
      </c>
      <c r="N386" s="3">
        <f t="shared" si="100"/>
        <v>135.28</v>
      </c>
      <c r="O386" s="3"/>
      <c r="P386" s="3">
        <f t="shared" si="101"/>
        <v>133.01505511811024</v>
      </c>
      <c r="Q386" s="3">
        <f t="shared" si="102"/>
        <v>150.65598740157481</v>
      </c>
      <c r="R386" s="3">
        <f>vd(DataTable[[#This Row],[Sentido]],DataTable[[#This Row],[Valor]])</f>
        <v>145.31102362204726</v>
      </c>
      <c r="S386" s="3">
        <f>IF(DataTable[[#This Row],[Valor]]&gt;1,1,1)</f>
        <v>1</v>
      </c>
      <c r="T386" s="3">
        <f>IF(DataTable[[#This Row],[Valor]]&gt;1,1,1)</f>
        <v>1</v>
      </c>
      <c r="U386" s="3">
        <f>angr(DataTable[[#This Row],[Sentido]],DataTable[[#This Row],[Valor]])</f>
        <v>24.788188976377953</v>
      </c>
      <c r="V386" s="3">
        <f>ANGI(DataTable[[#This Row],[Sentido]],DataTable[[#This Row],[Valor]])</f>
        <v>28.518110236220473</v>
      </c>
      <c r="W386" s="3">
        <f t="shared" si="103"/>
        <v>3</v>
      </c>
      <c r="X386" s="3">
        <f>IF(DataTable[[#This Row],[Valor]]&gt;1,1,1)</f>
        <v>1</v>
      </c>
      <c r="Y386" s="3">
        <f t="shared" si="104"/>
        <v>3</v>
      </c>
      <c r="Z386" s="3">
        <f>IF(AND(DataTable[[#This Row],[Sentido]]="URUGUAI para BRASIL",DataTable[[#This Row],[Valor]]&gt;350),1,0)</f>
        <v>0</v>
      </c>
      <c r="AA386" s="3">
        <f>IF(DataTable[[#This Row],[Valor]]&gt;1,0,0)</f>
        <v>0</v>
      </c>
    </row>
    <row r="387" spans="1:27" x14ac:dyDescent="0.25">
      <c r="A387" s="2" t="s">
        <v>21</v>
      </c>
      <c r="B387" s="2">
        <v>435</v>
      </c>
      <c r="C387" s="3">
        <f t="shared" si="90"/>
        <v>93.81361811023622</v>
      </c>
      <c r="D387" s="3">
        <f t="shared" si="91"/>
        <v>98.81361811023622</v>
      </c>
      <c r="E387" s="3">
        <f t="shared" si="92"/>
        <v>96.31361811023622</v>
      </c>
      <c r="F387" s="3">
        <f t="shared" si="93"/>
        <v>22.800000000000004</v>
      </c>
      <c r="G387" s="3">
        <f t="shared" si="94"/>
        <v>78</v>
      </c>
      <c r="H387" s="3">
        <f t="shared" si="95"/>
        <v>78</v>
      </c>
      <c r="I387" s="3"/>
      <c r="J387" s="3">
        <f t="shared" si="96"/>
        <v>94.831318110236225</v>
      </c>
      <c r="K387" s="3">
        <f t="shared" si="97"/>
        <v>98.81361811023622</v>
      </c>
      <c r="L387" s="34">
        <f t="shared" si="98"/>
        <v>96.31361811023622</v>
      </c>
      <c r="M387" s="3">
        <f t="shared" si="99"/>
        <v>-32.199999999999996</v>
      </c>
      <c r="N387" s="3">
        <f t="shared" si="100"/>
        <v>135.19999999999999</v>
      </c>
      <c r="O387" s="3"/>
      <c r="P387" s="3">
        <f t="shared" si="101"/>
        <v>133.26771653543307</v>
      </c>
      <c r="Q387" s="3">
        <f t="shared" si="102"/>
        <v>150.76143622047243</v>
      </c>
      <c r="R387" s="3">
        <f>vd(DataTable[[#This Row],[Sentido]],DataTable[[#This Row],[Valor]])</f>
        <v>145.54330708661419</v>
      </c>
      <c r="S387" s="3">
        <f>IF(DataTable[[#This Row],[Valor]]&gt;1,1,1)</f>
        <v>1</v>
      </c>
      <c r="T387" s="3">
        <f>IF(DataTable[[#This Row],[Valor]]&gt;1,1,1)</f>
        <v>1</v>
      </c>
      <c r="U387" s="3">
        <f>angr(DataTable[[#This Row],[Sentido]],DataTable[[#This Row],[Valor]])</f>
        <v>24.646456692913389</v>
      </c>
      <c r="V387" s="3">
        <f>ANGI(DataTable[[#This Row],[Sentido]],DataTable[[#This Row],[Valor]])</f>
        <v>28.435433070866143</v>
      </c>
      <c r="W387" s="3">
        <f t="shared" si="103"/>
        <v>3</v>
      </c>
      <c r="X387" s="3">
        <f>IF(DataTable[[#This Row],[Valor]]&gt;1,1,1)</f>
        <v>1</v>
      </c>
      <c r="Y387" s="3">
        <f t="shared" si="104"/>
        <v>3</v>
      </c>
      <c r="Z387" s="3">
        <f>IF(AND(DataTable[[#This Row],[Sentido]]="URUGUAI para BRASIL",DataTable[[#This Row],[Valor]]&gt;350),1,0)</f>
        <v>0</v>
      </c>
      <c r="AA387" s="3">
        <f>IF(DataTable[[#This Row],[Valor]]&gt;1,0,0)</f>
        <v>0</v>
      </c>
    </row>
    <row r="388" spans="1:27" x14ac:dyDescent="0.25">
      <c r="A388" s="2" t="s">
        <v>21</v>
      </c>
      <c r="B388" s="2">
        <v>436</v>
      </c>
      <c r="C388" s="3">
        <f t="shared" si="90"/>
        <v>93.885842519685042</v>
      </c>
      <c r="D388" s="3">
        <f t="shared" si="91"/>
        <v>98.885842519685042</v>
      </c>
      <c r="E388" s="3">
        <f t="shared" si="92"/>
        <v>96.385842519685042</v>
      </c>
      <c r="F388" s="3">
        <f t="shared" si="93"/>
        <v>22.68</v>
      </c>
      <c r="G388" s="3">
        <f t="shared" si="94"/>
        <v>77.8</v>
      </c>
      <c r="H388" s="3">
        <f t="shared" si="95"/>
        <v>77.8</v>
      </c>
      <c r="I388" s="3"/>
      <c r="J388" s="3">
        <f t="shared" si="96"/>
        <v>94.903542519685033</v>
      </c>
      <c r="K388" s="3">
        <f t="shared" si="97"/>
        <v>98.885842519685042</v>
      </c>
      <c r="L388" s="34">
        <f t="shared" si="98"/>
        <v>96.385842519685042</v>
      </c>
      <c r="M388" s="3">
        <f t="shared" si="99"/>
        <v>-32.32</v>
      </c>
      <c r="N388" s="3">
        <f t="shared" si="100"/>
        <v>135.12</v>
      </c>
      <c r="O388" s="3"/>
      <c r="P388" s="3">
        <f t="shared" si="101"/>
        <v>133.52037795275589</v>
      </c>
      <c r="Q388" s="3">
        <f t="shared" si="102"/>
        <v>150.86688503937006</v>
      </c>
      <c r="R388" s="3">
        <f>vd(DataTable[[#This Row],[Sentido]],DataTable[[#This Row],[Valor]])</f>
        <v>145.7755905511811</v>
      </c>
      <c r="S388" s="3">
        <f>IF(DataTable[[#This Row],[Valor]]&gt;1,1,1)</f>
        <v>1</v>
      </c>
      <c r="T388" s="3">
        <f>IF(DataTable[[#This Row],[Valor]]&gt;1,1,1)</f>
        <v>1</v>
      </c>
      <c r="U388" s="3">
        <f>angr(DataTable[[#This Row],[Sentido]],DataTable[[#This Row],[Valor]])</f>
        <v>24.504724409448823</v>
      </c>
      <c r="V388" s="3">
        <f>ANGI(DataTable[[#This Row],[Sentido]],DataTable[[#This Row],[Valor]])</f>
        <v>28.352755905511813</v>
      </c>
      <c r="W388" s="3">
        <f t="shared" si="103"/>
        <v>3</v>
      </c>
      <c r="X388" s="3">
        <f>IF(DataTable[[#This Row],[Valor]]&gt;1,1,1)</f>
        <v>1</v>
      </c>
      <c r="Y388" s="3">
        <f t="shared" si="104"/>
        <v>3</v>
      </c>
      <c r="Z388" s="3">
        <f>IF(AND(DataTable[[#This Row],[Sentido]]="URUGUAI para BRASIL",DataTable[[#This Row],[Valor]]&gt;350),1,0)</f>
        <v>0</v>
      </c>
      <c r="AA388" s="3">
        <f>IF(DataTable[[#This Row],[Valor]]&gt;1,0,0)</f>
        <v>0</v>
      </c>
    </row>
    <row r="389" spans="1:27" x14ac:dyDescent="0.25">
      <c r="A389" s="2" t="s">
        <v>21</v>
      </c>
      <c r="B389" s="2">
        <v>437</v>
      </c>
      <c r="C389" s="3">
        <f t="shared" ref="C389:C452" si="105">MiniVWVB(A389,B389,E389)</f>
        <v>93.958066929133864</v>
      </c>
      <c r="D389" s="3">
        <f t="shared" ref="D389:D452" si="106">MaxVWV(A389,B389)</f>
        <v>98.958066929133864</v>
      </c>
      <c r="E389" s="3">
        <f t="shared" ref="E389:E452" si="107">RatedVWV(B389)</f>
        <v>96.458066929133864</v>
      </c>
      <c r="F389" s="3">
        <f t="shared" ref="F389:F452" si="108">MinQB(A389,B389)</f>
        <v>22.560000000000002</v>
      </c>
      <c r="G389" s="3">
        <f t="shared" ref="G389:G452" si="109">MaxQB3F(A389,B389)</f>
        <v>77.599999999999994</v>
      </c>
      <c r="H389" s="3">
        <f t="shared" ref="H389:H452" si="110">MaxQB4F(A389,B389)</f>
        <v>77.599999999999994</v>
      </c>
      <c r="I389" s="3"/>
      <c r="J389" s="3">
        <f t="shared" ref="J389:J452" si="111">MiniVWVU(A389,B389,L389)</f>
        <v>94.975766929133854</v>
      </c>
      <c r="K389" s="3">
        <f t="shared" ref="K389:K452" si="112">MaxVWV(A389,B389)</f>
        <v>98.958066929133864</v>
      </c>
      <c r="L389" s="34">
        <f t="shared" ref="L389:L452" si="113">RatedVWV(B389)</f>
        <v>96.458066929133864</v>
      </c>
      <c r="M389" s="3">
        <f t="shared" ref="M389:M452" si="114">MinQU(A389,B389)</f>
        <v>-32.44</v>
      </c>
      <c r="N389" s="3">
        <f t="shared" ref="N389:N452" si="115">MaxQU(A389,B389)</f>
        <v>135.04</v>
      </c>
      <c r="O389" s="3"/>
      <c r="P389" s="3">
        <f t="shared" ref="P389:P452" si="116">MiniUpper(A389,B389)</f>
        <v>133.77303937007872</v>
      </c>
      <c r="Q389" s="3">
        <f t="shared" ref="Q389:Q452" si="117">MaxUpper(A389,B389)</f>
        <v>150.97233385826772</v>
      </c>
      <c r="R389" s="3">
        <f>vd(DataTable[[#This Row],[Sentido]],DataTable[[#This Row],[Valor]])</f>
        <v>146.00787401574803</v>
      </c>
      <c r="S389" s="3">
        <f>IF(DataTable[[#This Row],[Valor]]&gt;1,1,1)</f>
        <v>1</v>
      </c>
      <c r="T389" s="3">
        <f>IF(DataTable[[#This Row],[Valor]]&gt;1,1,1)</f>
        <v>1</v>
      </c>
      <c r="U389" s="3">
        <f>angr(DataTable[[#This Row],[Sentido]],DataTable[[#This Row],[Valor]])</f>
        <v>24.362992125984256</v>
      </c>
      <c r="V389" s="3">
        <f>ANGI(DataTable[[#This Row],[Sentido]],DataTable[[#This Row],[Valor]])</f>
        <v>28.270078740157484</v>
      </c>
      <c r="W389" s="3">
        <f t="shared" ref="W389:W452" si="118">IF(A390="URUGUAI para BRASIL",IF(B389&gt;119,IF(B389&gt;240,3,2),1),IF(B389&gt;120,IF(B389&gt;240,3,2),1))</f>
        <v>3</v>
      </c>
      <c r="X389" s="3">
        <f>IF(DataTable[[#This Row],[Valor]]&gt;1,1,1)</f>
        <v>1</v>
      </c>
      <c r="Y389" s="3">
        <f t="shared" ref="Y389:Y452" si="119">IF(A390="URUGUAI para BRASIL",IF(B389&gt;119,IF(B389&gt;240,3,2),1),IF(B389&gt;120,IF(B389&gt;240,3,2),1))</f>
        <v>3</v>
      </c>
      <c r="Z389" s="3">
        <f>IF(AND(DataTable[[#This Row],[Sentido]]="URUGUAI para BRASIL",DataTable[[#This Row],[Valor]]&gt;350),1,0)</f>
        <v>0</v>
      </c>
      <c r="AA389" s="3">
        <f>IF(DataTable[[#This Row],[Valor]]&gt;1,0,0)</f>
        <v>0</v>
      </c>
    </row>
    <row r="390" spans="1:27" x14ac:dyDescent="0.25">
      <c r="A390" s="2" t="s">
        <v>21</v>
      </c>
      <c r="B390" s="2">
        <v>438</v>
      </c>
      <c r="C390" s="3">
        <f t="shared" si="105"/>
        <v>94.030291338582686</v>
      </c>
      <c r="D390" s="3">
        <f t="shared" si="106"/>
        <v>99.030291338582686</v>
      </c>
      <c r="E390" s="3">
        <f t="shared" si="107"/>
        <v>96.530291338582686</v>
      </c>
      <c r="F390" s="3">
        <f t="shared" si="108"/>
        <v>22.439999999999998</v>
      </c>
      <c r="G390" s="3">
        <f t="shared" si="109"/>
        <v>77.400000000000006</v>
      </c>
      <c r="H390" s="3">
        <f t="shared" si="110"/>
        <v>77.400000000000006</v>
      </c>
      <c r="I390" s="3"/>
      <c r="J390" s="3">
        <f t="shared" si="111"/>
        <v>95.047991338582676</v>
      </c>
      <c r="K390" s="3">
        <f t="shared" si="112"/>
        <v>99.030291338582686</v>
      </c>
      <c r="L390" s="34">
        <f t="shared" si="113"/>
        <v>96.530291338582686</v>
      </c>
      <c r="M390" s="3">
        <f t="shared" si="114"/>
        <v>-32.56</v>
      </c>
      <c r="N390" s="3">
        <f t="shared" si="115"/>
        <v>134.96</v>
      </c>
      <c r="O390" s="3"/>
      <c r="P390" s="3">
        <f t="shared" si="116"/>
        <v>134.0257007874016</v>
      </c>
      <c r="Q390" s="3">
        <f t="shared" si="117"/>
        <v>151.07778267716535</v>
      </c>
      <c r="R390" s="3">
        <f>vd(DataTable[[#This Row],[Sentido]],DataTable[[#This Row],[Valor]])</f>
        <v>146.24015748031496</v>
      </c>
      <c r="S390" s="3">
        <f>IF(DataTable[[#This Row],[Valor]]&gt;1,1,1)</f>
        <v>1</v>
      </c>
      <c r="T390" s="3">
        <f>IF(DataTable[[#This Row],[Valor]]&gt;1,1,1)</f>
        <v>1</v>
      </c>
      <c r="U390" s="3">
        <f>angr(DataTable[[#This Row],[Sentido]],DataTable[[#This Row],[Valor]])</f>
        <v>24.221259842519682</v>
      </c>
      <c r="V390" s="3">
        <f>ANGI(DataTable[[#This Row],[Sentido]],DataTable[[#This Row],[Valor]])</f>
        <v>28.187401574803147</v>
      </c>
      <c r="W390" s="3">
        <f t="shared" si="118"/>
        <v>3</v>
      </c>
      <c r="X390" s="3">
        <f>IF(DataTable[[#This Row],[Valor]]&gt;1,1,1)</f>
        <v>1</v>
      </c>
      <c r="Y390" s="3">
        <f t="shared" si="119"/>
        <v>3</v>
      </c>
      <c r="Z390" s="3">
        <f>IF(AND(DataTable[[#This Row],[Sentido]]="URUGUAI para BRASIL",DataTable[[#This Row],[Valor]]&gt;350),1,0)</f>
        <v>0</v>
      </c>
      <c r="AA390" s="3">
        <f>IF(DataTable[[#This Row],[Valor]]&gt;1,0,0)</f>
        <v>0</v>
      </c>
    </row>
    <row r="391" spans="1:27" x14ac:dyDescent="0.25">
      <c r="A391" s="2" t="s">
        <v>21</v>
      </c>
      <c r="B391" s="2">
        <v>439</v>
      </c>
      <c r="C391" s="3">
        <f t="shared" si="105"/>
        <v>94.102515748031493</v>
      </c>
      <c r="D391" s="3">
        <f t="shared" si="106"/>
        <v>99.102515748031493</v>
      </c>
      <c r="E391" s="3">
        <f t="shared" si="107"/>
        <v>96.602515748031493</v>
      </c>
      <c r="F391" s="3">
        <f t="shared" si="108"/>
        <v>22.32</v>
      </c>
      <c r="G391" s="3">
        <f t="shared" si="109"/>
        <v>77.2</v>
      </c>
      <c r="H391" s="3">
        <f t="shared" si="110"/>
        <v>77.2</v>
      </c>
      <c r="I391" s="3"/>
      <c r="J391" s="3">
        <f t="shared" si="111"/>
        <v>95.120215748031498</v>
      </c>
      <c r="K391" s="3">
        <f t="shared" si="112"/>
        <v>99.102515748031493</v>
      </c>
      <c r="L391" s="34">
        <f t="shared" si="113"/>
        <v>96.602515748031493</v>
      </c>
      <c r="M391" s="3">
        <f t="shared" si="114"/>
        <v>-32.68</v>
      </c>
      <c r="N391" s="3">
        <f t="shared" si="115"/>
        <v>134.88</v>
      </c>
      <c r="O391" s="3"/>
      <c r="P391" s="3">
        <f t="shared" si="116"/>
        <v>134.2783622047244</v>
      </c>
      <c r="Q391" s="3">
        <f t="shared" si="117"/>
        <v>151.183231496063</v>
      </c>
      <c r="R391" s="3">
        <f>vd(DataTable[[#This Row],[Sentido]],DataTable[[#This Row],[Valor]])</f>
        <v>146.4724409448819</v>
      </c>
      <c r="S391" s="3">
        <f>IF(DataTable[[#This Row],[Valor]]&gt;1,1,1)</f>
        <v>1</v>
      </c>
      <c r="T391" s="3">
        <f>IF(DataTable[[#This Row],[Valor]]&gt;1,1,1)</f>
        <v>1</v>
      </c>
      <c r="U391" s="3">
        <f>angr(DataTable[[#This Row],[Sentido]],DataTable[[#This Row],[Valor]])</f>
        <v>24.079527559055116</v>
      </c>
      <c r="V391" s="3">
        <f>ANGI(DataTable[[#This Row],[Sentido]],DataTable[[#This Row],[Valor]])</f>
        <v>28.104724409448817</v>
      </c>
      <c r="W391" s="3">
        <f t="shared" si="118"/>
        <v>3</v>
      </c>
      <c r="X391" s="3">
        <f>IF(DataTable[[#This Row],[Valor]]&gt;1,1,1)</f>
        <v>1</v>
      </c>
      <c r="Y391" s="3">
        <f t="shared" si="119"/>
        <v>3</v>
      </c>
      <c r="Z391" s="3">
        <f>IF(AND(DataTable[[#This Row],[Sentido]]="URUGUAI para BRASIL",DataTable[[#This Row],[Valor]]&gt;350),1,0)</f>
        <v>0</v>
      </c>
      <c r="AA391" s="3">
        <f>IF(DataTable[[#This Row],[Valor]]&gt;1,0,0)</f>
        <v>0</v>
      </c>
    </row>
    <row r="392" spans="1:27" x14ac:dyDescent="0.25">
      <c r="A392" s="2" t="s">
        <v>21</v>
      </c>
      <c r="B392" s="2">
        <v>440</v>
      </c>
      <c r="C392" s="3">
        <f t="shared" si="105"/>
        <v>94.174740157480315</v>
      </c>
      <c r="D392" s="3">
        <f t="shared" si="106"/>
        <v>99.174740157480315</v>
      </c>
      <c r="E392" s="3">
        <f t="shared" si="107"/>
        <v>96.674740157480315</v>
      </c>
      <c r="F392" s="3">
        <f t="shared" si="108"/>
        <v>22.200000000000003</v>
      </c>
      <c r="G392" s="3">
        <f t="shared" si="109"/>
        <v>77</v>
      </c>
      <c r="H392" s="3">
        <f t="shared" si="110"/>
        <v>77</v>
      </c>
      <c r="I392" s="3"/>
      <c r="J392" s="3">
        <f t="shared" si="111"/>
        <v>95.19244015748032</v>
      </c>
      <c r="K392" s="3">
        <f t="shared" si="112"/>
        <v>99.174740157480315</v>
      </c>
      <c r="L392" s="34">
        <f t="shared" si="113"/>
        <v>96.674740157480315</v>
      </c>
      <c r="M392" s="3">
        <f t="shared" si="114"/>
        <v>-32.799999999999997</v>
      </c>
      <c r="N392" s="3">
        <f t="shared" si="115"/>
        <v>134.80000000000001</v>
      </c>
      <c r="O392" s="3"/>
      <c r="P392" s="3">
        <f t="shared" si="116"/>
        <v>134.53102362204726</v>
      </c>
      <c r="Q392" s="3">
        <f t="shared" si="117"/>
        <v>151.28868031496063</v>
      </c>
      <c r="R392" s="3">
        <f>vd(DataTable[[#This Row],[Sentido]],DataTable[[#This Row],[Valor]])</f>
        <v>146.70472440944883</v>
      </c>
      <c r="S392" s="3">
        <f>IF(DataTable[[#This Row],[Valor]]&gt;1,1,1)</f>
        <v>1</v>
      </c>
      <c r="T392" s="3">
        <f>IF(DataTable[[#This Row],[Valor]]&gt;1,1,1)</f>
        <v>1</v>
      </c>
      <c r="U392" s="3">
        <f>angr(DataTable[[#This Row],[Sentido]],DataTable[[#This Row],[Valor]])</f>
        <v>23.937795275590549</v>
      </c>
      <c r="V392" s="3">
        <f>ANGI(DataTable[[#This Row],[Sentido]],DataTable[[#This Row],[Valor]])</f>
        <v>28.022047244094487</v>
      </c>
      <c r="W392" s="3">
        <f t="shared" si="118"/>
        <v>3</v>
      </c>
      <c r="X392" s="3">
        <f>IF(DataTable[[#This Row],[Valor]]&gt;1,1,1)</f>
        <v>1</v>
      </c>
      <c r="Y392" s="3">
        <f t="shared" si="119"/>
        <v>3</v>
      </c>
      <c r="Z392" s="3">
        <f>IF(AND(DataTable[[#This Row],[Sentido]]="URUGUAI para BRASIL",DataTable[[#This Row],[Valor]]&gt;350),1,0)</f>
        <v>0</v>
      </c>
      <c r="AA392" s="3">
        <f>IF(DataTable[[#This Row],[Valor]]&gt;1,0,0)</f>
        <v>0</v>
      </c>
    </row>
    <row r="393" spans="1:27" x14ac:dyDescent="0.25">
      <c r="A393" s="2" t="s">
        <v>21</v>
      </c>
      <c r="B393" s="2">
        <v>441</v>
      </c>
      <c r="C393" s="3">
        <f t="shared" si="105"/>
        <v>94.246964566929137</v>
      </c>
      <c r="D393" s="3">
        <f t="shared" si="106"/>
        <v>99.246964566929137</v>
      </c>
      <c r="E393" s="3">
        <f t="shared" si="107"/>
        <v>96.746964566929137</v>
      </c>
      <c r="F393" s="3">
        <f t="shared" si="108"/>
        <v>22.08</v>
      </c>
      <c r="G393" s="3">
        <f t="shared" si="109"/>
        <v>76.8</v>
      </c>
      <c r="H393" s="3">
        <f t="shared" si="110"/>
        <v>76.8</v>
      </c>
      <c r="I393" s="3"/>
      <c r="J393" s="3">
        <f t="shared" si="111"/>
        <v>95.264664566929142</v>
      </c>
      <c r="K393" s="3">
        <f t="shared" si="112"/>
        <v>99.246964566929137</v>
      </c>
      <c r="L393" s="34">
        <f t="shared" si="113"/>
        <v>96.746964566929137</v>
      </c>
      <c r="M393" s="3">
        <f t="shared" si="114"/>
        <v>-32.92</v>
      </c>
      <c r="N393" s="3">
        <f t="shared" si="115"/>
        <v>134.72</v>
      </c>
      <c r="O393" s="3"/>
      <c r="P393" s="3">
        <f t="shared" si="116"/>
        <v>134.78368503937008</v>
      </c>
      <c r="Q393" s="3">
        <f t="shared" si="117"/>
        <v>151.39412913385826</v>
      </c>
      <c r="R393" s="3">
        <f>vd(DataTable[[#This Row],[Sentido]],DataTable[[#This Row],[Valor]])</f>
        <v>146.93700787401576</v>
      </c>
      <c r="S393" s="3">
        <f>IF(DataTable[[#This Row],[Valor]]&gt;1,1,1)</f>
        <v>1</v>
      </c>
      <c r="T393" s="3">
        <f>IF(DataTable[[#This Row],[Valor]]&gt;1,1,1)</f>
        <v>1</v>
      </c>
      <c r="U393" s="3">
        <f>angr(DataTable[[#This Row],[Sentido]],DataTable[[#This Row],[Valor]])</f>
        <v>23.796062992125986</v>
      </c>
      <c r="V393" s="3">
        <f>ANGI(DataTable[[#This Row],[Sentido]],DataTable[[#This Row],[Valor]])</f>
        <v>27.939370078740158</v>
      </c>
      <c r="W393" s="3">
        <f t="shared" si="118"/>
        <v>3</v>
      </c>
      <c r="X393" s="3">
        <f>IF(DataTable[[#This Row],[Valor]]&gt;1,1,1)</f>
        <v>1</v>
      </c>
      <c r="Y393" s="3">
        <f t="shared" si="119"/>
        <v>3</v>
      </c>
      <c r="Z393" s="3">
        <f>IF(AND(DataTable[[#This Row],[Sentido]]="URUGUAI para BRASIL",DataTable[[#This Row],[Valor]]&gt;350),1,0)</f>
        <v>0</v>
      </c>
      <c r="AA393" s="3">
        <f>IF(DataTable[[#This Row],[Valor]]&gt;1,0,0)</f>
        <v>0</v>
      </c>
    </row>
    <row r="394" spans="1:27" x14ac:dyDescent="0.25">
      <c r="A394" s="2" t="s">
        <v>21</v>
      </c>
      <c r="B394" s="2">
        <v>442</v>
      </c>
      <c r="C394" s="3">
        <f t="shared" si="105"/>
        <v>94.319188976377959</v>
      </c>
      <c r="D394" s="3">
        <f t="shared" si="106"/>
        <v>99.319188976377959</v>
      </c>
      <c r="E394" s="3">
        <f t="shared" si="107"/>
        <v>96.819188976377959</v>
      </c>
      <c r="F394" s="3">
        <f t="shared" si="108"/>
        <v>21.96</v>
      </c>
      <c r="G394" s="3">
        <f t="shared" si="109"/>
        <v>76.599999999999994</v>
      </c>
      <c r="H394" s="3">
        <f t="shared" si="110"/>
        <v>76.599999999999994</v>
      </c>
      <c r="I394" s="3"/>
      <c r="J394" s="3">
        <f t="shared" si="111"/>
        <v>95.336888976377949</v>
      </c>
      <c r="K394" s="3">
        <f t="shared" si="112"/>
        <v>99.319188976377959</v>
      </c>
      <c r="L394" s="34">
        <f t="shared" si="113"/>
        <v>96.819188976377959</v>
      </c>
      <c r="M394" s="3">
        <f t="shared" si="114"/>
        <v>-33.04</v>
      </c>
      <c r="N394" s="3">
        <f t="shared" si="115"/>
        <v>134.63999999999999</v>
      </c>
      <c r="O394" s="3"/>
      <c r="P394" s="3">
        <f t="shared" si="116"/>
        <v>135.03634645669291</v>
      </c>
      <c r="Q394" s="3">
        <f t="shared" si="117"/>
        <v>151.49957795275591</v>
      </c>
      <c r="R394" s="3">
        <f>vd(DataTable[[#This Row],[Sentido]],DataTable[[#This Row],[Valor]])</f>
        <v>147.16929133858267</v>
      </c>
      <c r="S394" s="3">
        <f>IF(DataTable[[#This Row],[Valor]]&gt;1,1,1)</f>
        <v>1</v>
      </c>
      <c r="T394" s="3">
        <f>IF(DataTable[[#This Row],[Valor]]&gt;1,1,1)</f>
        <v>1</v>
      </c>
      <c r="U394" s="3">
        <f>angr(DataTable[[#This Row],[Sentido]],DataTable[[#This Row],[Valor]])</f>
        <v>23.654330708661419</v>
      </c>
      <c r="V394" s="3">
        <f>ANGI(DataTable[[#This Row],[Sentido]],DataTable[[#This Row],[Valor]])</f>
        <v>27.856692913385828</v>
      </c>
      <c r="W394" s="3">
        <f t="shared" si="118"/>
        <v>3</v>
      </c>
      <c r="X394" s="3">
        <f>IF(DataTable[[#This Row],[Valor]]&gt;1,1,1)</f>
        <v>1</v>
      </c>
      <c r="Y394" s="3">
        <f t="shared" si="119"/>
        <v>3</v>
      </c>
      <c r="Z394" s="3">
        <f>IF(AND(DataTable[[#This Row],[Sentido]]="URUGUAI para BRASIL",DataTable[[#This Row],[Valor]]&gt;350),1,0)</f>
        <v>0</v>
      </c>
      <c r="AA394" s="3">
        <f>IF(DataTable[[#This Row],[Valor]]&gt;1,0,0)</f>
        <v>0</v>
      </c>
    </row>
    <row r="395" spans="1:27" x14ac:dyDescent="0.25">
      <c r="A395" s="2" t="s">
        <v>21</v>
      </c>
      <c r="B395" s="2">
        <v>443</v>
      </c>
      <c r="C395" s="3">
        <f t="shared" si="105"/>
        <v>94.391413385826766</v>
      </c>
      <c r="D395" s="3">
        <f t="shared" si="106"/>
        <v>99.391413385826766</v>
      </c>
      <c r="E395" s="3">
        <f t="shared" si="107"/>
        <v>96.891413385826766</v>
      </c>
      <c r="F395" s="3">
        <f t="shared" si="108"/>
        <v>21.840000000000003</v>
      </c>
      <c r="G395" s="3">
        <f t="shared" si="109"/>
        <v>76.400000000000006</v>
      </c>
      <c r="H395" s="3">
        <f t="shared" si="110"/>
        <v>76.400000000000006</v>
      </c>
      <c r="I395" s="3"/>
      <c r="J395" s="3">
        <f t="shared" si="111"/>
        <v>95.409113385826771</v>
      </c>
      <c r="K395" s="3">
        <f t="shared" si="112"/>
        <v>99.391413385826766</v>
      </c>
      <c r="L395" s="34">
        <f t="shared" si="113"/>
        <v>96.891413385826766</v>
      </c>
      <c r="M395" s="3">
        <f t="shared" si="114"/>
        <v>-33.159999999999997</v>
      </c>
      <c r="N395" s="3">
        <f t="shared" si="115"/>
        <v>134.56</v>
      </c>
      <c r="O395" s="3"/>
      <c r="P395" s="3">
        <f t="shared" si="116"/>
        <v>135.28900787401574</v>
      </c>
      <c r="Q395" s="3">
        <f t="shared" si="117"/>
        <v>151.60502677165354</v>
      </c>
      <c r="R395" s="3">
        <f>vd(DataTable[[#This Row],[Sentido]],DataTable[[#This Row],[Valor]])</f>
        <v>147.4015748031496</v>
      </c>
      <c r="S395" s="3">
        <f>IF(DataTable[[#This Row],[Valor]]&gt;1,1,1)</f>
        <v>1</v>
      </c>
      <c r="T395" s="3">
        <f>IF(DataTable[[#This Row],[Valor]]&gt;1,1,1)</f>
        <v>1</v>
      </c>
      <c r="U395" s="3">
        <f>angr(DataTable[[#This Row],[Sentido]],DataTable[[#This Row],[Valor]])</f>
        <v>23.512598425196853</v>
      </c>
      <c r="V395" s="3">
        <f>ANGI(DataTable[[#This Row],[Sentido]],DataTable[[#This Row],[Valor]])</f>
        <v>27.774015748031498</v>
      </c>
      <c r="W395" s="3">
        <f t="shared" si="118"/>
        <v>3</v>
      </c>
      <c r="X395" s="3">
        <f>IF(DataTable[[#This Row],[Valor]]&gt;1,1,1)</f>
        <v>1</v>
      </c>
      <c r="Y395" s="3">
        <f t="shared" si="119"/>
        <v>3</v>
      </c>
      <c r="Z395" s="3">
        <f>IF(AND(DataTable[[#This Row],[Sentido]]="URUGUAI para BRASIL",DataTable[[#This Row],[Valor]]&gt;350),1,0)</f>
        <v>0</v>
      </c>
      <c r="AA395" s="3">
        <f>IF(DataTable[[#This Row],[Valor]]&gt;1,0,0)</f>
        <v>0</v>
      </c>
    </row>
    <row r="396" spans="1:27" x14ac:dyDescent="0.25">
      <c r="A396" s="2" t="s">
        <v>21</v>
      </c>
      <c r="B396" s="2">
        <v>444</v>
      </c>
      <c r="C396" s="3">
        <f t="shared" si="105"/>
        <v>94.463637795275588</v>
      </c>
      <c r="D396" s="3">
        <f t="shared" si="106"/>
        <v>99.463637795275588</v>
      </c>
      <c r="E396" s="3">
        <f t="shared" si="107"/>
        <v>96.963637795275588</v>
      </c>
      <c r="F396" s="3">
        <f t="shared" si="108"/>
        <v>21.72</v>
      </c>
      <c r="G396" s="3">
        <f t="shared" si="109"/>
        <v>76.2</v>
      </c>
      <c r="H396" s="3">
        <f t="shared" si="110"/>
        <v>76.2</v>
      </c>
      <c r="I396" s="3"/>
      <c r="J396" s="3">
        <f t="shared" si="111"/>
        <v>95.481337795275593</v>
      </c>
      <c r="K396" s="3">
        <f t="shared" si="112"/>
        <v>99.463637795275588</v>
      </c>
      <c r="L396" s="34">
        <f t="shared" si="113"/>
        <v>96.963637795275588</v>
      </c>
      <c r="M396" s="3">
        <f t="shared" si="114"/>
        <v>-33.28</v>
      </c>
      <c r="N396" s="3">
        <f t="shared" si="115"/>
        <v>134.47999999999999</v>
      </c>
      <c r="O396" s="3"/>
      <c r="P396" s="3">
        <f t="shared" si="116"/>
        <v>135.54166929133856</v>
      </c>
      <c r="Q396" s="3">
        <f t="shared" si="117"/>
        <v>151.7104755905512</v>
      </c>
      <c r="R396" s="3">
        <f>vd(DataTable[[#This Row],[Sentido]],DataTable[[#This Row],[Valor]])</f>
        <v>147.63385826771653</v>
      </c>
      <c r="S396" s="3">
        <f>IF(DataTable[[#This Row],[Valor]]&gt;1,1,1)</f>
        <v>1</v>
      </c>
      <c r="T396" s="3">
        <f>IF(DataTable[[#This Row],[Valor]]&gt;1,1,1)</f>
        <v>1</v>
      </c>
      <c r="U396" s="3">
        <f>angr(DataTable[[#This Row],[Sentido]],DataTable[[#This Row],[Valor]])</f>
        <v>23.370866141732289</v>
      </c>
      <c r="V396" s="3">
        <f>ANGI(DataTable[[#This Row],[Sentido]],DataTable[[#This Row],[Valor]])</f>
        <v>27.691338582677169</v>
      </c>
      <c r="W396" s="3">
        <f t="shared" si="118"/>
        <v>3</v>
      </c>
      <c r="X396" s="3">
        <f>IF(DataTable[[#This Row],[Valor]]&gt;1,1,1)</f>
        <v>1</v>
      </c>
      <c r="Y396" s="3">
        <f t="shared" si="119"/>
        <v>3</v>
      </c>
      <c r="Z396" s="3">
        <f>IF(AND(DataTable[[#This Row],[Sentido]]="URUGUAI para BRASIL",DataTable[[#This Row],[Valor]]&gt;350),1,0)</f>
        <v>0</v>
      </c>
      <c r="AA396" s="3">
        <f>IF(DataTable[[#This Row],[Valor]]&gt;1,0,0)</f>
        <v>0</v>
      </c>
    </row>
    <row r="397" spans="1:27" x14ac:dyDescent="0.25">
      <c r="A397" s="2" t="s">
        <v>21</v>
      </c>
      <c r="B397" s="2">
        <v>445</v>
      </c>
      <c r="C397" s="3">
        <f t="shared" si="105"/>
        <v>94.53586220472441</v>
      </c>
      <c r="D397" s="3">
        <f t="shared" si="106"/>
        <v>99.53586220472441</v>
      </c>
      <c r="E397" s="3">
        <f t="shared" si="107"/>
        <v>97.03586220472441</v>
      </c>
      <c r="F397" s="3">
        <f t="shared" si="108"/>
        <v>21.6</v>
      </c>
      <c r="G397" s="3">
        <f t="shared" si="109"/>
        <v>76</v>
      </c>
      <c r="H397" s="3">
        <f t="shared" si="110"/>
        <v>76</v>
      </c>
      <c r="I397" s="3"/>
      <c r="J397" s="3">
        <f t="shared" si="111"/>
        <v>95.553562204724415</v>
      </c>
      <c r="K397" s="3">
        <f t="shared" si="112"/>
        <v>99.53586220472441</v>
      </c>
      <c r="L397" s="34">
        <f t="shared" si="113"/>
        <v>97.03586220472441</v>
      </c>
      <c r="M397" s="3">
        <f t="shared" si="114"/>
        <v>-33.4</v>
      </c>
      <c r="N397" s="3">
        <f t="shared" si="115"/>
        <v>134.4</v>
      </c>
      <c r="O397" s="3"/>
      <c r="P397" s="3">
        <f t="shared" si="116"/>
        <v>135.79433070866145</v>
      </c>
      <c r="Q397" s="3">
        <f t="shared" si="117"/>
        <v>151.81592440944883</v>
      </c>
      <c r="R397" s="3">
        <f>vd(DataTable[[#This Row],[Sentido]],DataTable[[#This Row],[Valor]])</f>
        <v>147.86614173228347</v>
      </c>
      <c r="S397" s="3">
        <f>IF(DataTable[[#This Row],[Valor]]&gt;1,1,1)</f>
        <v>1</v>
      </c>
      <c r="T397" s="3">
        <f>IF(DataTable[[#This Row],[Valor]]&gt;1,1,1)</f>
        <v>1</v>
      </c>
      <c r="U397" s="3">
        <f>angr(DataTable[[#This Row],[Sentido]],DataTable[[#This Row],[Valor]])</f>
        <v>23.229133858267712</v>
      </c>
      <c r="V397" s="3">
        <f>ANGI(DataTable[[#This Row],[Sentido]],DataTable[[#This Row],[Valor]])</f>
        <v>27.608661417322832</v>
      </c>
      <c r="W397" s="3">
        <f t="shared" si="118"/>
        <v>3</v>
      </c>
      <c r="X397" s="3">
        <f>IF(DataTable[[#This Row],[Valor]]&gt;1,1,1)</f>
        <v>1</v>
      </c>
      <c r="Y397" s="3">
        <f t="shared" si="119"/>
        <v>3</v>
      </c>
      <c r="Z397" s="3">
        <f>IF(AND(DataTable[[#This Row],[Sentido]]="URUGUAI para BRASIL",DataTable[[#This Row],[Valor]]&gt;350),1,0)</f>
        <v>0</v>
      </c>
      <c r="AA397" s="3">
        <f>IF(DataTable[[#This Row],[Valor]]&gt;1,0,0)</f>
        <v>0</v>
      </c>
    </row>
    <row r="398" spans="1:27" x14ac:dyDescent="0.25">
      <c r="A398" s="2" t="s">
        <v>21</v>
      </c>
      <c r="B398" s="2">
        <v>446</v>
      </c>
      <c r="C398" s="3">
        <f t="shared" si="105"/>
        <v>94.608086614173232</v>
      </c>
      <c r="D398" s="3">
        <f t="shared" si="106"/>
        <v>99.608086614173232</v>
      </c>
      <c r="E398" s="3">
        <f t="shared" si="107"/>
        <v>97.108086614173232</v>
      </c>
      <c r="F398" s="3">
        <f t="shared" si="108"/>
        <v>21.480000000000004</v>
      </c>
      <c r="G398" s="3">
        <f t="shared" si="109"/>
        <v>75.8</v>
      </c>
      <c r="H398" s="3">
        <f t="shared" si="110"/>
        <v>75.8</v>
      </c>
      <c r="I398" s="3"/>
      <c r="J398" s="3">
        <f t="shared" si="111"/>
        <v>95.625786614173236</v>
      </c>
      <c r="K398" s="3">
        <f t="shared" si="112"/>
        <v>99.608086614173232</v>
      </c>
      <c r="L398" s="34">
        <f t="shared" si="113"/>
        <v>97.108086614173232</v>
      </c>
      <c r="M398" s="3">
        <f t="shared" si="114"/>
        <v>-33.519999999999996</v>
      </c>
      <c r="N398" s="3">
        <f t="shared" si="115"/>
        <v>134.32</v>
      </c>
      <c r="O398" s="3"/>
      <c r="P398" s="3">
        <f t="shared" si="116"/>
        <v>136.04699212598425</v>
      </c>
      <c r="Q398" s="3">
        <f t="shared" si="117"/>
        <v>151.92137322834645</v>
      </c>
      <c r="R398" s="3">
        <f>vd(DataTable[[#This Row],[Sentido]],DataTable[[#This Row],[Valor]])</f>
        <v>148.0984251968504</v>
      </c>
      <c r="S398" s="3">
        <f>IF(DataTable[[#This Row],[Valor]]&gt;1,1,1)</f>
        <v>1</v>
      </c>
      <c r="T398" s="3">
        <f>IF(DataTable[[#This Row],[Valor]]&gt;1,1,1)</f>
        <v>1</v>
      </c>
      <c r="U398" s="3">
        <f>angr(DataTable[[#This Row],[Sentido]],DataTable[[#This Row],[Valor]])</f>
        <v>23.087401574803149</v>
      </c>
      <c r="V398" s="3">
        <f>ANGI(DataTable[[#This Row],[Sentido]],DataTable[[#This Row],[Valor]])</f>
        <v>27.525984251968502</v>
      </c>
      <c r="W398" s="3">
        <f t="shared" si="118"/>
        <v>3</v>
      </c>
      <c r="X398" s="3">
        <f>IF(DataTable[[#This Row],[Valor]]&gt;1,1,1)</f>
        <v>1</v>
      </c>
      <c r="Y398" s="3">
        <f t="shared" si="119"/>
        <v>3</v>
      </c>
      <c r="Z398" s="3">
        <f>IF(AND(DataTable[[#This Row],[Sentido]]="URUGUAI para BRASIL",DataTable[[#This Row],[Valor]]&gt;350),1,0)</f>
        <v>0</v>
      </c>
      <c r="AA398" s="3">
        <f>IF(DataTable[[#This Row],[Valor]]&gt;1,0,0)</f>
        <v>0</v>
      </c>
    </row>
    <row r="399" spans="1:27" x14ac:dyDescent="0.25">
      <c r="A399" s="2" t="s">
        <v>21</v>
      </c>
      <c r="B399" s="2">
        <v>447</v>
      </c>
      <c r="C399" s="3">
        <f t="shared" si="105"/>
        <v>94.680311023622053</v>
      </c>
      <c r="D399" s="3">
        <f t="shared" si="106"/>
        <v>99.680311023622053</v>
      </c>
      <c r="E399" s="3">
        <f t="shared" si="107"/>
        <v>97.180311023622053</v>
      </c>
      <c r="F399" s="3">
        <f t="shared" si="108"/>
        <v>21.36</v>
      </c>
      <c r="G399" s="3">
        <f t="shared" si="109"/>
        <v>75.599999999999994</v>
      </c>
      <c r="H399" s="3">
        <f t="shared" si="110"/>
        <v>75.599999999999994</v>
      </c>
      <c r="I399" s="3"/>
      <c r="J399" s="3">
        <f t="shared" si="111"/>
        <v>95.698011023622044</v>
      </c>
      <c r="K399" s="3">
        <f t="shared" si="112"/>
        <v>99.680311023622053</v>
      </c>
      <c r="L399" s="34">
        <f t="shared" si="113"/>
        <v>97.180311023622053</v>
      </c>
      <c r="M399" s="3">
        <f t="shared" si="114"/>
        <v>-33.64</v>
      </c>
      <c r="N399" s="3">
        <f t="shared" si="115"/>
        <v>134.24</v>
      </c>
      <c r="O399" s="3"/>
      <c r="P399" s="3">
        <f t="shared" si="116"/>
        <v>136.2996535433071</v>
      </c>
      <c r="Q399" s="3">
        <f t="shared" si="117"/>
        <v>152.02682204724411</v>
      </c>
      <c r="R399" s="3">
        <f>vd(DataTable[[#This Row],[Sentido]],DataTable[[#This Row],[Valor]])</f>
        <v>148.33070866141733</v>
      </c>
      <c r="S399" s="3">
        <f>IF(DataTable[[#This Row],[Valor]]&gt;1,1,1)</f>
        <v>1</v>
      </c>
      <c r="T399" s="3">
        <f>IF(DataTable[[#This Row],[Valor]]&gt;1,1,1)</f>
        <v>1</v>
      </c>
      <c r="U399" s="3">
        <f>angr(DataTable[[#This Row],[Sentido]],DataTable[[#This Row],[Valor]])</f>
        <v>22.945669291338582</v>
      </c>
      <c r="V399" s="3">
        <f>ANGI(DataTable[[#This Row],[Sentido]],DataTable[[#This Row],[Valor]])</f>
        <v>27.443307086614173</v>
      </c>
      <c r="W399" s="3">
        <f t="shared" si="118"/>
        <v>3</v>
      </c>
      <c r="X399" s="3">
        <f>IF(DataTable[[#This Row],[Valor]]&gt;1,1,1)</f>
        <v>1</v>
      </c>
      <c r="Y399" s="3">
        <f t="shared" si="119"/>
        <v>3</v>
      </c>
      <c r="Z399" s="3">
        <f>IF(AND(DataTable[[#This Row],[Sentido]]="URUGUAI para BRASIL",DataTable[[#This Row],[Valor]]&gt;350),1,0)</f>
        <v>0</v>
      </c>
      <c r="AA399" s="3">
        <f>IF(DataTable[[#This Row],[Valor]]&gt;1,0,0)</f>
        <v>0</v>
      </c>
    </row>
    <row r="400" spans="1:27" x14ac:dyDescent="0.25">
      <c r="A400" s="2" t="s">
        <v>21</v>
      </c>
      <c r="B400" s="2">
        <v>448</v>
      </c>
      <c r="C400" s="3">
        <f t="shared" si="105"/>
        <v>94.752535433070861</v>
      </c>
      <c r="D400" s="3">
        <f t="shared" si="106"/>
        <v>99.752535433070861</v>
      </c>
      <c r="E400" s="3">
        <f t="shared" si="107"/>
        <v>97.252535433070861</v>
      </c>
      <c r="F400" s="3">
        <f t="shared" si="108"/>
        <v>21.240000000000002</v>
      </c>
      <c r="G400" s="3">
        <f t="shared" si="109"/>
        <v>75.400000000000006</v>
      </c>
      <c r="H400" s="3">
        <f t="shared" si="110"/>
        <v>75.400000000000006</v>
      </c>
      <c r="I400" s="3"/>
      <c r="J400" s="3">
        <f t="shared" si="111"/>
        <v>95.770235433070866</v>
      </c>
      <c r="K400" s="3">
        <f t="shared" si="112"/>
        <v>99.752535433070861</v>
      </c>
      <c r="L400" s="34">
        <f t="shared" si="113"/>
        <v>97.252535433070861</v>
      </c>
      <c r="M400" s="3">
        <f t="shared" si="114"/>
        <v>-33.76</v>
      </c>
      <c r="N400" s="3">
        <f t="shared" si="115"/>
        <v>134.16</v>
      </c>
      <c r="O400" s="3"/>
      <c r="P400" s="3">
        <f t="shared" si="116"/>
        <v>136.55231496062993</v>
      </c>
      <c r="Q400" s="3">
        <f t="shared" si="117"/>
        <v>152.13227086614174</v>
      </c>
      <c r="R400" s="3">
        <f>vd(DataTable[[#This Row],[Sentido]],DataTable[[#This Row],[Valor]])</f>
        <v>148.56299212598424</v>
      </c>
      <c r="S400" s="3">
        <f>IF(DataTable[[#This Row],[Valor]]&gt;1,1,1)</f>
        <v>1</v>
      </c>
      <c r="T400" s="3">
        <f>IF(DataTable[[#This Row],[Valor]]&gt;1,1,1)</f>
        <v>1</v>
      </c>
      <c r="U400" s="3">
        <f>angr(DataTable[[#This Row],[Sentido]],DataTable[[#This Row],[Valor]])</f>
        <v>22.803937007874016</v>
      </c>
      <c r="V400" s="3">
        <f>ANGI(DataTable[[#This Row],[Sentido]],DataTable[[#This Row],[Valor]])</f>
        <v>27.360629921259843</v>
      </c>
      <c r="W400" s="3">
        <f t="shared" si="118"/>
        <v>3</v>
      </c>
      <c r="X400" s="3">
        <f>IF(DataTable[[#This Row],[Valor]]&gt;1,1,1)</f>
        <v>1</v>
      </c>
      <c r="Y400" s="3">
        <f t="shared" si="119"/>
        <v>3</v>
      </c>
      <c r="Z400" s="3">
        <f>IF(AND(DataTable[[#This Row],[Sentido]]="URUGUAI para BRASIL",DataTable[[#This Row],[Valor]]&gt;350),1,0)</f>
        <v>0</v>
      </c>
      <c r="AA400" s="3">
        <f>IF(DataTable[[#This Row],[Valor]]&gt;1,0,0)</f>
        <v>0</v>
      </c>
    </row>
    <row r="401" spans="1:27" x14ac:dyDescent="0.25">
      <c r="A401" s="2" t="s">
        <v>21</v>
      </c>
      <c r="B401" s="2">
        <v>449</v>
      </c>
      <c r="C401" s="3">
        <f t="shared" si="105"/>
        <v>94.824759842519683</v>
      </c>
      <c r="D401" s="3">
        <f t="shared" si="106"/>
        <v>99.824759842519683</v>
      </c>
      <c r="E401" s="3">
        <f t="shared" si="107"/>
        <v>97.324759842519683</v>
      </c>
      <c r="F401" s="3">
        <f t="shared" si="108"/>
        <v>21.119999999999997</v>
      </c>
      <c r="G401" s="3">
        <f t="shared" si="109"/>
        <v>75.2</v>
      </c>
      <c r="H401" s="3">
        <f t="shared" si="110"/>
        <v>75.2</v>
      </c>
      <c r="I401" s="3"/>
      <c r="J401" s="3">
        <f t="shared" si="111"/>
        <v>95.842459842519688</v>
      </c>
      <c r="K401" s="3">
        <f t="shared" si="112"/>
        <v>99.824759842519683</v>
      </c>
      <c r="L401" s="34">
        <f t="shared" si="113"/>
        <v>97.324759842519683</v>
      </c>
      <c r="M401" s="3">
        <f t="shared" si="114"/>
        <v>-33.880000000000003</v>
      </c>
      <c r="N401" s="3">
        <f t="shared" si="115"/>
        <v>134.08000000000001</v>
      </c>
      <c r="O401" s="3"/>
      <c r="P401" s="3">
        <f t="shared" si="116"/>
        <v>136.80497637795276</v>
      </c>
      <c r="Q401" s="3">
        <f t="shared" si="117"/>
        <v>152.23771968503937</v>
      </c>
      <c r="R401" s="3">
        <f>vd(DataTable[[#This Row],[Sentido]],DataTable[[#This Row],[Valor]])</f>
        <v>148.79527559055117</v>
      </c>
      <c r="S401" s="3">
        <f>IF(DataTable[[#This Row],[Valor]]&gt;1,1,1)</f>
        <v>1</v>
      </c>
      <c r="T401" s="3">
        <f>IF(DataTable[[#This Row],[Valor]]&gt;1,1,1)</f>
        <v>1</v>
      </c>
      <c r="U401" s="3">
        <f>angr(DataTable[[#This Row],[Sentido]],DataTable[[#This Row],[Valor]])</f>
        <v>22.662204724409452</v>
      </c>
      <c r="V401" s="3">
        <f>ANGI(DataTable[[#This Row],[Sentido]],DataTable[[#This Row],[Valor]])</f>
        <v>27.277952755905513</v>
      </c>
      <c r="W401" s="3">
        <f t="shared" si="118"/>
        <v>3</v>
      </c>
      <c r="X401" s="3">
        <f>IF(DataTable[[#This Row],[Valor]]&gt;1,1,1)</f>
        <v>1</v>
      </c>
      <c r="Y401" s="3">
        <f t="shared" si="119"/>
        <v>3</v>
      </c>
      <c r="Z401" s="3">
        <f>IF(AND(DataTable[[#This Row],[Sentido]]="URUGUAI para BRASIL",DataTable[[#This Row],[Valor]]&gt;350),1,0)</f>
        <v>0</v>
      </c>
      <c r="AA401" s="3">
        <f>IF(DataTable[[#This Row],[Valor]]&gt;1,0,0)</f>
        <v>0</v>
      </c>
    </row>
    <row r="402" spans="1:27" x14ac:dyDescent="0.25">
      <c r="A402" s="2" t="s">
        <v>21</v>
      </c>
      <c r="B402" s="2">
        <v>450</v>
      </c>
      <c r="C402" s="3">
        <f t="shared" si="105"/>
        <v>94.896984251968505</v>
      </c>
      <c r="D402" s="3">
        <f t="shared" si="106"/>
        <v>99.896984251968505</v>
      </c>
      <c r="E402" s="3">
        <f t="shared" si="107"/>
        <v>97.396984251968505</v>
      </c>
      <c r="F402" s="3">
        <f t="shared" si="108"/>
        <v>21</v>
      </c>
      <c r="G402" s="3">
        <f t="shared" si="109"/>
        <v>75</v>
      </c>
      <c r="H402" s="3">
        <f t="shared" si="110"/>
        <v>75</v>
      </c>
      <c r="I402" s="3"/>
      <c r="J402" s="3">
        <f t="shared" si="111"/>
        <v>95.914684251968509</v>
      </c>
      <c r="K402" s="3">
        <f t="shared" si="112"/>
        <v>99.896984251968505</v>
      </c>
      <c r="L402" s="34">
        <f t="shared" si="113"/>
        <v>97.396984251968505</v>
      </c>
      <c r="M402" s="3">
        <f t="shared" si="114"/>
        <v>-34</v>
      </c>
      <c r="N402" s="3">
        <f t="shared" si="115"/>
        <v>134</v>
      </c>
      <c r="O402" s="3"/>
      <c r="P402" s="3">
        <f t="shared" si="116"/>
        <v>137.05763779527558</v>
      </c>
      <c r="Q402" s="3">
        <f t="shared" si="117"/>
        <v>152.34316850393699</v>
      </c>
      <c r="R402" s="3">
        <f>vd(DataTable[[#This Row],[Sentido]],DataTable[[#This Row],[Valor]])</f>
        <v>149.0275590551181</v>
      </c>
      <c r="S402" s="3">
        <f>IF(DataTable[[#This Row],[Valor]]&gt;1,1,1)</f>
        <v>1</v>
      </c>
      <c r="T402" s="3">
        <f>IF(DataTable[[#This Row],[Valor]]&gt;1,1,1)</f>
        <v>1</v>
      </c>
      <c r="U402" s="3">
        <f>angr(DataTable[[#This Row],[Sentido]],DataTable[[#This Row],[Valor]])</f>
        <v>22.520472440944886</v>
      </c>
      <c r="V402" s="3">
        <f>ANGI(DataTable[[#This Row],[Sentido]],DataTable[[#This Row],[Valor]])</f>
        <v>27.195275590551184</v>
      </c>
      <c r="W402" s="3">
        <f t="shared" si="118"/>
        <v>3</v>
      </c>
      <c r="X402" s="3">
        <f>IF(DataTable[[#This Row],[Valor]]&gt;1,1,1)</f>
        <v>1</v>
      </c>
      <c r="Y402" s="3">
        <f t="shared" si="119"/>
        <v>3</v>
      </c>
      <c r="Z402" s="3">
        <f>IF(AND(DataTable[[#This Row],[Sentido]]="URUGUAI para BRASIL",DataTable[[#This Row],[Valor]]&gt;350),1,0)</f>
        <v>0</v>
      </c>
      <c r="AA402" s="3">
        <f>IF(DataTable[[#This Row],[Valor]]&gt;1,0,0)</f>
        <v>0</v>
      </c>
    </row>
    <row r="403" spans="1:27" x14ac:dyDescent="0.25">
      <c r="A403" s="2" t="s">
        <v>21</v>
      </c>
      <c r="B403" s="2">
        <v>451</v>
      </c>
      <c r="C403" s="3">
        <f t="shared" si="105"/>
        <v>94.969208661417326</v>
      </c>
      <c r="D403" s="3">
        <f t="shared" si="106"/>
        <v>99.969208661417326</v>
      </c>
      <c r="E403" s="3">
        <f t="shared" si="107"/>
        <v>97.469208661417326</v>
      </c>
      <c r="F403" s="3">
        <f t="shared" si="108"/>
        <v>20.880000000000003</v>
      </c>
      <c r="G403" s="3">
        <f t="shared" si="109"/>
        <v>74.8</v>
      </c>
      <c r="H403" s="3">
        <f t="shared" si="110"/>
        <v>74.8</v>
      </c>
      <c r="I403" s="3"/>
      <c r="J403" s="3">
        <f t="shared" si="111"/>
        <v>95.986908661417317</v>
      </c>
      <c r="K403" s="3">
        <f t="shared" si="112"/>
        <v>99.969208661417326</v>
      </c>
      <c r="L403" s="34">
        <f t="shared" si="113"/>
        <v>97.469208661417326</v>
      </c>
      <c r="M403" s="3">
        <f t="shared" si="114"/>
        <v>-34.119999999999997</v>
      </c>
      <c r="N403" s="3">
        <f t="shared" si="115"/>
        <v>133.91999999999999</v>
      </c>
      <c r="O403" s="3"/>
      <c r="P403" s="3">
        <f t="shared" si="116"/>
        <v>137.31029921259841</v>
      </c>
      <c r="Q403" s="3">
        <f t="shared" si="117"/>
        <v>152.44861732283465</v>
      </c>
      <c r="R403" s="3">
        <f>vd(DataTable[[#This Row],[Sentido]],DataTable[[#This Row],[Valor]])</f>
        <v>149.25984251968504</v>
      </c>
      <c r="S403" s="3">
        <f>IF(DataTable[[#This Row],[Valor]]&gt;1,1,1)</f>
        <v>1</v>
      </c>
      <c r="T403" s="3">
        <f>IF(DataTable[[#This Row],[Valor]]&gt;1,1,1)</f>
        <v>1</v>
      </c>
      <c r="U403" s="3">
        <f>angr(DataTable[[#This Row],[Sentido]],DataTable[[#This Row],[Valor]])</f>
        <v>22.378740157480319</v>
      </c>
      <c r="V403" s="3">
        <f>ANGI(DataTable[[#This Row],[Sentido]],DataTable[[#This Row],[Valor]])</f>
        <v>27.112598425196854</v>
      </c>
      <c r="W403" s="3">
        <f t="shared" si="118"/>
        <v>3</v>
      </c>
      <c r="X403" s="3">
        <f>IF(DataTable[[#This Row],[Valor]]&gt;1,1,1)</f>
        <v>1</v>
      </c>
      <c r="Y403" s="3">
        <f t="shared" si="119"/>
        <v>3</v>
      </c>
      <c r="Z403" s="3">
        <f>IF(AND(DataTable[[#This Row],[Sentido]]="URUGUAI para BRASIL",DataTable[[#This Row],[Valor]]&gt;350),1,0)</f>
        <v>0</v>
      </c>
      <c r="AA403" s="3">
        <f>IF(DataTable[[#This Row],[Valor]]&gt;1,0,0)</f>
        <v>0</v>
      </c>
    </row>
    <row r="404" spans="1:27" x14ac:dyDescent="0.25">
      <c r="A404" s="2" t="s">
        <v>21</v>
      </c>
      <c r="B404" s="2">
        <v>452</v>
      </c>
      <c r="C404" s="3">
        <f t="shared" si="105"/>
        <v>95.041433070866148</v>
      </c>
      <c r="D404" s="3">
        <f t="shared" si="106"/>
        <v>100.04143307086615</v>
      </c>
      <c r="E404" s="3">
        <f t="shared" si="107"/>
        <v>97.541433070866148</v>
      </c>
      <c r="F404" s="3">
        <f t="shared" si="108"/>
        <v>20.759999999999998</v>
      </c>
      <c r="G404" s="3">
        <f t="shared" si="109"/>
        <v>74.599999999999994</v>
      </c>
      <c r="H404" s="3">
        <f t="shared" si="110"/>
        <v>74.599999999999994</v>
      </c>
      <c r="I404" s="3"/>
      <c r="J404" s="3">
        <f t="shared" si="111"/>
        <v>96.059133070866139</v>
      </c>
      <c r="K404" s="3">
        <f t="shared" si="112"/>
        <v>100.04143307086615</v>
      </c>
      <c r="L404" s="34">
        <f t="shared" si="113"/>
        <v>97.541433070866148</v>
      </c>
      <c r="M404" s="3">
        <f t="shared" si="114"/>
        <v>-34.24</v>
      </c>
      <c r="N404" s="3">
        <f t="shared" si="115"/>
        <v>133.84</v>
      </c>
      <c r="O404" s="3"/>
      <c r="P404" s="3">
        <f t="shared" si="116"/>
        <v>137.56296062992126</v>
      </c>
      <c r="Q404" s="3">
        <f t="shared" si="117"/>
        <v>152.55406614173228</v>
      </c>
      <c r="R404" s="3">
        <f>vd(DataTable[[#This Row],[Sentido]],DataTable[[#This Row],[Valor]])</f>
        <v>149.49212598425197</v>
      </c>
      <c r="S404" s="3">
        <f>IF(DataTable[[#This Row],[Valor]]&gt;1,1,1)</f>
        <v>1</v>
      </c>
      <c r="T404" s="3">
        <f>IF(DataTable[[#This Row],[Valor]]&gt;1,1,1)</f>
        <v>1</v>
      </c>
      <c r="U404" s="3">
        <f>angr(DataTable[[#This Row],[Sentido]],DataTable[[#This Row],[Valor]])</f>
        <v>22.237007874015745</v>
      </c>
      <c r="V404" s="3">
        <f>ANGI(DataTable[[#This Row],[Sentido]],DataTable[[#This Row],[Valor]])</f>
        <v>27.029921259842517</v>
      </c>
      <c r="W404" s="3">
        <f t="shared" si="118"/>
        <v>3</v>
      </c>
      <c r="X404" s="3">
        <f>IF(DataTable[[#This Row],[Valor]]&gt;1,1,1)</f>
        <v>1</v>
      </c>
      <c r="Y404" s="3">
        <f t="shared" si="119"/>
        <v>3</v>
      </c>
      <c r="Z404" s="3">
        <f>IF(AND(DataTable[[#This Row],[Sentido]]="URUGUAI para BRASIL",DataTable[[#This Row],[Valor]]&gt;350),1,0)</f>
        <v>0</v>
      </c>
      <c r="AA404" s="3">
        <f>IF(DataTable[[#This Row],[Valor]]&gt;1,0,0)</f>
        <v>0</v>
      </c>
    </row>
    <row r="405" spans="1:27" x14ac:dyDescent="0.25">
      <c r="A405" s="2" t="s">
        <v>21</v>
      </c>
      <c r="B405" s="2">
        <v>453</v>
      </c>
      <c r="C405" s="3">
        <f t="shared" si="105"/>
        <v>95.11365748031497</v>
      </c>
      <c r="D405" s="3">
        <f t="shared" si="106"/>
        <v>100.11365748031497</v>
      </c>
      <c r="E405" s="3">
        <f t="shared" si="107"/>
        <v>97.61365748031497</v>
      </c>
      <c r="F405" s="3">
        <f t="shared" si="108"/>
        <v>20.64</v>
      </c>
      <c r="G405" s="3">
        <f t="shared" si="109"/>
        <v>74.400000000000006</v>
      </c>
      <c r="H405" s="3">
        <f t="shared" si="110"/>
        <v>74.400000000000006</v>
      </c>
      <c r="I405" s="3"/>
      <c r="J405" s="3">
        <f t="shared" si="111"/>
        <v>96.131357480314961</v>
      </c>
      <c r="K405" s="3">
        <f t="shared" si="112"/>
        <v>100.11365748031497</v>
      </c>
      <c r="L405" s="34">
        <f t="shared" si="113"/>
        <v>97.61365748031497</v>
      </c>
      <c r="M405" s="3">
        <f t="shared" si="114"/>
        <v>-34.36</v>
      </c>
      <c r="N405" s="3">
        <f t="shared" si="115"/>
        <v>133.76</v>
      </c>
      <c r="O405" s="3"/>
      <c r="P405" s="3">
        <f t="shared" si="116"/>
        <v>137.81562204724409</v>
      </c>
      <c r="Q405" s="3">
        <f t="shared" si="117"/>
        <v>152.65951496062991</v>
      </c>
      <c r="R405" s="3">
        <f>vd(DataTable[[#This Row],[Sentido]],DataTable[[#This Row],[Valor]])</f>
        <v>149.7244094488189</v>
      </c>
      <c r="S405" s="3">
        <f>IF(DataTable[[#This Row],[Valor]]&gt;1,1,1)</f>
        <v>1</v>
      </c>
      <c r="T405" s="3">
        <f>IF(DataTable[[#This Row],[Valor]]&gt;1,1,1)</f>
        <v>1</v>
      </c>
      <c r="U405" s="3">
        <f>angr(DataTable[[#This Row],[Sentido]],DataTable[[#This Row],[Valor]])</f>
        <v>22.095275590551179</v>
      </c>
      <c r="V405" s="3">
        <f>ANGI(DataTable[[#This Row],[Sentido]],DataTable[[#This Row],[Valor]])</f>
        <v>26.947244094488187</v>
      </c>
      <c r="W405" s="3">
        <f t="shared" si="118"/>
        <v>3</v>
      </c>
      <c r="X405" s="3">
        <f>IF(DataTable[[#This Row],[Valor]]&gt;1,1,1)</f>
        <v>1</v>
      </c>
      <c r="Y405" s="3">
        <f t="shared" si="119"/>
        <v>3</v>
      </c>
      <c r="Z405" s="3">
        <f>IF(AND(DataTable[[#This Row],[Sentido]]="URUGUAI para BRASIL",DataTable[[#This Row],[Valor]]&gt;350),1,0)</f>
        <v>0</v>
      </c>
      <c r="AA405" s="3">
        <f>IF(DataTable[[#This Row],[Valor]]&gt;1,0,0)</f>
        <v>0</v>
      </c>
    </row>
    <row r="406" spans="1:27" x14ac:dyDescent="0.25">
      <c r="A406" s="2" t="s">
        <v>21</v>
      </c>
      <c r="B406" s="2">
        <v>454</v>
      </c>
      <c r="C406" s="3">
        <f t="shared" si="105"/>
        <v>95.185881889763778</v>
      </c>
      <c r="D406" s="3">
        <f t="shared" si="106"/>
        <v>100.18588188976378</v>
      </c>
      <c r="E406" s="3">
        <f t="shared" si="107"/>
        <v>97.685881889763778</v>
      </c>
      <c r="F406" s="3">
        <f t="shared" si="108"/>
        <v>20.520000000000003</v>
      </c>
      <c r="G406" s="3">
        <f t="shared" si="109"/>
        <v>74.2</v>
      </c>
      <c r="H406" s="3">
        <f t="shared" si="110"/>
        <v>74.2</v>
      </c>
      <c r="I406" s="3"/>
      <c r="J406" s="3">
        <f t="shared" si="111"/>
        <v>96.203581889763782</v>
      </c>
      <c r="K406" s="3">
        <f t="shared" si="112"/>
        <v>100.18588188976378</v>
      </c>
      <c r="L406" s="34">
        <f t="shared" si="113"/>
        <v>97.685881889763778</v>
      </c>
      <c r="M406" s="3">
        <f t="shared" si="114"/>
        <v>-34.479999999999997</v>
      </c>
      <c r="N406" s="3">
        <f t="shared" si="115"/>
        <v>133.68</v>
      </c>
      <c r="O406" s="3"/>
      <c r="P406" s="3">
        <f t="shared" si="116"/>
        <v>138.06828346456695</v>
      </c>
      <c r="Q406" s="3">
        <f t="shared" si="117"/>
        <v>152.76496377952756</v>
      </c>
      <c r="R406" s="3">
        <f>vd(DataTable[[#This Row],[Sentido]],DataTable[[#This Row],[Valor]])</f>
        <v>149.95669291338581</v>
      </c>
      <c r="S406" s="3">
        <f>IF(DataTable[[#This Row],[Valor]]&gt;1,1,1)</f>
        <v>1</v>
      </c>
      <c r="T406" s="3">
        <f>IF(DataTable[[#This Row],[Valor]]&gt;1,1,1)</f>
        <v>1</v>
      </c>
      <c r="U406" s="3">
        <f>angr(DataTable[[#This Row],[Sentido]],DataTable[[#This Row],[Valor]])</f>
        <v>21.953543307086612</v>
      </c>
      <c r="V406" s="3">
        <f>ANGI(DataTable[[#This Row],[Sentido]],DataTable[[#This Row],[Valor]])</f>
        <v>26.864566929133858</v>
      </c>
      <c r="W406" s="3">
        <f t="shared" si="118"/>
        <v>3</v>
      </c>
      <c r="X406" s="3">
        <f>IF(DataTable[[#This Row],[Valor]]&gt;1,1,1)</f>
        <v>1</v>
      </c>
      <c r="Y406" s="3">
        <f t="shared" si="119"/>
        <v>3</v>
      </c>
      <c r="Z406" s="3">
        <f>IF(AND(DataTable[[#This Row],[Sentido]]="URUGUAI para BRASIL",DataTable[[#This Row],[Valor]]&gt;350),1,0)</f>
        <v>0</v>
      </c>
      <c r="AA406" s="3">
        <f>IF(DataTable[[#This Row],[Valor]]&gt;1,0,0)</f>
        <v>0</v>
      </c>
    </row>
    <row r="407" spans="1:27" x14ac:dyDescent="0.25">
      <c r="A407" s="2" t="s">
        <v>21</v>
      </c>
      <c r="B407" s="2">
        <v>455</v>
      </c>
      <c r="C407" s="3">
        <f t="shared" si="105"/>
        <v>95.258106299212599</v>
      </c>
      <c r="D407" s="3">
        <f t="shared" si="106"/>
        <v>100.2581062992126</v>
      </c>
      <c r="E407" s="3">
        <f t="shared" si="107"/>
        <v>97.758106299212599</v>
      </c>
      <c r="F407" s="3">
        <f t="shared" si="108"/>
        <v>20.399999999999999</v>
      </c>
      <c r="G407" s="3">
        <f t="shared" si="109"/>
        <v>74</v>
      </c>
      <c r="H407" s="3">
        <f t="shared" si="110"/>
        <v>74</v>
      </c>
      <c r="I407" s="3"/>
      <c r="J407" s="3">
        <f t="shared" si="111"/>
        <v>96.275806299212604</v>
      </c>
      <c r="K407" s="3">
        <f t="shared" si="112"/>
        <v>100.2581062992126</v>
      </c>
      <c r="L407" s="34">
        <f t="shared" si="113"/>
        <v>97.758106299212599</v>
      </c>
      <c r="M407" s="3">
        <f t="shared" si="114"/>
        <v>-34.6</v>
      </c>
      <c r="N407" s="3">
        <f t="shared" si="115"/>
        <v>133.6</v>
      </c>
      <c r="O407" s="3"/>
      <c r="P407" s="3">
        <f t="shared" si="116"/>
        <v>138.32094488188977</v>
      </c>
      <c r="Q407" s="3">
        <f t="shared" si="117"/>
        <v>152.87041259842519</v>
      </c>
      <c r="R407" s="3">
        <f>vd(DataTable[[#This Row],[Sentido]],DataTable[[#This Row],[Valor]])</f>
        <v>150.18897637795274</v>
      </c>
      <c r="S407" s="3">
        <f>IF(DataTable[[#This Row],[Valor]]&gt;1,1,1)</f>
        <v>1</v>
      </c>
      <c r="T407" s="3">
        <f>IF(DataTable[[#This Row],[Valor]]&gt;1,1,1)</f>
        <v>1</v>
      </c>
      <c r="U407" s="3">
        <f>angr(DataTable[[#This Row],[Sentido]],DataTable[[#This Row],[Valor]])</f>
        <v>21.811811023622049</v>
      </c>
      <c r="V407" s="3">
        <f>ANGI(DataTable[[#This Row],[Sentido]],DataTable[[#This Row],[Valor]])</f>
        <v>26.781889763779528</v>
      </c>
      <c r="W407" s="3">
        <f t="shared" si="118"/>
        <v>3</v>
      </c>
      <c r="X407" s="3">
        <f>IF(DataTable[[#This Row],[Valor]]&gt;1,1,1)</f>
        <v>1</v>
      </c>
      <c r="Y407" s="3">
        <f t="shared" si="119"/>
        <v>3</v>
      </c>
      <c r="Z407" s="3">
        <f>IF(AND(DataTable[[#This Row],[Sentido]]="URUGUAI para BRASIL",DataTable[[#This Row],[Valor]]&gt;350),1,0)</f>
        <v>0</v>
      </c>
      <c r="AA407" s="3">
        <f>IF(DataTable[[#This Row],[Valor]]&gt;1,0,0)</f>
        <v>0</v>
      </c>
    </row>
    <row r="408" spans="1:27" x14ac:dyDescent="0.25">
      <c r="A408" s="2" t="s">
        <v>21</v>
      </c>
      <c r="B408" s="2">
        <v>456</v>
      </c>
      <c r="C408" s="3">
        <f t="shared" si="105"/>
        <v>95.330330708661421</v>
      </c>
      <c r="D408" s="3">
        <f t="shared" si="106"/>
        <v>100.33033070866142</v>
      </c>
      <c r="E408" s="3">
        <f t="shared" si="107"/>
        <v>97.830330708661421</v>
      </c>
      <c r="F408" s="3">
        <f t="shared" si="108"/>
        <v>20.28</v>
      </c>
      <c r="G408" s="3">
        <f t="shared" si="109"/>
        <v>73.8</v>
      </c>
      <c r="H408" s="3">
        <f t="shared" si="110"/>
        <v>73.8</v>
      </c>
      <c r="I408" s="3"/>
      <c r="J408" s="3">
        <f t="shared" si="111"/>
        <v>96.348030708661412</v>
      </c>
      <c r="K408" s="3">
        <f t="shared" si="112"/>
        <v>100.33033070866142</v>
      </c>
      <c r="L408" s="34">
        <f t="shared" si="113"/>
        <v>97.830330708661421</v>
      </c>
      <c r="M408" s="3">
        <f t="shared" si="114"/>
        <v>-34.72</v>
      </c>
      <c r="N408" s="3">
        <f t="shared" si="115"/>
        <v>133.52000000000001</v>
      </c>
      <c r="O408" s="3"/>
      <c r="P408" s="3">
        <f t="shared" si="116"/>
        <v>138.5736062992126</v>
      </c>
      <c r="Q408" s="3">
        <f t="shared" si="117"/>
        <v>152.97586141732285</v>
      </c>
      <c r="R408" s="3">
        <f>vd(DataTable[[#This Row],[Sentido]],DataTable[[#This Row],[Valor]])</f>
        <v>150.42125984251967</v>
      </c>
      <c r="S408" s="3">
        <f>IF(DataTable[[#This Row],[Valor]]&gt;1,1,1)</f>
        <v>1</v>
      </c>
      <c r="T408" s="3">
        <f>IF(DataTable[[#This Row],[Valor]]&gt;1,1,1)</f>
        <v>1</v>
      </c>
      <c r="U408" s="3">
        <f>angr(DataTable[[#This Row],[Sentido]],DataTable[[#This Row],[Valor]])</f>
        <v>21.670078740157482</v>
      </c>
      <c r="V408" s="3">
        <f>ANGI(DataTable[[#This Row],[Sentido]],DataTable[[#This Row],[Valor]])</f>
        <v>26.699212598425198</v>
      </c>
      <c r="W408" s="3">
        <f t="shared" si="118"/>
        <v>3</v>
      </c>
      <c r="X408" s="3">
        <f>IF(DataTable[[#This Row],[Valor]]&gt;1,1,1)</f>
        <v>1</v>
      </c>
      <c r="Y408" s="3">
        <f t="shared" si="119"/>
        <v>3</v>
      </c>
      <c r="Z408" s="3">
        <f>IF(AND(DataTable[[#This Row],[Sentido]]="URUGUAI para BRASIL",DataTable[[#This Row],[Valor]]&gt;350),1,0)</f>
        <v>0</v>
      </c>
      <c r="AA408" s="3">
        <f>IF(DataTable[[#This Row],[Valor]]&gt;1,0,0)</f>
        <v>0</v>
      </c>
    </row>
    <row r="409" spans="1:27" x14ac:dyDescent="0.25">
      <c r="A409" s="2" t="s">
        <v>21</v>
      </c>
      <c r="B409" s="2">
        <v>457</v>
      </c>
      <c r="C409" s="3">
        <f t="shared" si="105"/>
        <v>95.402555118110229</v>
      </c>
      <c r="D409" s="3">
        <f t="shared" si="106"/>
        <v>100.40255511811023</v>
      </c>
      <c r="E409" s="3">
        <f t="shared" si="107"/>
        <v>97.902555118110229</v>
      </c>
      <c r="F409" s="3">
        <f t="shared" si="108"/>
        <v>20.160000000000004</v>
      </c>
      <c r="G409" s="3">
        <f t="shared" si="109"/>
        <v>73.599999999999994</v>
      </c>
      <c r="H409" s="3">
        <f t="shared" si="110"/>
        <v>73.599999999999994</v>
      </c>
      <c r="I409" s="3"/>
      <c r="J409" s="3">
        <f t="shared" si="111"/>
        <v>96.420255118110234</v>
      </c>
      <c r="K409" s="3">
        <f t="shared" si="112"/>
        <v>100.40255511811023</v>
      </c>
      <c r="L409" s="34">
        <f t="shared" si="113"/>
        <v>97.902555118110229</v>
      </c>
      <c r="M409" s="3">
        <f t="shared" si="114"/>
        <v>-34.839999999999996</v>
      </c>
      <c r="N409" s="3">
        <f t="shared" si="115"/>
        <v>133.44</v>
      </c>
      <c r="O409" s="3"/>
      <c r="P409" s="3">
        <f t="shared" si="116"/>
        <v>138.82626771653543</v>
      </c>
      <c r="Q409" s="3">
        <f t="shared" si="117"/>
        <v>153.08131023622047</v>
      </c>
      <c r="R409" s="3">
        <f>vd(DataTable[[#This Row],[Sentido]],DataTable[[#This Row],[Valor]])</f>
        <v>150.65354330708661</v>
      </c>
      <c r="S409" s="3">
        <f>IF(DataTable[[#This Row],[Valor]]&gt;1,1,1)</f>
        <v>1</v>
      </c>
      <c r="T409" s="3">
        <f>IF(DataTable[[#This Row],[Valor]]&gt;1,1,1)</f>
        <v>1</v>
      </c>
      <c r="U409" s="3">
        <f>angr(DataTable[[#This Row],[Sentido]],DataTable[[#This Row],[Valor]])</f>
        <v>21.528346456692915</v>
      </c>
      <c r="V409" s="3">
        <f>ANGI(DataTable[[#This Row],[Sentido]],DataTable[[#This Row],[Valor]])</f>
        <v>26.616535433070869</v>
      </c>
      <c r="W409" s="3">
        <f t="shared" si="118"/>
        <v>3</v>
      </c>
      <c r="X409" s="3">
        <f>IF(DataTable[[#This Row],[Valor]]&gt;1,1,1)</f>
        <v>1</v>
      </c>
      <c r="Y409" s="3">
        <f t="shared" si="119"/>
        <v>3</v>
      </c>
      <c r="Z409" s="3">
        <f>IF(AND(DataTable[[#This Row],[Sentido]]="URUGUAI para BRASIL",DataTable[[#This Row],[Valor]]&gt;350),1,0)</f>
        <v>0</v>
      </c>
      <c r="AA409" s="3">
        <f>IF(DataTable[[#This Row],[Valor]]&gt;1,0,0)</f>
        <v>0</v>
      </c>
    </row>
    <row r="410" spans="1:27" x14ac:dyDescent="0.25">
      <c r="A410" s="2" t="s">
        <v>21</v>
      </c>
      <c r="B410" s="2">
        <v>458</v>
      </c>
      <c r="C410" s="3">
        <f t="shared" si="105"/>
        <v>95.474779527559065</v>
      </c>
      <c r="D410" s="3">
        <f t="shared" si="106"/>
        <v>100.47477952755906</v>
      </c>
      <c r="E410" s="3">
        <f t="shared" si="107"/>
        <v>97.974779527559065</v>
      </c>
      <c r="F410" s="3">
        <f t="shared" si="108"/>
        <v>20.04</v>
      </c>
      <c r="G410" s="3">
        <f t="shared" si="109"/>
        <v>73.400000000000006</v>
      </c>
      <c r="H410" s="3">
        <f t="shared" si="110"/>
        <v>73.400000000000006</v>
      </c>
      <c r="I410" s="3"/>
      <c r="J410" s="3">
        <f t="shared" si="111"/>
        <v>96.492479527559055</v>
      </c>
      <c r="K410" s="3">
        <f t="shared" si="112"/>
        <v>100.47477952755906</v>
      </c>
      <c r="L410" s="34">
        <f t="shared" si="113"/>
        <v>97.974779527559065</v>
      </c>
      <c r="M410" s="3">
        <f t="shared" si="114"/>
        <v>-34.96</v>
      </c>
      <c r="N410" s="3">
        <f t="shared" si="115"/>
        <v>133.36000000000001</v>
      </c>
      <c r="O410" s="3"/>
      <c r="P410" s="3">
        <f t="shared" si="116"/>
        <v>139.07892913385828</v>
      </c>
      <c r="Q410" s="3">
        <f t="shared" si="117"/>
        <v>153.1867590551181</v>
      </c>
      <c r="R410" s="3">
        <f>vd(DataTable[[#This Row],[Sentido]],DataTable[[#This Row],[Valor]])</f>
        <v>150.86062992125983</v>
      </c>
      <c r="S410" s="3">
        <f>IF(DataTable[[#This Row],[Valor]]&gt;1,1,1)</f>
        <v>1</v>
      </c>
      <c r="T410" s="3">
        <f>IF(DataTable[[#This Row],[Valor]]&gt;1,1,1)</f>
        <v>1</v>
      </c>
      <c r="U410" s="3">
        <f>angr(DataTable[[#This Row],[Sentido]],DataTable[[#This Row],[Valor]])</f>
        <v>21.433858267716534</v>
      </c>
      <c r="V410" s="3">
        <f>ANGI(DataTable[[#This Row],[Sentido]],DataTable[[#This Row],[Valor]])</f>
        <v>26.549606299212599</v>
      </c>
      <c r="W410" s="3">
        <f t="shared" si="118"/>
        <v>3</v>
      </c>
      <c r="X410" s="3">
        <f>IF(DataTable[[#This Row],[Valor]]&gt;1,1,1)</f>
        <v>1</v>
      </c>
      <c r="Y410" s="3">
        <f t="shared" si="119"/>
        <v>3</v>
      </c>
      <c r="Z410" s="3">
        <f>IF(AND(DataTable[[#This Row],[Sentido]]="URUGUAI para BRASIL",DataTable[[#This Row],[Valor]]&gt;350),1,0)</f>
        <v>0</v>
      </c>
      <c r="AA410" s="3">
        <f>IF(DataTable[[#This Row],[Valor]]&gt;1,0,0)</f>
        <v>0</v>
      </c>
    </row>
    <row r="411" spans="1:27" x14ac:dyDescent="0.25">
      <c r="A411" s="2" t="s">
        <v>21</v>
      </c>
      <c r="B411" s="2">
        <v>459</v>
      </c>
      <c r="C411" s="3">
        <f t="shared" si="105"/>
        <v>95.547003937007872</v>
      </c>
      <c r="D411" s="3">
        <f t="shared" si="106"/>
        <v>100.54700393700787</v>
      </c>
      <c r="E411" s="3">
        <f t="shared" si="107"/>
        <v>98.047003937007872</v>
      </c>
      <c r="F411" s="3">
        <f t="shared" si="108"/>
        <v>19.920000000000002</v>
      </c>
      <c r="G411" s="3">
        <f t="shared" si="109"/>
        <v>73.2</v>
      </c>
      <c r="H411" s="3">
        <f t="shared" si="110"/>
        <v>73.2</v>
      </c>
      <c r="I411" s="3"/>
      <c r="J411" s="3">
        <f t="shared" si="111"/>
        <v>96.564703937007877</v>
      </c>
      <c r="K411" s="3">
        <f t="shared" si="112"/>
        <v>100.54700393700787</v>
      </c>
      <c r="L411" s="34">
        <f t="shared" si="113"/>
        <v>98.047003937007872</v>
      </c>
      <c r="M411" s="3">
        <f t="shared" si="114"/>
        <v>-35.08</v>
      </c>
      <c r="N411" s="3">
        <f t="shared" si="115"/>
        <v>133.28</v>
      </c>
      <c r="O411" s="3"/>
      <c r="P411" s="3">
        <f t="shared" si="116"/>
        <v>139.33159055118111</v>
      </c>
      <c r="Q411" s="3">
        <f t="shared" si="117"/>
        <v>153.29220787401576</v>
      </c>
      <c r="R411" s="3">
        <f>vd(DataTable[[#This Row],[Sentido]],DataTable[[#This Row],[Valor]])</f>
        <v>151.06141732283464</v>
      </c>
      <c r="S411" s="3">
        <f>IF(DataTable[[#This Row],[Valor]]&gt;1,1,1)</f>
        <v>1</v>
      </c>
      <c r="T411" s="3">
        <f>IF(DataTable[[#This Row],[Valor]]&gt;1,1,1)</f>
        <v>1</v>
      </c>
      <c r="U411" s="3">
        <f>angr(DataTable[[#This Row],[Sentido]],DataTable[[#This Row],[Valor]])</f>
        <v>21.351181102362201</v>
      </c>
      <c r="V411" s="3">
        <f>ANGI(DataTable[[#This Row],[Sentido]],DataTable[[#This Row],[Valor]])</f>
        <v>26.486614173228347</v>
      </c>
      <c r="W411" s="3">
        <f t="shared" si="118"/>
        <v>3</v>
      </c>
      <c r="X411" s="3">
        <f>IF(DataTable[[#This Row],[Valor]]&gt;1,1,1)</f>
        <v>1</v>
      </c>
      <c r="Y411" s="3">
        <f t="shared" si="119"/>
        <v>3</v>
      </c>
      <c r="Z411" s="3">
        <f>IF(AND(DataTable[[#This Row],[Sentido]]="URUGUAI para BRASIL",DataTable[[#This Row],[Valor]]&gt;350),1,0)</f>
        <v>0</v>
      </c>
      <c r="AA411" s="3">
        <f>IF(DataTable[[#This Row],[Valor]]&gt;1,0,0)</f>
        <v>0</v>
      </c>
    </row>
    <row r="412" spans="1:27" x14ac:dyDescent="0.25">
      <c r="A412" s="2" t="s">
        <v>21</v>
      </c>
      <c r="B412" s="2">
        <v>460</v>
      </c>
      <c r="C412" s="3">
        <f t="shared" si="105"/>
        <v>95.619228346456694</v>
      </c>
      <c r="D412" s="3">
        <f t="shared" si="106"/>
        <v>100.61922834645669</v>
      </c>
      <c r="E412" s="3">
        <f t="shared" si="107"/>
        <v>98.119228346456694</v>
      </c>
      <c r="F412" s="3">
        <f t="shared" si="108"/>
        <v>19.800000000000004</v>
      </c>
      <c r="G412" s="3">
        <f t="shared" si="109"/>
        <v>73</v>
      </c>
      <c r="H412" s="3">
        <f t="shared" si="110"/>
        <v>73</v>
      </c>
      <c r="I412" s="3"/>
      <c r="J412" s="3">
        <f t="shared" si="111"/>
        <v>96.636928346456699</v>
      </c>
      <c r="K412" s="3">
        <f t="shared" si="112"/>
        <v>100.61922834645669</v>
      </c>
      <c r="L412" s="34">
        <f t="shared" si="113"/>
        <v>98.119228346456694</v>
      </c>
      <c r="M412" s="3">
        <f t="shared" si="114"/>
        <v>-35.199999999999996</v>
      </c>
      <c r="N412" s="3">
        <f t="shared" si="115"/>
        <v>133.19999999999999</v>
      </c>
      <c r="O412" s="3"/>
      <c r="P412" s="3">
        <f t="shared" si="116"/>
        <v>139.58425196850393</v>
      </c>
      <c r="Q412" s="3">
        <f t="shared" si="117"/>
        <v>153.39765669291339</v>
      </c>
      <c r="R412" s="3">
        <f>vd(DataTable[[#This Row],[Sentido]],DataTable[[#This Row],[Valor]])</f>
        <v>151.26220472440943</v>
      </c>
      <c r="S412" s="3">
        <f>IF(DataTable[[#This Row],[Valor]]&gt;1,1,1)</f>
        <v>1</v>
      </c>
      <c r="T412" s="3">
        <f>IF(DataTable[[#This Row],[Valor]]&gt;1,1,1)</f>
        <v>1</v>
      </c>
      <c r="U412" s="3">
        <f>angr(DataTable[[#This Row],[Sentido]],DataTable[[#This Row],[Valor]])</f>
        <v>21.268503937007871</v>
      </c>
      <c r="V412" s="3">
        <f>ANGI(DataTable[[#This Row],[Sentido]],DataTable[[#This Row],[Valor]])</f>
        <v>26.423622047244095</v>
      </c>
      <c r="W412" s="3">
        <f t="shared" si="118"/>
        <v>3</v>
      </c>
      <c r="X412" s="3">
        <f>IF(DataTable[[#This Row],[Valor]]&gt;1,1,1)</f>
        <v>1</v>
      </c>
      <c r="Y412" s="3">
        <f t="shared" si="119"/>
        <v>3</v>
      </c>
      <c r="Z412" s="3">
        <f>IF(AND(DataTable[[#This Row],[Sentido]]="URUGUAI para BRASIL",DataTable[[#This Row],[Valor]]&gt;350),1,0)</f>
        <v>0</v>
      </c>
      <c r="AA412" s="3">
        <f>IF(DataTable[[#This Row],[Valor]]&gt;1,0,0)</f>
        <v>0</v>
      </c>
    </row>
    <row r="413" spans="1:27" x14ac:dyDescent="0.25">
      <c r="A413" s="2" t="s">
        <v>21</v>
      </c>
      <c r="B413" s="2">
        <v>461</v>
      </c>
      <c r="C413" s="3">
        <f t="shared" si="105"/>
        <v>95.691452755905516</v>
      </c>
      <c r="D413" s="3">
        <f t="shared" si="106"/>
        <v>100.69145275590552</v>
      </c>
      <c r="E413" s="3">
        <f t="shared" si="107"/>
        <v>98.191452755905516</v>
      </c>
      <c r="F413" s="3">
        <f t="shared" si="108"/>
        <v>19.68</v>
      </c>
      <c r="G413" s="3">
        <f t="shared" si="109"/>
        <v>72.8</v>
      </c>
      <c r="H413" s="3">
        <f t="shared" si="110"/>
        <v>72.8</v>
      </c>
      <c r="I413" s="3"/>
      <c r="J413" s="3">
        <f t="shared" si="111"/>
        <v>96.709152755905507</v>
      </c>
      <c r="K413" s="3">
        <f t="shared" si="112"/>
        <v>100.69145275590552</v>
      </c>
      <c r="L413" s="34">
        <f t="shared" si="113"/>
        <v>98.191452755905516</v>
      </c>
      <c r="M413" s="3">
        <f t="shared" si="114"/>
        <v>-35.32</v>
      </c>
      <c r="N413" s="3">
        <f t="shared" si="115"/>
        <v>133.12</v>
      </c>
      <c r="O413" s="3"/>
      <c r="P413" s="3">
        <f t="shared" si="116"/>
        <v>139.83691338582679</v>
      </c>
      <c r="Q413" s="3">
        <f t="shared" si="117"/>
        <v>153.50310551181104</v>
      </c>
      <c r="R413" s="3">
        <f>vd(DataTable[[#This Row],[Sentido]],DataTable[[#This Row],[Valor]])</f>
        <v>151.46299212598424</v>
      </c>
      <c r="S413" s="3">
        <f>IF(DataTable[[#This Row],[Valor]]&gt;1,1,1)</f>
        <v>1</v>
      </c>
      <c r="T413" s="3">
        <f>IF(DataTable[[#This Row],[Valor]]&gt;1,1,1)</f>
        <v>1</v>
      </c>
      <c r="U413" s="3">
        <f>angr(DataTable[[#This Row],[Sentido]],DataTable[[#This Row],[Valor]])</f>
        <v>21.185826771653542</v>
      </c>
      <c r="V413" s="3">
        <f>ANGI(DataTable[[#This Row],[Sentido]],DataTable[[#This Row],[Valor]])</f>
        <v>26.360629921259843</v>
      </c>
      <c r="W413" s="3">
        <f t="shared" si="118"/>
        <v>3</v>
      </c>
      <c r="X413" s="3">
        <f>IF(DataTable[[#This Row],[Valor]]&gt;1,1,1)</f>
        <v>1</v>
      </c>
      <c r="Y413" s="3">
        <f t="shared" si="119"/>
        <v>3</v>
      </c>
      <c r="Z413" s="3">
        <f>IF(AND(DataTable[[#This Row],[Sentido]]="URUGUAI para BRASIL",DataTable[[#This Row],[Valor]]&gt;350),1,0)</f>
        <v>0</v>
      </c>
      <c r="AA413" s="3">
        <f>IF(DataTable[[#This Row],[Valor]]&gt;1,0,0)</f>
        <v>0</v>
      </c>
    </row>
    <row r="414" spans="1:27" x14ac:dyDescent="0.25">
      <c r="A414" s="2" t="s">
        <v>21</v>
      </c>
      <c r="B414" s="2">
        <v>462</v>
      </c>
      <c r="C414" s="3">
        <f t="shared" si="105"/>
        <v>95.763677165354338</v>
      </c>
      <c r="D414" s="3">
        <f t="shared" si="106"/>
        <v>100.76367716535434</v>
      </c>
      <c r="E414" s="3">
        <f t="shared" si="107"/>
        <v>98.263677165354338</v>
      </c>
      <c r="F414" s="3">
        <f t="shared" si="108"/>
        <v>19.560000000000002</v>
      </c>
      <c r="G414" s="3">
        <f t="shared" si="109"/>
        <v>72.599999999999994</v>
      </c>
      <c r="H414" s="3">
        <f t="shared" si="110"/>
        <v>72.599999999999994</v>
      </c>
      <c r="I414" s="3"/>
      <c r="J414" s="3">
        <f t="shared" si="111"/>
        <v>96.781377165354328</v>
      </c>
      <c r="K414" s="3">
        <f t="shared" si="112"/>
        <v>100.76367716535434</v>
      </c>
      <c r="L414" s="34">
        <f t="shared" si="113"/>
        <v>98.263677165354338</v>
      </c>
      <c r="M414" s="3">
        <f t="shared" si="114"/>
        <v>-35.44</v>
      </c>
      <c r="N414" s="3">
        <f t="shared" si="115"/>
        <v>133.04</v>
      </c>
      <c r="O414" s="3"/>
      <c r="P414" s="3">
        <f t="shared" si="116"/>
        <v>140.08957480314962</v>
      </c>
      <c r="Q414" s="3">
        <f t="shared" si="117"/>
        <v>153.60855433070867</v>
      </c>
      <c r="R414" s="3">
        <f>vd(DataTable[[#This Row],[Sentido]],DataTable[[#This Row],[Valor]])</f>
        <v>151.66377952755906</v>
      </c>
      <c r="S414" s="3">
        <f>IF(DataTable[[#This Row],[Valor]]&gt;1,1,1)</f>
        <v>1</v>
      </c>
      <c r="T414" s="3">
        <f>IF(DataTable[[#This Row],[Valor]]&gt;1,1,1)</f>
        <v>1</v>
      </c>
      <c r="U414" s="3">
        <f>angr(DataTable[[#This Row],[Sentido]],DataTable[[#This Row],[Valor]])</f>
        <v>21.103149606299212</v>
      </c>
      <c r="V414" s="3">
        <f>ANGI(DataTable[[#This Row],[Sentido]],DataTable[[#This Row],[Valor]])</f>
        <v>26.297637795275591</v>
      </c>
      <c r="W414" s="3">
        <f t="shared" si="118"/>
        <v>3</v>
      </c>
      <c r="X414" s="3">
        <f>IF(DataTable[[#This Row],[Valor]]&gt;1,1,1)</f>
        <v>1</v>
      </c>
      <c r="Y414" s="3">
        <f t="shared" si="119"/>
        <v>3</v>
      </c>
      <c r="Z414" s="3">
        <f>IF(AND(DataTable[[#This Row],[Sentido]]="URUGUAI para BRASIL",DataTable[[#This Row],[Valor]]&gt;350),1,0)</f>
        <v>0</v>
      </c>
      <c r="AA414" s="3">
        <f>IF(DataTable[[#This Row],[Valor]]&gt;1,0,0)</f>
        <v>0</v>
      </c>
    </row>
    <row r="415" spans="1:27" x14ac:dyDescent="0.25">
      <c r="A415" s="2" t="s">
        <v>21</v>
      </c>
      <c r="B415" s="2">
        <v>463</v>
      </c>
      <c r="C415" s="3">
        <f t="shared" si="105"/>
        <v>95.835901574803145</v>
      </c>
      <c r="D415" s="3">
        <f t="shared" si="106"/>
        <v>100.83590157480315</v>
      </c>
      <c r="E415" s="3">
        <f t="shared" si="107"/>
        <v>98.335901574803145</v>
      </c>
      <c r="F415" s="3">
        <f t="shared" si="108"/>
        <v>19.439999999999998</v>
      </c>
      <c r="G415" s="3">
        <f t="shared" si="109"/>
        <v>72.399999999999991</v>
      </c>
      <c r="H415" s="3">
        <f t="shared" si="110"/>
        <v>72.399999999999991</v>
      </c>
      <c r="I415" s="3"/>
      <c r="J415" s="3">
        <f t="shared" si="111"/>
        <v>96.85360157480315</v>
      </c>
      <c r="K415" s="3">
        <f t="shared" si="112"/>
        <v>100.83590157480315</v>
      </c>
      <c r="L415" s="34">
        <f t="shared" si="113"/>
        <v>98.335901574803145</v>
      </c>
      <c r="M415" s="3">
        <f t="shared" si="114"/>
        <v>-35.56</v>
      </c>
      <c r="N415" s="3">
        <f t="shared" si="115"/>
        <v>132.96</v>
      </c>
      <c r="O415" s="3"/>
      <c r="P415" s="3">
        <f t="shared" si="116"/>
        <v>140.34223622047244</v>
      </c>
      <c r="Q415" s="3">
        <f t="shared" si="117"/>
        <v>153.7140031496063</v>
      </c>
      <c r="R415" s="3">
        <f>vd(DataTable[[#This Row],[Sentido]],DataTable[[#This Row],[Valor]])</f>
        <v>151.86456692913384</v>
      </c>
      <c r="S415" s="3">
        <f>IF(DataTable[[#This Row],[Valor]]&gt;1,1,1)</f>
        <v>1</v>
      </c>
      <c r="T415" s="3">
        <f>IF(DataTable[[#This Row],[Valor]]&gt;1,1,1)</f>
        <v>1</v>
      </c>
      <c r="U415" s="3">
        <f>angr(DataTable[[#This Row],[Sentido]],DataTable[[#This Row],[Valor]])</f>
        <v>21.020472440944882</v>
      </c>
      <c r="V415" s="3">
        <f>ANGI(DataTable[[#This Row],[Sentido]],DataTable[[#This Row],[Valor]])</f>
        <v>26.234645669291339</v>
      </c>
      <c r="W415" s="3">
        <f t="shared" si="118"/>
        <v>3</v>
      </c>
      <c r="X415" s="3">
        <f>IF(DataTable[[#This Row],[Valor]]&gt;1,1,1)</f>
        <v>1</v>
      </c>
      <c r="Y415" s="3">
        <f t="shared" si="119"/>
        <v>3</v>
      </c>
      <c r="Z415" s="3">
        <f>IF(AND(DataTable[[#This Row],[Sentido]]="URUGUAI para BRASIL",DataTable[[#This Row],[Valor]]&gt;350),1,0)</f>
        <v>0</v>
      </c>
      <c r="AA415" s="3">
        <f>IF(DataTable[[#This Row],[Valor]]&gt;1,0,0)</f>
        <v>0</v>
      </c>
    </row>
    <row r="416" spans="1:27" x14ac:dyDescent="0.25">
      <c r="A416" s="2" t="s">
        <v>21</v>
      </c>
      <c r="B416" s="2">
        <v>464</v>
      </c>
      <c r="C416" s="3">
        <f t="shared" si="105"/>
        <v>95.908125984251967</v>
      </c>
      <c r="D416" s="3">
        <f t="shared" si="106"/>
        <v>100.90812598425197</v>
      </c>
      <c r="E416" s="3">
        <f t="shared" si="107"/>
        <v>98.408125984251967</v>
      </c>
      <c r="F416" s="3">
        <f t="shared" si="108"/>
        <v>19.32</v>
      </c>
      <c r="G416" s="3">
        <f t="shared" si="109"/>
        <v>72.2</v>
      </c>
      <c r="H416" s="3">
        <f t="shared" si="110"/>
        <v>72.2</v>
      </c>
      <c r="I416" s="3"/>
      <c r="J416" s="3">
        <f t="shared" si="111"/>
        <v>96.925825984251972</v>
      </c>
      <c r="K416" s="3">
        <f t="shared" si="112"/>
        <v>100.90812598425197</v>
      </c>
      <c r="L416" s="34">
        <f t="shared" si="113"/>
        <v>98.408125984251967</v>
      </c>
      <c r="M416" s="3">
        <f t="shared" si="114"/>
        <v>-35.68</v>
      </c>
      <c r="N416" s="3">
        <f t="shared" si="115"/>
        <v>132.88</v>
      </c>
      <c r="O416" s="3"/>
      <c r="P416" s="3">
        <f t="shared" si="116"/>
        <v>140.59489763779527</v>
      </c>
      <c r="Q416" s="3">
        <f t="shared" si="117"/>
        <v>153.81945196850393</v>
      </c>
      <c r="R416" s="3">
        <f>vd(DataTable[[#This Row],[Sentido]],DataTable[[#This Row],[Valor]])</f>
        <v>152.06535433070866</v>
      </c>
      <c r="S416" s="3">
        <f>IF(DataTable[[#This Row],[Valor]]&gt;1,1,1)</f>
        <v>1</v>
      </c>
      <c r="T416" s="3">
        <f>IF(DataTable[[#This Row],[Valor]]&gt;1,1,1)</f>
        <v>1</v>
      </c>
      <c r="U416" s="3">
        <f>angr(DataTable[[#This Row],[Sentido]],DataTable[[#This Row],[Valor]])</f>
        <v>20.937795275590553</v>
      </c>
      <c r="V416" s="3">
        <f>ANGI(DataTable[[#This Row],[Sentido]],DataTable[[#This Row],[Valor]])</f>
        <v>26.171653543307091</v>
      </c>
      <c r="W416" s="3">
        <f t="shared" si="118"/>
        <v>3</v>
      </c>
      <c r="X416" s="3">
        <f>IF(DataTable[[#This Row],[Valor]]&gt;1,1,1)</f>
        <v>1</v>
      </c>
      <c r="Y416" s="3">
        <f t="shared" si="119"/>
        <v>3</v>
      </c>
      <c r="Z416" s="3">
        <f>IF(AND(DataTable[[#This Row],[Sentido]]="URUGUAI para BRASIL",DataTable[[#This Row],[Valor]]&gt;350),1,0)</f>
        <v>0</v>
      </c>
      <c r="AA416" s="3">
        <f>IF(DataTable[[#This Row],[Valor]]&gt;1,0,0)</f>
        <v>0</v>
      </c>
    </row>
    <row r="417" spans="1:27" x14ac:dyDescent="0.25">
      <c r="A417" s="2" t="s">
        <v>21</v>
      </c>
      <c r="B417" s="2">
        <v>465</v>
      </c>
      <c r="C417" s="3">
        <f t="shared" si="105"/>
        <v>95.980350393700789</v>
      </c>
      <c r="D417" s="3">
        <f t="shared" si="106"/>
        <v>100.98035039370079</v>
      </c>
      <c r="E417" s="3">
        <f t="shared" si="107"/>
        <v>98.480350393700789</v>
      </c>
      <c r="F417" s="3">
        <f t="shared" si="108"/>
        <v>19.200000000000003</v>
      </c>
      <c r="G417" s="3">
        <f t="shared" si="109"/>
        <v>72</v>
      </c>
      <c r="H417" s="3">
        <f t="shared" si="110"/>
        <v>72</v>
      </c>
      <c r="I417" s="3"/>
      <c r="J417" s="3">
        <f t="shared" si="111"/>
        <v>96.998050393700794</v>
      </c>
      <c r="K417" s="3">
        <f t="shared" si="112"/>
        <v>100.98035039370079</v>
      </c>
      <c r="L417" s="34">
        <f t="shared" si="113"/>
        <v>98.480350393700789</v>
      </c>
      <c r="M417" s="3">
        <f t="shared" si="114"/>
        <v>-35.799999999999997</v>
      </c>
      <c r="N417" s="3">
        <f t="shared" si="115"/>
        <v>132.80000000000001</v>
      </c>
      <c r="O417" s="3"/>
      <c r="P417" s="3">
        <f t="shared" si="116"/>
        <v>140.84755905511813</v>
      </c>
      <c r="Q417" s="3">
        <f t="shared" si="117"/>
        <v>153.92490078740158</v>
      </c>
      <c r="R417" s="3">
        <f>vd(DataTable[[#This Row],[Sentido]],DataTable[[#This Row],[Valor]])</f>
        <v>152.26614173228347</v>
      </c>
      <c r="S417" s="3">
        <f>IF(DataTable[[#This Row],[Valor]]&gt;1,1,1)</f>
        <v>1</v>
      </c>
      <c r="T417" s="3">
        <f>IF(DataTable[[#This Row],[Valor]]&gt;1,1,1)</f>
        <v>1</v>
      </c>
      <c r="U417" s="3">
        <f>angr(DataTable[[#This Row],[Sentido]],DataTable[[#This Row],[Valor]])</f>
        <v>20.855118110236216</v>
      </c>
      <c r="V417" s="3">
        <f>ANGI(DataTable[[#This Row],[Sentido]],DataTable[[#This Row],[Valor]])</f>
        <v>26.108661417322832</v>
      </c>
      <c r="W417" s="3">
        <f t="shared" si="118"/>
        <v>3</v>
      </c>
      <c r="X417" s="3">
        <f>IF(DataTable[[#This Row],[Valor]]&gt;1,1,1)</f>
        <v>1</v>
      </c>
      <c r="Y417" s="3">
        <f t="shared" si="119"/>
        <v>3</v>
      </c>
      <c r="Z417" s="3">
        <f>IF(AND(DataTable[[#This Row],[Sentido]]="URUGUAI para BRASIL",DataTable[[#This Row],[Valor]]&gt;350),1,0)</f>
        <v>0</v>
      </c>
      <c r="AA417" s="3">
        <f>IF(DataTable[[#This Row],[Valor]]&gt;1,0,0)</f>
        <v>0</v>
      </c>
    </row>
    <row r="418" spans="1:27" x14ac:dyDescent="0.25">
      <c r="A418" s="2" t="s">
        <v>21</v>
      </c>
      <c r="B418" s="2">
        <v>466</v>
      </c>
      <c r="C418" s="3">
        <f t="shared" si="105"/>
        <v>96.052574803149611</v>
      </c>
      <c r="D418" s="3">
        <f t="shared" si="106"/>
        <v>101.05257480314961</v>
      </c>
      <c r="E418" s="3">
        <f t="shared" si="107"/>
        <v>98.552574803149611</v>
      </c>
      <c r="F418" s="3">
        <f t="shared" si="108"/>
        <v>19.079999999999998</v>
      </c>
      <c r="G418" s="3">
        <f t="shared" si="109"/>
        <v>71.8</v>
      </c>
      <c r="H418" s="3">
        <f t="shared" si="110"/>
        <v>71.8</v>
      </c>
      <c r="I418" s="3"/>
      <c r="J418" s="3">
        <f t="shared" si="111"/>
        <v>97.070274803149616</v>
      </c>
      <c r="K418" s="3">
        <f t="shared" si="112"/>
        <v>101.05257480314961</v>
      </c>
      <c r="L418" s="34">
        <f t="shared" si="113"/>
        <v>98.552574803149611</v>
      </c>
      <c r="M418" s="3">
        <f t="shared" si="114"/>
        <v>-35.92</v>
      </c>
      <c r="N418" s="3">
        <f t="shared" si="115"/>
        <v>132.72</v>
      </c>
      <c r="O418" s="3"/>
      <c r="P418" s="3">
        <f t="shared" si="116"/>
        <v>141.10022047244095</v>
      </c>
      <c r="Q418" s="3">
        <f t="shared" si="117"/>
        <v>154.03034960629921</v>
      </c>
      <c r="R418" s="3">
        <f>vd(DataTable[[#This Row],[Sentido]],DataTable[[#This Row],[Valor]])</f>
        <v>152.46692913385826</v>
      </c>
      <c r="S418" s="3">
        <f>IF(DataTable[[#This Row],[Valor]]&gt;1,1,1)</f>
        <v>1</v>
      </c>
      <c r="T418" s="3">
        <f>IF(DataTable[[#This Row],[Valor]]&gt;1,1,1)</f>
        <v>1</v>
      </c>
      <c r="U418" s="3">
        <f>angr(DataTable[[#This Row],[Sentido]],DataTable[[#This Row],[Valor]])</f>
        <v>20.772440944881886</v>
      </c>
      <c r="V418" s="3">
        <f>ANGI(DataTable[[#This Row],[Sentido]],DataTable[[#This Row],[Valor]])</f>
        <v>26.045669291338584</v>
      </c>
      <c r="W418" s="3">
        <f t="shared" si="118"/>
        <v>3</v>
      </c>
      <c r="X418" s="3">
        <f>IF(DataTable[[#This Row],[Valor]]&gt;1,1,1)</f>
        <v>1</v>
      </c>
      <c r="Y418" s="3">
        <f t="shared" si="119"/>
        <v>3</v>
      </c>
      <c r="Z418" s="3">
        <f>IF(AND(DataTable[[#This Row],[Sentido]]="URUGUAI para BRASIL",DataTable[[#This Row],[Valor]]&gt;350),1,0)</f>
        <v>0</v>
      </c>
      <c r="AA418" s="3">
        <f>IF(DataTable[[#This Row],[Valor]]&gt;1,0,0)</f>
        <v>0</v>
      </c>
    </row>
    <row r="419" spans="1:27" x14ac:dyDescent="0.25">
      <c r="A419" s="2" t="s">
        <v>21</v>
      </c>
      <c r="B419" s="2">
        <v>467</v>
      </c>
      <c r="C419" s="3">
        <f t="shared" si="105"/>
        <v>96.124799212598433</v>
      </c>
      <c r="D419" s="3">
        <f t="shared" si="106"/>
        <v>101.12479921259843</v>
      </c>
      <c r="E419" s="3">
        <f t="shared" si="107"/>
        <v>98.624799212598433</v>
      </c>
      <c r="F419" s="3">
        <f t="shared" si="108"/>
        <v>18.96</v>
      </c>
      <c r="G419" s="3">
        <f t="shared" si="109"/>
        <v>71.599999999999994</v>
      </c>
      <c r="H419" s="3">
        <f t="shared" si="110"/>
        <v>71.599999999999994</v>
      </c>
      <c r="I419" s="3"/>
      <c r="J419" s="3">
        <f t="shared" si="111"/>
        <v>97.142499212598423</v>
      </c>
      <c r="K419" s="3">
        <f t="shared" si="112"/>
        <v>101.12479921259843</v>
      </c>
      <c r="L419" s="34">
        <f t="shared" si="113"/>
        <v>98.624799212598433</v>
      </c>
      <c r="M419" s="3">
        <f t="shared" si="114"/>
        <v>-36.04</v>
      </c>
      <c r="N419" s="3">
        <f t="shared" si="115"/>
        <v>132.63999999999999</v>
      </c>
      <c r="O419" s="3"/>
      <c r="P419" s="3">
        <f t="shared" si="116"/>
        <v>141.35288188976378</v>
      </c>
      <c r="Q419" s="3">
        <f t="shared" si="117"/>
        <v>154.13579842519684</v>
      </c>
      <c r="R419" s="3">
        <f>vd(DataTable[[#This Row],[Sentido]],DataTable[[#This Row],[Valor]])</f>
        <v>152.66771653543307</v>
      </c>
      <c r="S419" s="3">
        <f>IF(DataTable[[#This Row],[Valor]]&gt;1,1,1)</f>
        <v>1</v>
      </c>
      <c r="T419" s="3">
        <f>IF(DataTable[[#This Row],[Valor]]&gt;1,1,1)</f>
        <v>1</v>
      </c>
      <c r="U419" s="3">
        <f>angr(DataTable[[#This Row],[Sentido]],DataTable[[#This Row],[Valor]])</f>
        <v>20.689763779527556</v>
      </c>
      <c r="V419" s="3">
        <f>ANGI(DataTable[[#This Row],[Sentido]],DataTable[[#This Row],[Valor]])</f>
        <v>25.982677165354332</v>
      </c>
      <c r="W419" s="3">
        <f t="shared" si="118"/>
        <v>3</v>
      </c>
      <c r="X419" s="3">
        <f>IF(DataTable[[#This Row],[Valor]]&gt;1,1,1)</f>
        <v>1</v>
      </c>
      <c r="Y419" s="3">
        <f t="shared" si="119"/>
        <v>3</v>
      </c>
      <c r="Z419" s="3">
        <f>IF(AND(DataTable[[#This Row],[Sentido]]="URUGUAI para BRASIL",DataTable[[#This Row],[Valor]]&gt;350),1,0)</f>
        <v>0</v>
      </c>
      <c r="AA419" s="3">
        <f>IF(DataTable[[#This Row],[Valor]]&gt;1,0,0)</f>
        <v>0</v>
      </c>
    </row>
    <row r="420" spans="1:27" x14ac:dyDescent="0.25">
      <c r="A420" s="2" t="s">
        <v>21</v>
      </c>
      <c r="B420" s="2">
        <v>468</v>
      </c>
      <c r="C420" s="3">
        <f t="shared" si="105"/>
        <v>96.19702362204724</v>
      </c>
      <c r="D420" s="3">
        <f t="shared" si="106"/>
        <v>101.19702362204724</v>
      </c>
      <c r="E420" s="3">
        <f t="shared" si="107"/>
        <v>98.69702362204724</v>
      </c>
      <c r="F420" s="3">
        <f t="shared" si="108"/>
        <v>18.840000000000003</v>
      </c>
      <c r="G420" s="3">
        <f t="shared" si="109"/>
        <v>71.399999999999991</v>
      </c>
      <c r="H420" s="3">
        <f t="shared" si="110"/>
        <v>71.399999999999991</v>
      </c>
      <c r="I420" s="3"/>
      <c r="J420" s="3">
        <f t="shared" si="111"/>
        <v>97.214723622047245</v>
      </c>
      <c r="K420" s="3">
        <f t="shared" si="112"/>
        <v>101.19702362204724</v>
      </c>
      <c r="L420" s="34">
        <f t="shared" si="113"/>
        <v>98.69702362204724</v>
      </c>
      <c r="M420" s="3">
        <f t="shared" si="114"/>
        <v>-36.159999999999997</v>
      </c>
      <c r="N420" s="3">
        <f t="shared" si="115"/>
        <v>132.56</v>
      </c>
      <c r="O420" s="3"/>
      <c r="P420" s="3">
        <f t="shared" si="116"/>
        <v>141.60554330708663</v>
      </c>
      <c r="Q420" s="3">
        <f t="shared" si="117"/>
        <v>154.2412472440945</v>
      </c>
      <c r="R420" s="3">
        <f>vd(DataTable[[#This Row],[Sentido]],DataTable[[#This Row],[Valor]])</f>
        <v>152.86850393700786</v>
      </c>
      <c r="S420" s="3">
        <f>IF(DataTable[[#This Row],[Valor]]&gt;1,1,1)</f>
        <v>1</v>
      </c>
      <c r="T420" s="3">
        <f>IF(DataTable[[#This Row],[Valor]]&gt;1,1,1)</f>
        <v>1</v>
      </c>
      <c r="U420" s="3">
        <f>angr(DataTable[[#This Row],[Sentido]],DataTable[[#This Row],[Valor]])</f>
        <v>20.607086614173227</v>
      </c>
      <c r="V420" s="3">
        <f>ANGI(DataTable[[#This Row],[Sentido]],DataTable[[#This Row],[Valor]])</f>
        <v>25.91968503937008</v>
      </c>
      <c r="W420" s="3">
        <f t="shared" si="118"/>
        <v>3</v>
      </c>
      <c r="X420" s="3">
        <f>IF(DataTable[[#This Row],[Valor]]&gt;1,1,1)</f>
        <v>1</v>
      </c>
      <c r="Y420" s="3">
        <f t="shared" si="119"/>
        <v>3</v>
      </c>
      <c r="Z420" s="3">
        <f>IF(AND(DataTable[[#This Row],[Sentido]]="URUGUAI para BRASIL",DataTable[[#This Row],[Valor]]&gt;350),1,0)</f>
        <v>0</v>
      </c>
      <c r="AA420" s="3">
        <f>IF(DataTable[[#This Row],[Valor]]&gt;1,0,0)</f>
        <v>0</v>
      </c>
    </row>
    <row r="421" spans="1:27" x14ac:dyDescent="0.25">
      <c r="A421" s="2" t="s">
        <v>21</v>
      </c>
      <c r="B421" s="2">
        <v>469</v>
      </c>
      <c r="C421" s="3">
        <f t="shared" si="105"/>
        <v>96.269248031496062</v>
      </c>
      <c r="D421" s="3">
        <f t="shared" si="106"/>
        <v>101.26924803149606</v>
      </c>
      <c r="E421" s="3">
        <f t="shared" si="107"/>
        <v>98.769248031496062</v>
      </c>
      <c r="F421" s="3">
        <f t="shared" si="108"/>
        <v>18.72</v>
      </c>
      <c r="G421" s="3">
        <f t="shared" si="109"/>
        <v>71.2</v>
      </c>
      <c r="H421" s="3">
        <f t="shared" si="110"/>
        <v>71.2</v>
      </c>
      <c r="I421" s="3"/>
      <c r="J421" s="3">
        <f t="shared" si="111"/>
        <v>97.286948031496067</v>
      </c>
      <c r="K421" s="3">
        <f t="shared" si="112"/>
        <v>101.26924803149606</v>
      </c>
      <c r="L421" s="34">
        <f t="shared" si="113"/>
        <v>98.769248031496062</v>
      </c>
      <c r="M421" s="3">
        <f t="shared" si="114"/>
        <v>-36.28</v>
      </c>
      <c r="N421" s="3">
        <f t="shared" si="115"/>
        <v>132.47999999999999</v>
      </c>
      <c r="O421" s="3"/>
      <c r="P421" s="3">
        <f t="shared" si="116"/>
        <v>141.85820472440943</v>
      </c>
      <c r="Q421" s="3">
        <f t="shared" si="117"/>
        <v>154.34669606299212</v>
      </c>
      <c r="R421" s="3">
        <f>vd(DataTable[[#This Row],[Sentido]],DataTable[[#This Row],[Valor]])</f>
        <v>153.06929133858267</v>
      </c>
      <c r="S421" s="3">
        <f>IF(DataTable[[#This Row],[Valor]]&gt;1,1,1)</f>
        <v>1</v>
      </c>
      <c r="T421" s="3">
        <f>IF(DataTable[[#This Row],[Valor]]&gt;1,1,1)</f>
        <v>1</v>
      </c>
      <c r="U421" s="3">
        <f>angr(DataTable[[#This Row],[Sentido]],DataTable[[#This Row],[Valor]])</f>
        <v>20.524409448818897</v>
      </c>
      <c r="V421" s="3">
        <f>ANGI(DataTable[[#This Row],[Sentido]],DataTable[[#This Row],[Valor]])</f>
        <v>25.856692913385828</v>
      </c>
      <c r="W421" s="3">
        <f t="shared" si="118"/>
        <v>3</v>
      </c>
      <c r="X421" s="3">
        <f>IF(DataTable[[#This Row],[Valor]]&gt;1,1,1)</f>
        <v>1</v>
      </c>
      <c r="Y421" s="3">
        <f t="shared" si="119"/>
        <v>3</v>
      </c>
      <c r="Z421" s="3">
        <f>IF(AND(DataTable[[#This Row],[Sentido]]="URUGUAI para BRASIL",DataTable[[#This Row],[Valor]]&gt;350),1,0)</f>
        <v>0</v>
      </c>
      <c r="AA421" s="3">
        <f>IF(DataTable[[#This Row],[Valor]]&gt;1,0,0)</f>
        <v>0</v>
      </c>
    </row>
    <row r="422" spans="1:27" x14ac:dyDescent="0.25">
      <c r="A422" s="2" t="s">
        <v>21</v>
      </c>
      <c r="B422" s="2">
        <v>470</v>
      </c>
      <c r="C422" s="3">
        <f t="shared" si="105"/>
        <v>96.341472440944884</v>
      </c>
      <c r="D422" s="3">
        <f t="shared" si="106"/>
        <v>101.34147244094488</v>
      </c>
      <c r="E422" s="3">
        <f t="shared" si="107"/>
        <v>98.841472440944884</v>
      </c>
      <c r="F422" s="3">
        <f t="shared" si="108"/>
        <v>18.600000000000001</v>
      </c>
      <c r="G422" s="3">
        <f t="shared" si="109"/>
        <v>71</v>
      </c>
      <c r="H422" s="3">
        <f t="shared" si="110"/>
        <v>71</v>
      </c>
      <c r="I422" s="3"/>
      <c r="J422" s="3">
        <f t="shared" si="111"/>
        <v>97.359172440944874</v>
      </c>
      <c r="K422" s="3">
        <f t="shared" si="112"/>
        <v>101.34147244094488</v>
      </c>
      <c r="L422" s="34">
        <f t="shared" si="113"/>
        <v>98.841472440944884</v>
      </c>
      <c r="M422" s="3">
        <f t="shared" si="114"/>
        <v>-36.4</v>
      </c>
      <c r="N422" s="3">
        <f t="shared" si="115"/>
        <v>132.4</v>
      </c>
      <c r="O422" s="3"/>
      <c r="P422" s="3">
        <f t="shared" si="116"/>
        <v>142.11086614173229</v>
      </c>
      <c r="Q422" s="3">
        <f t="shared" si="117"/>
        <v>154.45214488188975</v>
      </c>
      <c r="R422" s="3">
        <f>vd(DataTable[[#This Row],[Sentido]],DataTable[[#This Row],[Valor]])</f>
        <v>153.27007874015749</v>
      </c>
      <c r="S422" s="3">
        <f>IF(DataTable[[#This Row],[Valor]]&gt;1,1,1)</f>
        <v>1</v>
      </c>
      <c r="T422" s="3">
        <f>IF(DataTable[[#This Row],[Valor]]&gt;1,1,1)</f>
        <v>1</v>
      </c>
      <c r="U422" s="3">
        <f>angr(DataTable[[#This Row],[Sentido]],DataTable[[#This Row],[Valor]])</f>
        <v>20.441732283464567</v>
      </c>
      <c r="V422" s="3">
        <f>ANGI(DataTable[[#This Row],[Sentido]],DataTable[[#This Row],[Valor]])</f>
        <v>25.793700787401576</v>
      </c>
      <c r="W422" s="3">
        <f t="shared" si="118"/>
        <v>3</v>
      </c>
      <c r="X422" s="3">
        <f>IF(DataTable[[#This Row],[Valor]]&gt;1,1,1)</f>
        <v>1</v>
      </c>
      <c r="Y422" s="3">
        <f t="shared" si="119"/>
        <v>3</v>
      </c>
      <c r="Z422" s="3">
        <f>IF(AND(DataTable[[#This Row],[Sentido]]="URUGUAI para BRASIL",DataTable[[#This Row],[Valor]]&gt;350),1,0)</f>
        <v>0</v>
      </c>
      <c r="AA422" s="3">
        <f>IF(DataTable[[#This Row],[Valor]]&gt;1,0,0)</f>
        <v>0</v>
      </c>
    </row>
    <row r="423" spans="1:27" x14ac:dyDescent="0.25">
      <c r="A423" s="2" t="s">
        <v>21</v>
      </c>
      <c r="B423" s="2">
        <v>471</v>
      </c>
      <c r="C423" s="3">
        <f t="shared" si="105"/>
        <v>96.413696850393706</v>
      </c>
      <c r="D423" s="3">
        <f t="shared" si="106"/>
        <v>101.41369685039371</v>
      </c>
      <c r="E423" s="3">
        <f t="shared" si="107"/>
        <v>98.913696850393706</v>
      </c>
      <c r="F423" s="3">
        <f t="shared" si="108"/>
        <v>18.480000000000004</v>
      </c>
      <c r="G423" s="3">
        <f t="shared" si="109"/>
        <v>70.8</v>
      </c>
      <c r="H423" s="3">
        <f t="shared" si="110"/>
        <v>70.8</v>
      </c>
      <c r="I423" s="3"/>
      <c r="J423" s="3">
        <f t="shared" si="111"/>
        <v>97.431396850393696</v>
      </c>
      <c r="K423" s="3">
        <f t="shared" si="112"/>
        <v>101.41369685039371</v>
      </c>
      <c r="L423" s="34">
        <f t="shared" si="113"/>
        <v>98.913696850393706</v>
      </c>
      <c r="M423" s="3">
        <f t="shared" si="114"/>
        <v>-36.519999999999996</v>
      </c>
      <c r="N423" s="3">
        <f t="shared" si="115"/>
        <v>132.32</v>
      </c>
      <c r="O423" s="3"/>
      <c r="P423" s="3">
        <f t="shared" si="116"/>
        <v>142.36352755905511</v>
      </c>
      <c r="Q423" s="3">
        <f t="shared" si="117"/>
        <v>154.55759370078741</v>
      </c>
      <c r="R423" s="3">
        <f>vd(DataTable[[#This Row],[Sentido]],DataTable[[#This Row],[Valor]])</f>
        <v>153.47086614173227</v>
      </c>
      <c r="S423" s="3">
        <f>IF(DataTable[[#This Row],[Valor]]&gt;1,1,1)</f>
        <v>1</v>
      </c>
      <c r="T423" s="3">
        <f>IF(DataTable[[#This Row],[Valor]]&gt;1,1,1)</f>
        <v>1</v>
      </c>
      <c r="U423" s="3">
        <f>angr(DataTable[[#This Row],[Sentido]],DataTable[[#This Row],[Valor]])</f>
        <v>20.359055118110238</v>
      </c>
      <c r="V423" s="3">
        <f>ANGI(DataTable[[#This Row],[Sentido]],DataTable[[#This Row],[Valor]])</f>
        <v>25.730708661417324</v>
      </c>
      <c r="W423" s="3">
        <f t="shared" si="118"/>
        <v>3</v>
      </c>
      <c r="X423" s="3">
        <f>IF(DataTable[[#This Row],[Valor]]&gt;1,1,1)</f>
        <v>1</v>
      </c>
      <c r="Y423" s="3">
        <f t="shared" si="119"/>
        <v>3</v>
      </c>
      <c r="Z423" s="3">
        <f>IF(AND(DataTable[[#This Row],[Sentido]]="URUGUAI para BRASIL",DataTable[[#This Row],[Valor]]&gt;350),1,0)</f>
        <v>0</v>
      </c>
      <c r="AA423" s="3">
        <f>IF(DataTable[[#This Row],[Valor]]&gt;1,0,0)</f>
        <v>0</v>
      </c>
    </row>
    <row r="424" spans="1:27" x14ac:dyDescent="0.25">
      <c r="A424" s="2" t="s">
        <v>21</v>
      </c>
      <c r="B424" s="2">
        <v>472</v>
      </c>
      <c r="C424" s="3">
        <f t="shared" si="105"/>
        <v>96.485921259842527</v>
      </c>
      <c r="D424" s="3">
        <f t="shared" si="106"/>
        <v>101.48592125984253</v>
      </c>
      <c r="E424" s="3">
        <f t="shared" si="107"/>
        <v>98.985921259842527</v>
      </c>
      <c r="F424" s="3">
        <f t="shared" si="108"/>
        <v>18.36</v>
      </c>
      <c r="G424" s="3">
        <f t="shared" si="109"/>
        <v>70.599999999999994</v>
      </c>
      <c r="H424" s="3">
        <f t="shared" si="110"/>
        <v>70.599999999999994</v>
      </c>
      <c r="I424" s="3"/>
      <c r="J424" s="3">
        <f t="shared" si="111"/>
        <v>97.503621259842518</v>
      </c>
      <c r="K424" s="3">
        <f t="shared" si="112"/>
        <v>101.48592125984253</v>
      </c>
      <c r="L424" s="34">
        <f t="shared" si="113"/>
        <v>98.985921259842527</v>
      </c>
      <c r="M424" s="3">
        <f t="shared" si="114"/>
        <v>-36.64</v>
      </c>
      <c r="N424" s="3">
        <f t="shared" si="115"/>
        <v>132.24</v>
      </c>
      <c r="O424" s="3"/>
      <c r="P424" s="3">
        <f t="shared" si="116"/>
        <v>142.61618897637794</v>
      </c>
      <c r="Q424" s="3">
        <f t="shared" si="117"/>
        <v>154.66304251968504</v>
      </c>
      <c r="R424" s="3">
        <f>vd(DataTable[[#This Row],[Sentido]],DataTable[[#This Row],[Valor]])</f>
        <v>153.67165354330709</v>
      </c>
      <c r="S424" s="3">
        <f>IF(DataTable[[#This Row],[Valor]]&gt;1,1,1)</f>
        <v>1</v>
      </c>
      <c r="T424" s="3">
        <f>IF(DataTable[[#This Row],[Valor]]&gt;1,1,1)</f>
        <v>1</v>
      </c>
      <c r="U424" s="3">
        <f>angr(DataTable[[#This Row],[Sentido]],DataTable[[#This Row],[Valor]])</f>
        <v>20.276377952755901</v>
      </c>
      <c r="V424" s="3">
        <f>ANGI(DataTable[[#This Row],[Sentido]],DataTable[[#This Row],[Valor]])</f>
        <v>25.667716535433069</v>
      </c>
      <c r="W424" s="3">
        <f t="shared" si="118"/>
        <v>3</v>
      </c>
      <c r="X424" s="3">
        <f>IF(DataTable[[#This Row],[Valor]]&gt;1,1,1)</f>
        <v>1</v>
      </c>
      <c r="Y424" s="3">
        <f t="shared" si="119"/>
        <v>3</v>
      </c>
      <c r="Z424" s="3">
        <f>IF(AND(DataTable[[#This Row],[Sentido]]="URUGUAI para BRASIL",DataTable[[#This Row],[Valor]]&gt;350),1,0)</f>
        <v>0</v>
      </c>
      <c r="AA424" s="3">
        <f>IF(DataTable[[#This Row],[Valor]]&gt;1,0,0)</f>
        <v>0</v>
      </c>
    </row>
    <row r="425" spans="1:27" x14ac:dyDescent="0.25">
      <c r="A425" s="2" t="s">
        <v>21</v>
      </c>
      <c r="B425" s="2">
        <v>473</v>
      </c>
      <c r="C425" s="3">
        <f t="shared" si="105"/>
        <v>96.558145669291335</v>
      </c>
      <c r="D425" s="3">
        <f t="shared" si="106"/>
        <v>101.55814566929133</v>
      </c>
      <c r="E425" s="3">
        <f t="shared" si="107"/>
        <v>99.058145669291335</v>
      </c>
      <c r="F425" s="3">
        <f t="shared" si="108"/>
        <v>18.240000000000002</v>
      </c>
      <c r="G425" s="3">
        <f t="shared" si="109"/>
        <v>70.399999999999991</v>
      </c>
      <c r="H425" s="3">
        <f t="shared" si="110"/>
        <v>70.399999999999991</v>
      </c>
      <c r="I425" s="3"/>
      <c r="J425" s="3">
        <f t="shared" si="111"/>
        <v>97.57584566929134</v>
      </c>
      <c r="K425" s="3">
        <f t="shared" si="112"/>
        <v>101.55814566929133</v>
      </c>
      <c r="L425" s="34">
        <f t="shared" si="113"/>
        <v>99.058145669291335</v>
      </c>
      <c r="M425" s="3">
        <f t="shared" si="114"/>
        <v>-36.76</v>
      </c>
      <c r="N425" s="3">
        <f t="shared" si="115"/>
        <v>132.16</v>
      </c>
      <c r="O425" s="3"/>
      <c r="P425" s="3">
        <f t="shared" si="116"/>
        <v>142.8688503937008</v>
      </c>
      <c r="Q425" s="3">
        <f t="shared" si="117"/>
        <v>154.76849133858269</v>
      </c>
      <c r="R425" s="3">
        <f>vd(DataTable[[#This Row],[Sentido]],DataTable[[#This Row],[Valor]])</f>
        <v>153.8724409448819</v>
      </c>
      <c r="S425" s="3">
        <f>IF(DataTable[[#This Row],[Valor]]&gt;1,1,1)</f>
        <v>1</v>
      </c>
      <c r="T425" s="3">
        <f>IF(DataTable[[#This Row],[Valor]]&gt;1,1,1)</f>
        <v>1</v>
      </c>
      <c r="U425" s="3">
        <f>angr(DataTable[[#This Row],[Sentido]],DataTable[[#This Row],[Valor]])</f>
        <v>20.193700787401571</v>
      </c>
      <c r="V425" s="3">
        <f>ANGI(DataTable[[#This Row],[Sentido]],DataTable[[#This Row],[Valor]])</f>
        <v>25.604724409448817</v>
      </c>
      <c r="W425" s="3">
        <f t="shared" si="118"/>
        <v>3</v>
      </c>
      <c r="X425" s="3">
        <f>IF(DataTable[[#This Row],[Valor]]&gt;1,1,1)</f>
        <v>1</v>
      </c>
      <c r="Y425" s="3">
        <f t="shared" si="119"/>
        <v>3</v>
      </c>
      <c r="Z425" s="3">
        <f>IF(AND(DataTable[[#This Row],[Sentido]]="URUGUAI para BRASIL",DataTable[[#This Row],[Valor]]&gt;350),1,0)</f>
        <v>0</v>
      </c>
      <c r="AA425" s="3">
        <f>IF(DataTable[[#This Row],[Valor]]&gt;1,0,0)</f>
        <v>0</v>
      </c>
    </row>
    <row r="426" spans="1:27" x14ac:dyDescent="0.25">
      <c r="A426" s="2" t="s">
        <v>21</v>
      </c>
      <c r="B426" s="2">
        <v>474</v>
      </c>
      <c r="C426" s="3">
        <f t="shared" si="105"/>
        <v>96.630370078740157</v>
      </c>
      <c r="D426" s="3">
        <f t="shared" si="106"/>
        <v>101.63037007874016</v>
      </c>
      <c r="E426" s="3">
        <f t="shared" si="107"/>
        <v>99.130370078740157</v>
      </c>
      <c r="F426" s="3">
        <f t="shared" si="108"/>
        <v>18.120000000000005</v>
      </c>
      <c r="G426" s="3">
        <f t="shared" si="109"/>
        <v>70.2</v>
      </c>
      <c r="H426" s="3">
        <f t="shared" si="110"/>
        <v>70.2</v>
      </c>
      <c r="I426" s="3"/>
      <c r="J426" s="3">
        <f t="shared" si="111"/>
        <v>97.648070078740162</v>
      </c>
      <c r="K426" s="3">
        <f t="shared" si="112"/>
        <v>101.63037007874016</v>
      </c>
      <c r="L426" s="34">
        <f t="shared" si="113"/>
        <v>99.130370078740157</v>
      </c>
      <c r="M426" s="3">
        <f t="shared" si="114"/>
        <v>-36.879999999999995</v>
      </c>
      <c r="N426" s="3">
        <f t="shared" si="115"/>
        <v>132.08000000000001</v>
      </c>
      <c r="O426" s="3"/>
      <c r="P426" s="3">
        <f t="shared" si="116"/>
        <v>143.12151181102362</v>
      </c>
      <c r="Q426" s="3">
        <f t="shared" si="117"/>
        <v>154.87394015748032</v>
      </c>
      <c r="R426" s="3">
        <f>vd(DataTable[[#This Row],[Sentido]],DataTable[[#This Row],[Valor]])</f>
        <v>154.07322834645669</v>
      </c>
      <c r="S426" s="3">
        <f>IF(DataTable[[#This Row],[Valor]]&gt;1,1,1)</f>
        <v>1</v>
      </c>
      <c r="T426" s="3">
        <f>IF(DataTable[[#This Row],[Valor]]&gt;1,1,1)</f>
        <v>1</v>
      </c>
      <c r="U426" s="3">
        <f>angr(DataTable[[#This Row],[Sentido]],DataTable[[#This Row],[Valor]])</f>
        <v>20.111023622047242</v>
      </c>
      <c r="V426" s="3">
        <f>ANGI(DataTable[[#This Row],[Sentido]],DataTable[[#This Row],[Valor]])</f>
        <v>25.541732283464569</v>
      </c>
      <c r="W426" s="3">
        <f t="shared" si="118"/>
        <v>3</v>
      </c>
      <c r="X426" s="3">
        <f>IF(DataTable[[#This Row],[Valor]]&gt;1,1,1)</f>
        <v>1</v>
      </c>
      <c r="Y426" s="3">
        <f t="shared" si="119"/>
        <v>3</v>
      </c>
      <c r="Z426" s="3">
        <f>IF(AND(DataTable[[#This Row],[Sentido]]="URUGUAI para BRASIL",DataTable[[#This Row],[Valor]]&gt;350),1,0)</f>
        <v>0</v>
      </c>
      <c r="AA426" s="3">
        <f>IF(DataTable[[#This Row],[Valor]]&gt;1,0,0)</f>
        <v>0</v>
      </c>
    </row>
    <row r="427" spans="1:27" x14ac:dyDescent="0.25">
      <c r="A427" s="2" t="s">
        <v>21</v>
      </c>
      <c r="B427" s="2">
        <v>475</v>
      </c>
      <c r="C427" s="3">
        <f t="shared" si="105"/>
        <v>96.702594488188979</v>
      </c>
      <c r="D427" s="3">
        <f t="shared" si="106"/>
        <v>101.70259448818898</v>
      </c>
      <c r="E427" s="3">
        <f t="shared" si="107"/>
        <v>99.202594488188979</v>
      </c>
      <c r="F427" s="3">
        <f t="shared" si="108"/>
        <v>18</v>
      </c>
      <c r="G427" s="3">
        <f t="shared" si="109"/>
        <v>70</v>
      </c>
      <c r="H427" s="3">
        <f t="shared" si="110"/>
        <v>70</v>
      </c>
      <c r="I427" s="3"/>
      <c r="J427" s="3">
        <f t="shared" si="111"/>
        <v>97.720294488188983</v>
      </c>
      <c r="K427" s="3">
        <f t="shared" si="112"/>
        <v>101.70259448818898</v>
      </c>
      <c r="L427" s="34">
        <f t="shared" si="113"/>
        <v>99.202594488188979</v>
      </c>
      <c r="M427" s="3">
        <f t="shared" si="114"/>
        <v>-37</v>
      </c>
      <c r="N427" s="3">
        <f t="shared" si="115"/>
        <v>132</v>
      </c>
      <c r="O427" s="3"/>
      <c r="P427" s="3">
        <f t="shared" si="116"/>
        <v>143.37417322834648</v>
      </c>
      <c r="Q427" s="3">
        <f t="shared" si="117"/>
        <v>154.97938897637795</v>
      </c>
      <c r="R427" s="3">
        <f>vd(DataTable[[#This Row],[Sentido]],DataTable[[#This Row],[Valor]])</f>
        <v>154.2740157480315</v>
      </c>
      <c r="S427" s="3">
        <f>IF(DataTable[[#This Row],[Valor]]&gt;1,1,1)</f>
        <v>1</v>
      </c>
      <c r="T427" s="3">
        <f>IF(DataTable[[#This Row],[Valor]]&gt;1,1,1)</f>
        <v>1</v>
      </c>
      <c r="U427" s="3">
        <f>angr(DataTable[[#This Row],[Sentido]],DataTable[[#This Row],[Valor]])</f>
        <v>20.028346456692912</v>
      </c>
      <c r="V427" s="3">
        <f>ANGI(DataTable[[#This Row],[Sentido]],DataTable[[#This Row],[Valor]])</f>
        <v>25.478740157480317</v>
      </c>
      <c r="W427" s="3">
        <f t="shared" si="118"/>
        <v>3</v>
      </c>
      <c r="X427" s="3">
        <f>IF(DataTable[[#This Row],[Valor]]&gt;1,1,1)</f>
        <v>1</v>
      </c>
      <c r="Y427" s="3">
        <f t="shared" si="119"/>
        <v>3</v>
      </c>
      <c r="Z427" s="3">
        <f>IF(AND(DataTable[[#This Row],[Sentido]]="URUGUAI para BRASIL",DataTable[[#This Row],[Valor]]&gt;350),1,0)</f>
        <v>0</v>
      </c>
      <c r="AA427" s="3">
        <f>IF(DataTable[[#This Row],[Valor]]&gt;1,0,0)</f>
        <v>0</v>
      </c>
    </row>
    <row r="428" spans="1:27" x14ac:dyDescent="0.25">
      <c r="A428" s="2" t="s">
        <v>21</v>
      </c>
      <c r="B428" s="2">
        <v>476</v>
      </c>
      <c r="C428" s="3">
        <f t="shared" si="105"/>
        <v>96.7748188976378</v>
      </c>
      <c r="D428" s="3">
        <f t="shared" si="106"/>
        <v>101.7748188976378</v>
      </c>
      <c r="E428" s="3">
        <f t="shared" si="107"/>
        <v>99.2748188976378</v>
      </c>
      <c r="F428" s="3">
        <f t="shared" si="108"/>
        <v>17.880000000000003</v>
      </c>
      <c r="G428" s="3">
        <f t="shared" si="109"/>
        <v>69.8</v>
      </c>
      <c r="H428" s="3">
        <f t="shared" si="110"/>
        <v>69.8</v>
      </c>
      <c r="I428" s="3"/>
      <c r="J428" s="3">
        <f t="shared" si="111"/>
        <v>97.792518897637791</v>
      </c>
      <c r="K428" s="3">
        <f t="shared" si="112"/>
        <v>101.7748188976378</v>
      </c>
      <c r="L428" s="34">
        <f t="shared" si="113"/>
        <v>99.2748188976378</v>
      </c>
      <c r="M428" s="3">
        <f t="shared" si="114"/>
        <v>-37.119999999999997</v>
      </c>
      <c r="N428" s="3">
        <f t="shared" si="115"/>
        <v>131.91999999999999</v>
      </c>
      <c r="O428" s="3"/>
      <c r="P428" s="3">
        <f t="shared" si="116"/>
        <v>143.62683464566928</v>
      </c>
      <c r="Q428" s="3">
        <f t="shared" si="117"/>
        <v>155.0848377952756</v>
      </c>
      <c r="R428" s="3">
        <f>vd(DataTable[[#This Row],[Sentido]],DataTable[[#This Row],[Valor]])</f>
        <v>154.47480314960629</v>
      </c>
      <c r="S428" s="3">
        <f>IF(DataTable[[#This Row],[Valor]]&gt;1,1,1)</f>
        <v>1</v>
      </c>
      <c r="T428" s="3">
        <f>IF(DataTable[[#This Row],[Valor]]&gt;1,1,1)</f>
        <v>1</v>
      </c>
      <c r="U428" s="3">
        <f>angr(DataTable[[#This Row],[Sentido]],DataTable[[#This Row],[Valor]])</f>
        <v>19.945669291338582</v>
      </c>
      <c r="V428" s="3">
        <f>ANGI(DataTable[[#This Row],[Sentido]],DataTable[[#This Row],[Valor]])</f>
        <v>25.415748031496065</v>
      </c>
      <c r="W428" s="3">
        <f t="shared" si="118"/>
        <v>3</v>
      </c>
      <c r="X428" s="3">
        <f>IF(DataTable[[#This Row],[Valor]]&gt;1,1,1)</f>
        <v>1</v>
      </c>
      <c r="Y428" s="3">
        <f t="shared" si="119"/>
        <v>3</v>
      </c>
      <c r="Z428" s="3">
        <f>IF(AND(DataTable[[#This Row],[Sentido]]="URUGUAI para BRASIL",DataTable[[#This Row],[Valor]]&gt;350),1,0)</f>
        <v>0</v>
      </c>
      <c r="AA428" s="3">
        <f>IF(DataTable[[#This Row],[Valor]]&gt;1,0,0)</f>
        <v>0</v>
      </c>
    </row>
    <row r="429" spans="1:27" x14ac:dyDescent="0.25">
      <c r="A429" s="2" t="s">
        <v>21</v>
      </c>
      <c r="B429" s="2">
        <v>477</v>
      </c>
      <c r="C429" s="3">
        <f t="shared" si="105"/>
        <v>96.847043307086608</v>
      </c>
      <c r="D429" s="3">
        <f t="shared" si="106"/>
        <v>101.84704330708661</v>
      </c>
      <c r="E429" s="3">
        <f t="shared" si="107"/>
        <v>99.347043307086608</v>
      </c>
      <c r="F429" s="3">
        <f t="shared" si="108"/>
        <v>17.759999999999998</v>
      </c>
      <c r="G429" s="3">
        <f t="shared" si="109"/>
        <v>69.599999999999994</v>
      </c>
      <c r="H429" s="3">
        <f t="shared" si="110"/>
        <v>69.599999999999994</v>
      </c>
      <c r="I429" s="3"/>
      <c r="J429" s="3">
        <f t="shared" si="111"/>
        <v>97.864743307086613</v>
      </c>
      <c r="K429" s="3">
        <f t="shared" si="112"/>
        <v>101.84704330708661</v>
      </c>
      <c r="L429" s="34">
        <f t="shared" si="113"/>
        <v>99.347043307086608</v>
      </c>
      <c r="M429" s="3">
        <f t="shared" si="114"/>
        <v>-37.24</v>
      </c>
      <c r="N429" s="3">
        <f t="shared" si="115"/>
        <v>131.84</v>
      </c>
      <c r="O429" s="3"/>
      <c r="P429" s="3">
        <f t="shared" si="116"/>
        <v>143.87949606299213</v>
      </c>
      <c r="Q429" s="3">
        <f t="shared" si="117"/>
        <v>155.19028661417323</v>
      </c>
      <c r="R429" s="3">
        <f>vd(DataTable[[#This Row],[Sentido]],DataTable[[#This Row],[Valor]])</f>
        <v>154.6755905511811</v>
      </c>
      <c r="S429" s="3">
        <f>IF(DataTable[[#This Row],[Valor]]&gt;1,1,1)</f>
        <v>1</v>
      </c>
      <c r="T429" s="3">
        <f>IF(DataTable[[#This Row],[Valor]]&gt;1,1,1)</f>
        <v>1</v>
      </c>
      <c r="U429" s="3">
        <f>angr(DataTable[[#This Row],[Sentido]],DataTable[[#This Row],[Valor]])</f>
        <v>19.862992125984253</v>
      </c>
      <c r="V429" s="3">
        <f>ANGI(DataTable[[#This Row],[Sentido]],DataTable[[#This Row],[Valor]])</f>
        <v>25.352755905511813</v>
      </c>
      <c r="W429" s="3">
        <f t="shared" si="118"/>
        <v>3</v>
      </c>
      <c r="X429" s="3">
        <f>IF(DataTable[[#This Row],[Valor]]&gt;1,1,1)</f>
        <v>1</v>
      </c>
      <c r="Y429" s="3">
        <f t="shared" si="119"/>
        <v>3</v>
      </c>
      <c r="Z429" s="3">
        <f>IF(AND(DataTable[[#This Row],[Sentido]]="URUGUAI para BRASIL",DataTable[[#This Row],[Valor]]&gt;350),1,0)</f>
        <v>0</v>
      </c>
      <c r="AA429" s="3">
        <f>IF(DataTable[[#This Row],[Valor]]&gt;1,0,0)</f>
        <v>0</v>
      </c>
    </row>
    <row r="430" spans="1:27" x14ac:dyDescent="0.25">
      <c r="A430" s="2" t="s">
        <v>21</v>
      </c>
      <c r="B430" s="2">
        <v>478</v>
      </c>
      <c r="C430" s="3">
        <f t="shared" si="105"/>
        <v>96.91926771653543</v>
      </c>
      <c r="D430" s="3">
        <f t="shared" si="106"/>
        <v>101.91926771653543</v>
      </c>
      <c r="E430" s="3">
        <f t="shared" si="107"/>
        <v>99.41926771653543</v>
      </c>
      <c r="F430" s="3">
        <f t="shared" si="108"/>
        <v>17.64</v>
      </c>
      <c r="G430" s="3">
        <f t="shared" si="109"/>
        <v>69.399999999999991</v>
      </c>
      <c r="H430" s="3">
        <f t="shared" si="110"/>
        <v>69.399999999999991</v>
      </c>
      <c r="I430" s="3"/>
      <c r="J430" s="3">
        <f t="shared" si="111"/>
        <v>97.936967716535435</v>
      </c>
      <c r="K430" s="3">
        <f t="shared" si="112"/>
        <v>101.91926771653543</v>
      </c>
      <c r="L430" s="34">
        <f t="shared" si="113"/>
        <v>99.41926771653543</v>
      </c>
      <c r="M430" s="3">
        <f t="shared" si="114"/>
        <v>-37.36</v>
      </c>
      <c r="N430" s="3">
        <f t="shared" si="115"/>
        <v>131.76</v>
      </c>
      <c r="O430" s="3"/>
      <c r="P430" s="3">
        <f t="shared" si="116"/>
        <v>144.13215748031499</v>
      </c>
      <c r="Q430" s="3">
        <f t="shared" si="117"/>
        <v>155.29573543307089</v>
      </c>
      <c r="R430" s="3">
        <f>vd(DataTable[[#This Row],[Sentido]],DataTable[[#This Row],[Valor]])</f>
        <v>154.87637795275592</v>
      </c>
      <c r="S430" s="3">
        <f>IF(DataTable[[#This Row],[Valor]]&gt;1,1,1)</f>
        <v>1</v>
      </c>
      <c r="T430" s="3">
        <f>IF(DataTable[[#This Row],[Valor]]&gt;1,1,1)</f>
        <v>1</v>
      </c>
      <c r="U430" s="3">
        <f>angr(DataTable[[#This Row],[Sentido]],DataTable[[#This Row],[Valor]])</f>
        <v>19.780314960629916</v>
      </c>
      <c r="V430" s="3">
        <f>ANGI(DataTable[[#This Row],[Sentido]],DataTable[[#This Row],[Valor]])</f>
        <v>25.289763779527558</v>
      </c>
      <c r="W430" s="3">
        <f t="shared" si="118"/>
        <v>3</v>
      </c>
      <c r="X430" s="3">
        <f>IF(DataTable[[#This Row],[Valor]]&gt;1,1,1)</f>
        <v>1</v>
      </c>
      <c r="Y430" s="3">
        <f t="shared" si="119"/>
        <v>3</v>
      </c>
      <c r="Z430" s="3">
        <f>IF(AND(DataTable[[#This Row],[Sentido]]="URUGUAI para BRASIL",DataTable[[#This Row],[Valor]]&gt;350),1,0)</f>
        <v>0</v>
      </c>
      <c r="AA430" s="3">
        <f>IF(DataTable[[#This Row],[Valor]]&gt;1,0,0)</f>
        <v>0</v>
      </c>
    </row>
    <row r="431" spans="1:27" x14ac:dyDescent="0.25">
      <c r="A431" s="2" t="s">
        <v>21</v>
      </c>
      <c r="B431" s="2">
        <v>479</v>
      </c>
      <c r="C431" s="3">
        <f t="shared" si="105"/>
        <v>96.991492125984252</v>
      </c>
      <c r="D431" s="3">
        <f t="shared" si="106"/>
        <v>101.99149212598425</v>
      </c>
      <c r="E431" s="3">
        <f t="shared" si="107"/>
        <v>99.491492125984252</v>
      </c>
      <c r="F431" s="3">
        <f t="shared" si="108"/>
        <v>17.520000000000003</v>
      </c>
      <c r="G431" s="3">
        <f t="shared" si="109"/>
        <v>69.2</v>
      </c>
      <c r="H431" s="3">
        <f t="shared" si="110"/>
        <v>69.2</v>
      </c>
      <c r="I431" s="3"/>
      <c r="J431" s="3">
        <f t="shared" si="111"/>
        <v>98.009192125984256</v>
      </c>
      <c r="K431" s="3">
        <f t="shared" si="112"/>
        <v>101.99149212598425</v>
      </c>
      <c r="L431" s="34">
        <f t="shared" si="113"/>
        <v>99.491492125984252</v>
      </c>
      <c r="M431" s="3">
        <f t="shared" si="114"/>
        <v>-37.479999999999997</v>
      </c>
      <c r="N431" s="3">
        <f t="shared" si="115"/>
        <v>131.68</v>
      </c>
      <c r="O431" s="3"/>
      <c r="P431" s="3">
        <f t="shared" si="116"/>
        <v>144.38481889763779</v>
      </c>
      <c r="Q431" s="3">
        <f t="shared" si="117"/>
        <v>155.40118425196852</v>
      </c>
      <c r="R431" s="3">
        <f>vd(DataTable[[#This Row],[Sentido]],DataTable[[#This Row],[Valor]])</f>
        <v>155.07716535433073</v>
      </c>
      <c r="S431" s="3">
        <f>IF(DataTable[[#This Row],[Valor]]&gt;1,1,1)</f>
        <v>1</v>
      </c>
      <c r="T431" s="3">
        <f>IF(DataTable[[#This Row],[Valor]]&gt;1,1,1)</f>
        <v>1</v>
      </c>
      <c r="U431" s="3">
        <f>angr(DataTable[[#This Row],[Sentido]],DataTable[[#This Row],[Valor]])</f>
        <v>19.697637795275586</v>
      </c>
      <c r="V431" s="3">
        <f>ANGI(DataTable[[#This Row],[Sentido]],DataTable[[#This Row],[Valor]])</f>
        <v>25.226771653543306</v>
      </c>
      <c r="W431" s="3">
        <f t="shared" si="118"/>
        <v>3</v>
      </c>
      <c r="X431" s="3">
        <f>IF(DataTable[[#This Row],[Valor]]&gt;1,1,1)</f>
        <v>1</v>
      </c>
      <c r="Y431" s="3">
        <f t="shared" si="119"/>
        <v>3</v>
      </c>
      <c r="Z431" s="3">
        <f>IF(AND(DataTable[[#This Row],[Sentido]]="URUGUAI para BRASIL",DataTable[[#This Row],[Valor]]&gt;350),1,0)</f>
        <v>0</v>
      </c>
      <c r="AA431" s="3">
        <f>IF(DataTable[[#This Row],[Valor]]&gt;1,0,0)</f>
        <v>0</v>
      </c>
    </row>
    <row r="432" spans="1:27" x14ac:dyDescent="0.25">
      <c r="A432" s="2" t="s">
        <v>21</v>
      </c>
      <c r="B432" s="2">
        <v>480</v>
      </c>
      <c r="C432" s="3">
        <f t="shared" si="105"/>
        <v>97.063716535433073</v>
      </c>
      <c r="D432" s="3">
        <f t="shared" si="106"/>
        <v>102.06371653543307</v>
      </c>
      <c r="E432" s="3">
        <f t="shared" si="107"/>
        <v>99.563716535433073</v>
      </c>
      <c r="F432" s="3">
        <f t="shared" si="108"/>
        <v>17.399999999999999</v>
      </c>
      <c r="G432" s="3">
        <f t="shared" si="109"/>
        <v>69</v>
      </c>
      <c r="H432" s="3">
        <f t="shared" si="110"/>
        <v>69</v>
      </c>
      <c r="I432" s="3"/>
      <c r="J432" s="3">
        <f t="shared" si="111"/>
        <v>98.081416535433078</v>
      </c>
      <c r="K432" s="3">
        <f t="shared" si="112"/>
        <v>102.06371653543307</v>
      </c>
      <c r="L432" s="34">
        <f t="shared" si="113"/>
        <v>99.563716535433073</v>
      </c>
      <c r="M432" s="3">
        <f t="shared" si="114"/>
        <v>-37.6</v>
      </c>
      <c r="N432" s="3">
        <f t="shared" si="115"/>
        <v>131.6</v>
      </c>
      <c r="O432" s="3"/>
      <c r="P432" s="3">
        <f t="shared" si="116"/>
        <v>144.63748031496064</v>
      </c>
      <c r="Q432" s="3">
        <f t="shared" si="117"/>
        <v>155.50663307086614</v>
      </c>
      <c r="R432" s="3">
        <f>vd(DataTable[[#This Row],[Sentido]],DataTable[[#This Row],[Valor]])</f>
        <v>155.27795275590552</v>
      </c>
      <c r="S432" s="3">
        <f>IF(DataTable[[#This Row],[Valor]]&gt;1,1,1)</f>
        <v>1</v>
      </c>
      <c r="T432" s="3">
        <f>IF(DataTable[[#This Row],[Valor]]&gt;1,1,1)</f>
        <v>1</v>
      </c>
      <c r="U432" s="3">
        <f>angr(DataTable[[#This Row],[Sentido]],DataTable[[#This Row],[Valor]])</f>
        <v>19.614960629921256</v>
      </c>
      <c r="V432" s="3">
        <f>ANGI(DataTable[[#This Row],[Sentido]],DataTable[[#This Row],[Valor]])</f>
        <v>25.163779527559054</v>
      </c>
      <c r="W432" s="3">
        <f t="shared" si="118"/>
        <v>3</v>
      </c>
      <c r="X432" s="3">
        <f>IF(DataTable[[#This Row],[Valor]]&gt;1,1,1)</f>
        <v>1</v>
      </c>
      <c r="Y432" s="3">
        <f t="shared" si="119"/>
        <v>3</v>
      </c>
      <c r="Z432" s="3">
        <f>IF(AND(DataTable[[#This Row],[Sentido]]="URUGUAI para BRASIL",DataTable[[#This Row],[Valor]]&gt;350),1,0)</f>
        <v>0</v>
      </c>
      <c r="AA432" s="3">
        <f>IF(DataTable[[#This Row],[Valor]]&gt;1,0,0)</f>
        <v>0</v>
      </c>
    </row>
    <row r="433" spans="1:27" x14ac:dyDescent="0.25">
      <c r="A433" s="2" t="s">
        <v>21</v>
      </c>
      <c r="B433" s="2">
        <v>481</v>
      </c>
      <c r="C433" s="3">
        <f t="shared" si="105"/>
        <v>97.135940944881895</v>
      </c>
      <c r="D433" s="3">
        <f t="shared" si="106"/>
        <v>100.8859409448819</v>
      </c>
      <c r="E433" s="3">
        <f t="shared" si="107"/>
        <v>99.635940944881895</v>
      </c>
      <c r="F433" s="3">
        <f t="shared" si="108"/>
        <v>17.28</v>
      </c>
      <c r="G433" s="3">
        <f t="shared" si="109"/>
        <v>68.8</v>
      </c>
      <c r="H433" s="3">
        <f t="shared" si="110"/>
        <v>68.8</v>
      </c>
      <c r="I433" s="3"/>
      <c r="J433" s="3">
        <f t="shared" si="111"/>
        <v>98.153640944881886</v>
      </c>
      <c r="K433" s="3">
        <f t="shared" si="112"/>
        <v>100.8859409448819</v>
      </c>
      <c r="L433" s="34">
        <f t="shared" si="113"/>
        <v>99.635940944881895</v>
      </c>
      <c r="M433" s="3">
        <f t="shared" si="114"/>
        <v>-37.72</v>
      </c>
      <c r="N433" s="3">
        <f t="shared" si="115"/>
        <v>131.52000000000001</v>
      </c>
      <c r="O433" s="3"/>
      <c r="P433" s="3">
        <f t="shared" si="116"/>
        <v>144.82285354330708</v>
      </c>
      <c r="Q433" s="3">
        <f t="shared" si="117"/>
        <v>155.61208188976377</v>
      </c>
      <c r="R433" s="3">
        <f>vd(DataTable[[#This Row],[Sentido]],DataTable[[#This Row],[Valor]])</f>
        <v>155.47874015748033</v>
      </c>
      <c r="S433" s="3">
        <f>IF(DataTable[[#This Row],[Valor]]&gt;1,1,1)</f>
        <v>1</v>
      </c>
      <c r="T433" s="3">
        <f>IF(DataTable[[#This Row],[Valor]]&gt;1,1,1)</f>
        <v>1</v>
      </c>
      <c r="U433" s="3">
        <f>angr(DataTable[[#This Row],[Sentido]],DataTable[[#This Row],[Valor]])</f>
        <v>19.532283464566927</v>
      </c>
      <c r="V433" s="3">
        <f>ANGI(DataTable[[#This Row],[Sentido]],DataTable[[#This Row],[Valor]])</f>
        <v>25.100787401574802</v>
      </c>
      <c r="W433" s="3">
        <f t="shared" si="118"/>
        <v>3</v>
      </c>
      <c r="X433" s="3">
        <f>IF(DataTable[[#This Row],[Valor]]&gt;1,1,1)</f>
        <v>1</v>
      </c>
      <c r="Y433" s="3">
        <f t="shared" si="119"/>
        <v>3</v>
      </c>
      <c r="Z433" s="3">
        <f>IF(AND(DataTable[[#This Row],[Sentido]]="URUGUAI para BRASIL",DataTable[[#This Row],[Valor]]&gt;350),1,0)</f>
        <v>0</v>
      </c>
      <c r="AA433" s="3">
        <f>IF(DataTable[[#This Row],[Valor]]&gt;1,0,0)</f>
        <v>0</v>
      </c>
    </row>
    <row r="434" spans="1:27" x14ac:dyDescent="0.25">
      <c r="A434" s="2" t="s">
        <v>21</v>
      </c>
      <c r="B434" s="2">
        <v>482</v>
      </c>
      <c r="C434" s="3">
        <f t="shared" si="105"/>
        <v>97.208165354330703</v>
      </c>
      <c r="D434" s="3">
        <f t="shared" si="106"/>
        <v>100.9581653543307</v>
      </c>
      <c r="E434" s="3">
        <f t="shared" si="107"/>
        <v>99.708165354330703</v>
      </c>
      <c r="F434" s="3">
        <f t="shared" si="108"/>
        <v>17.160000000000004</v>
      </c>
      <c r="G434" s="3">
        <f t="shared" si="109"/>
        <v>68.599999999999994</v>
      </c>
      <c r="H434" s="3">
        <f t="shared" si="110"/>
        <v>68.599999999999994</v>
      </c>
      <c r="I434" s="3"/>
      <c r="J434" s="3">
        <f t="shared" si="111"/>
        <v>98.225865354330708</v>
      </c>
      <c r="K434" s="3">
        <f t="shared" si="112"/>
        <v>100.9581653543307</v>
      </c>
      <c r="L434" s="34">
        <f t="shared" si="113"/>
        <v>99.708165354330703</v>
      </c>
      <c r="M434" s="3">
        <f t="shared" si="114"/>
        <v>-37.839999999999996</v>
      </c>
      <c r="N434" s="3">
        <f t="shared" si="115"/>
        <v>131.44</v>
      </c>
      <c r="O434" s="3"/>
      <c r="P434" s="3">
        <f t="shared" si="116"/>
        <v>145.00257007874015</v>
      </c>
      <c r="Q434" s="3">
        <f t="shared" si="117"/>
        <v>155.7175307086614</v>
      </c>
      <c r="R434" s="3">
        <f>vd(DataTable[[#This Row],[Sentido]],DataTable[[#This Row],[Valor]])</f>
        <v>155.67952755905512</v>
      </c>
      <c r="S434" s="3">
        <f>IF(DataTable[[#This Row],[Valor]]&gt;1,1,1)</f>
        <v>1</v>
      </c>
      <c r="T434" s="3">
        <f>IF(DataTable[[#This Row],[Valor]]&gt;1,1,1)</f>
        <v>1</v>
      </c>
      <c r="U434" s="3">
        <f>angr(DataTable[[#This Row],[Sentido]],DataTable[[#This Row],[Valor]])</f>
        <v>19.449606299212597</v>
      </c>
      <c r="V434" s="3">
        <f>ANGI(DataTable[[#This Row],[Sentido]],DataTable[[#This Row],[Valor]])</f>
        <v>25.03779527559055</v>
      </c>
      <c r="W434" s="3">
        <f t="shared" si="118"/>
        <v>3</v>
      </c>
      <c r="X434" s="3">
        <f>IF(DataTable[[#This Row],[Valor]]&gt;1,1,1)</f>
        <v>1</v>
      </c>
      <c r="Y434" s="3">
        <f t="shared" si="119"/>
        <v>3</v>
      </c>
      <c r="Z434" s="3">
        <f>IF(AND(DataTable[[#This Row],[Sentido]]="URUGUAI para BRASIL",DataTable[[#This Row],[Valor]]&gt;350),1,0)</f>
        <v>0</v>
      </c>
      <c r="AA434" s="3">
        <f>IF(DataTable[[#This Row],[Valor]]&gt;1,0,0)</f>
        <v>0</v>
      </c>
    </row>
    <row r="435" spans="1:27" x14ac:dyDescent="0.25">
      <c r="A435" s="2" t="s">
        <v>21</v>
      </c>
      <c r="B435" s="2">
        <v>483</v>
      </c>
      <c r="C435" s="3">
        <f t="shared" si="105"/>
        <v>97.280389763779525</v>
      </c>
      <c r="D435" s="3">
        <f t="shared" si="106"/>
        <v>101.03038976377952</v>
      </c>
      <c r="E435" s="3">
        <f t="shared" si="107"/>
        <v>99.780389763779525</v>
      </c>
      <c r="F435" s="3">
        <f t="shared" si="108"/>
        <v>17.04</v>
      </c>
      <c r="G435" s="3">
        <f t="shared" si="109"/>
        <v>68.399999999999991</v>
      </c>
      <c r="H435" s="3">
        <f t="shared" si="110"/>
        <v>68.399999999999991</v>
      </c>
      <c r="I435" s="3"/>
      <c r="J435" s="3">
        <f t="shared" si="111"/>
        <v>98.298089763779529</v>
      </c>
      <c r="K435" s="3">
        <f t="shared" si="112"/>
        <v>101.03038976377952</v>
      </c>
      <c r="L435" s="34">
        <f t="shared" si="113"/>
        <v>99.780389763779525</v>
      </c>
      <c r="M435" s="3">
        <f t="shared" si="114"/>
        <v>-37.96</v>
      </c>
      <c r="N435" s="3">
        <f t="shared" si="115"/>
        <v>131.36000000000001</v>
      </c>
      <c r="O435" s="3"/>
      <c r="P435" s="3">
        <f t="shared" si="116"/>
        <v>145.18228661417322</v>
      </c>
      <c r="Q435" s="3">
        <f t="shared" si="117"/>
        <v>155.82297952755906</v>
      </c>
      <c r="R435" s="3">
        <f>vd(DataTable[[#This Row],[Sentido]],DataTable[[#This Row],[Valor]])</f>
        <v>155.84094488188978</v>
      </c>
      <c r="S435" s="3">
        <f>IF(DataTable[[#This Row],[Valor]]&gt;1,1,1)</f>
        <v>1</v>
      </c>
      <c r="T435" s="3">
        <f>IF(DataTable[[#This Row],[Valor]]&gt;1,1,1)</f>
        <v>1</v>
      </c>
      <c r="U435" s="3">
        <f>angr(DataTable[[#This Row],[Sentido]],DataTable[[#This Row],[Valor]])</f>
        <v>19.396850393700785</v>
      </c>
      <c r="V435" s="3">
        <f>ANGI(DataTable[[#This Row],[Sentido]],DataTable[[#This Row],[Valor]])</f>
        <v>25</v>
      </c>
      <c r="W435" s="3">
        <f t="shared" si="118"/>
        <v>3</v>
      </c>
      <c r="X435" s="3">
        <f>IF(DataTable[[#This Row],[Valor]]&gt;1,1,1)</f>
        <v>1</v>
      </c>
      <c r="Y435" s="3">
        <f t="shared" si="119"/>
        <v>3</v>
      </c>
      <c r="Z435" s="3">
        <f>IF(AND(DataTable[[#This Row],[Sentido]]="URUGUAI para BRASIL",DataTable[[#This Row],[Valor]]&gt;350),1,0)</f>
        <v>0</v>
      </c>
      <c r="AA435" s="3">
        <f>IF(DataTable[[#This Row],[Valor]]&gt;1,0,0)</f>
        <v>0</v>
      </c>
    </row>
    <row r="436" spans="1:27" x14ac:dyDescent="0.25">
      <c r="A436" s="2" t="s">
        <v>21</v>
      </c>
      <c r="B436" s="2">
        <v>484</v>
      </c>
      <c r="C436" s="3">
        <f t="shared" si="105"/>
        <v>97.352614173228346</v>
      </c>
      <c r="D436" s="3">
        <f t="shared" si="106"/>
        <v>101.10261417322835</v>
      </c>
      <c r="E436" s="3">
        <f t="shared" si="107"/>
        <v>99.852614173228346</v>
      </c>
      <c r="F436" s="3">
        <f t="shared" si="108"/>
        <v>16.920000000000002</v>
      </c>
      <c r="G436" s="3">
        <f t="shared" si="109"/>
        <v>68.2</v>
      </c>
      <c r="H436" s="3">
        <f t="shared" si="110"/>
        <v>68.2</v>
      </c>
      <c r="I436" s="3"/>
      <c r="J436" s="3">
        <f t="shared" si="111"/>
        <v>98.370314173228351</v>
      </c>
      <c r="K436" s="3">
        <f t="shared" si="112"/>
        <v>101.10261417322835</v>
      </c>
      <c r="L436" s="34">
        <f t="shared" si="113"/>
        <v>99.852614173228346</v>
      </c>
      <c r="M436" s="3">
        <f t="shared" si="114"/>
        <v>-38.08</v>
      </c>
      <c r="N436" s="3">
        <f t="shared" si="115"/>
        <v>131.28</v>
      </c>
      <c r="O436" s="3"/>
      <c r="P436" s="3">
        <f t="shared" si="116"/>
        <v>145.36200314960629</v>
      </c>
      <c r="Q436" s="3">
        <f t="shared" si="117"/>
        <v>155.92842834645668</v>
      </c>
      <c r="R436" s="3">
        <f>vd(DataTable[[#This Row],[Sentido]],DataTable[[#This Row],[Valor]])</f>
        <v>155.94330708661417</v>
      </c>
      <c r="S436" s="3">
        <f>IF(DataTable[[#This Row],[Valor]]&gt;1,1,1)</f>
        <v>1</v>
      </c>
      <c r="T436" s="3">
        <f>IF(DataTable[[#This Row],[Valor]]&gt;1,1,1)</f>
        <v>1</v>
      </c>
      <c r="U436" s="3">
        <f>angr(DataTable[[#This Row],[Sentido]],DataTable[[#This Row],[Valor]])</f>
        <v>19.388976377952755</v>
      </c>
      <c r="V436" s="3">
        <f>ANGI(DataTable[[#This Row],[Sentido]],DataTable[[#This Row],[Valor]])</f>
        <v>25</v>
      </c>
      <c r="W436" s="3">
        <f t="shared" si="118"/>
        <v>3</v>
      </c>
      <c r="X436" s="3">
        <f>IF(DataTable[[#This Row],[Valor]]&gt;1,1,1)</f>
        <v>1</v>
      </c>
      <c r="Y436" s="3">
        <f t="shared" si="119"/>
        <v>3</v>
      </c>
      <c r="Z436" s="3">
        <f>IF(AND(DataTable[[#This Row],[Sentido]]="URUGUAI para BRASIL",DataTable[[#This Row],[Valor]]&gt;350),1,0)</f>
        <v>0</v>
      </c>
      <c r="AA436" s="3">
        <f>IF(DataTable[[#This Row],[Valor]]&gt;1,0,0)</f>
        <v>0</v>
      </c>
    </row>
    <row r="437" spans="1:27" x14ac:dyDescent="0.25">
      <c r="A437" s="2" t="s">
        <v>21</v>
      </c>
      <c r="B437" s="2">
        <v>485</v>
      </c>
      <c r="C437" s="3">
        <f t="shared" si="105"/>
        <v>97.424838582677168</v>
      </c>
      <c r="D437" s="3">
        <f t="shared" si="106"/>
        <v>101.17483858267717</v>
      </c>
      <c r="E437" s="3">
        <f t="shared" si="107"/>
        <v>99.924838582677168</v>
      </c>
      <c r="F437" s="3">
        <f t="shared" si="108"/>
        <v>16.800000000000004</v>
      </c>
      <c r="G437" s="3">
        <f t="shared" si="109"/>
        <v>68</v>
      </c>
      <c r="H437" s="3">
        <f t="shared" si="110"/>
        <v>68</v>
      </c>
      <c r="I437" s="3"/>
      <c r="J437" s="3">
        <f t="shared" si="111"/>
        <v>98.442538582677173</v>
      </c>
      <c r="K437" s="3">
        <f t="shared" si="112"/>
        <v>101.17483858267717</v>
      </c>
      <c r="L437" s="34">
        <f t="shared" si="113"/>
        <v>99.924838582677168</v>
      </c>
      <c r="M437" s="3">
        <f t="shared" si="114"/>
        <v>-38.199999999999996</v>
      </c>
      <c r="N437" s="3">
        <f t="shared" si="115"/>
        <v>131.19999999999999</v>
      </c>
      <c r="O437" s="3"/>
      <c r="P437" s="3">
        <f t="shared" si="116"/>
        <v>145.54171968503937</v>
      </c>
      <c r="Q437" s="3">
        <f t="shared" si="117"/>
        <v>156.03387716535434</v>
      </c>
      <c r="R437" s="3">
        <f>vd(DataTable[[#This Row],[Sentido]],DataTable[[#This Row],[Valor]])</f>
        <v>156.04566929133858</v>
      </c>
      <c r="S437" s="3">
        <f>IF(DataTable[[#This Row],[Valor]]&gt;1,1,1)</f>
        <v>1</v>
      </c>
      <c r="T437" s="3">
        <f>IF(DataTable[[#This Row],[Valor]]&gt;1,1,1)</f>
        <v>1</v>
      </c>
      <c r="U437" s="3">
        <f>angr(DataTable[[#This Row],[Sentido]],DataTable[[#This Row],[Valor]])</f>
        <v>19.381102362204722</v>
      </c>
      <c r="V437" s="3">
        <f>ANGI(DataTable[[#This Row],[Sentido]],DataTable[[#This Row],[Valor]])</f>
        <v>25</v>
      </c>
      <c r="W437" s="3">
        <f t="shared" si="118"/>
        <v>3</v>
      </c>
      <c r="X437" s="3">
        <f>IF(DataTable[[#This Row],[Valor]]&gt;1,1,1)</f>
        <v>1</v>
      </c>
      <c r="Y437" s="3">
        <f t="shared" si="119"/>
        <v>3</v>
      </c>
      <c r="Z437" s="3">
        <f>IF(AND(DataTable[[#This Row],[Sentido]]="URUGUAI para BRASIL",DataTable[[#This Row],[Valor]]&gt;350),1,0)</f>
        <v>0</v>
      </c>
      <c r="AA437" s="3">
        <f>IF(DataTable[[#This Row],[Valor]]&gt;1,0,0)</f>
        <v>0</v>
      </c>
    </row>
    <row r="438" spans="1:27" x14ac:dyDescent="0.25">
      <c r="A438" s="2" t="s">
        <v>21</v>
      </c>
      <c r="B438" s="2">
        <v>486</v>
      </c>
      <c r="C438" s="3">
        <f t="shared" si="105"/>
        <v>97.49706299212599</v>
      </c>
      <c r="D438" s="3">
        <f t="shared" si="106"/>
        <v>101.24706299212599</v>
      </c>
      <c r="E438" s="3">
        <f t="shared" si="107"/>
        <v>99.99706299212599</v>
      </c>
      <c r="F438" s="3">
        <f t="shared" si="108"/>
        <v>16.68</v>
      </c>
      <c r="G438" s="3">
        <f t="shared" si="109"/>
        <v>67.8</v>
      </c>
      <c r="H438" s="3">
        <f t="shared" si="110"/>
        <v>67.8</v>
      </c>
      <c r="I438" s="3"/>
      <c r="J438" s="3">
        <f t="shared" si="111"/>
        <v>98.514762992125981</v>
      </c>
      <c r="K438" s="3">
        <f t="shared" si="112"/>
        <v>101.24706299212599</v>
      </c>
      <c r="L438" s="34">
        <f t="shared" si="113"/>
        <v>99.99706299212599</v>
      </c>
      <c r="M438" s="3">
        <f t="shared" si="114"/>
        <v>-38.32</v>
      </c>
      <c r="N438" s="3">
        <f t="shared" si="115"/>
        <v>131.12</v>
      </c>
      <c r="O438" s="3"/>
      <c r="P438" s="3">
        <f t="shared" si="116"/>
        <v>145.72143622047244</v>
      </c>
      <c r="Q438" s="3">
        <f t="shared" si="117"/>
        <v>156.13932598425197</v>
      </c>
      <c r="R438" s="3">
        <f>vd(DataTable[[#This Row],[Sentido]],DataTable[[#This Row],[Valor]])</f>
        <v>156.148031496063</v>
      </c>
      <c r="S438" s="3">
        <f>IF(DataTable[[#This Row],[Valor]]&gt;1,1,1)</f>
        <v>1</v>
      </c>
      <c r="T438" s="3">
        <f>IF(DataTable[[#This Row],[Valor]]&gt;1,1,1)</f>
        <v>1</v>
      </c>
      <c r="U438" s="3">
        <f>angr(DataTable[[#This Row],[Sentido]],DataTable[[#This Row],[Valor]])</f>
        <v>19.373228346456692</v>
      </c>
      <c r="V438" s="3">
        <f>ANGI(DataTable[[#This Row],[Sentido]],DataTable[[#This Row],[Valor]])</f>
        <v>25</v>
      </c>
      <c r="W438" s="3">
        <f t="shared" si="118"/>
        <v>3</v>
      </c>
      <c r="X438" s="3">
        <f>IF(DataTable[[#This Row],[Valor]]&gt;1,1,1)</f>
        <v>1</v>
      </c>
      <c r="Y438" s="3">
        <f t="shared" si="119"/>
        <v>3</v>
      </c>
      <c r="Z438" s="3">
        <f>IF(AND(DataTable[[#This Row],[Sentido]]="URUGUAI para BRASIL",DataTable[[#This Row],[Valor]]&gt;350),1,0)</f>
        <v>0</v>
      </c>
      <c r="AA438" s="3">
        <f>IF(DataTable[[#This Row],[Valor]]&gt;1,0,0)</f>
        <v>0</v>
      </c>
    </row>
    <row r="439" spans="1:27" x14ac:dyDescent="0.25">
      <c r="A439" s="2" t="s">
        <v>21</v>
      </c>
      <c r="B439" s="2">
        <v>487</v>
      </c>
      <c r="C439" s="3">
        <f t="shared" si="105"/>
        <v>97.569287401574812</v>
      </c>
      <c r="D439" s="3">
        <f t="shared" si="106"/>
        <v>101.31928740157481</v>
      </c>
      <c r="E439" s="3">
        <f t="shared" si="107"/>
        <v>100.06928740157481</v>
      </c>
      <c r="F439" s="3">
        <f t="shared" si="108"/>
        <v>16.560000000000002</v>
      </c>
      <c r="G439" s="3">
        <f t="shared" si="109"/>
        <v>67.599999999999994</v>
      </c>
      <c r="H439" s="3">
        <f t="shared" si="110"/>
        <v>67.599999999999994</v>
      </c>
      <c r="I439" s="3"/>
      <c r="J439" s="3">
        <f t="shared" si="111"/>
        <v>98.586987401574802</v>
      </c>
      <c r="K439" s="3">
        <f t="shared" si="112"/>
        <v>101.31928740157481</v>
      </c>
      <c r="L439" s="34">
        <f t="shared" si="113"/>
        <v>100.06928740157481</v>
      </c>
      <c r="M439" s="3">
        <f t="shared" si="114"/>
        <v>-38.44</v>
      </c>
      <c r="N439" s="3">
        <f t="shared" si="115"/>
        <v>131.04</v>
      </c>
      <c r="O439" s="3"/>
      <c r="P439" s="3">
        <f t="shared" si="116"/>
        <v>145.90115275590551</v>
      </c>
      <c r="Q439" s="3">
        <f t="shared" si="117"/>
        <v>156.2447748031496</v>
      </c>
      <c r="R439" s="3">
        <f>vd(DataTable[[#This Row],[Sentido]],DataTable[[#This Row],[Valor]])</f>
        <v>156.25039370078741</v>
      </c>
      <c r="S439" s="3">
        <f>IF(DataTable[[#This Row],[Valor]]&gt;1,1,1)</f>
        <v>1</v>
      </c>
      <c r="T439" s="3">
        <f>IF(DataTable[[#This Row],[Valor]]&gt;1,1,1)</f>
        <v>1</v>
      </c>
      <c r="U439" s="3">
        <f>angr(DataTable[[#This Row],[Sentido]],DataTable[[#This Row],[Valor]])</f>
        <v>19.365354330708659</v>
      </c>
      <c r="V439" s="3">
        <f>ANGI(DataTable[[#This Row],[Sentido]],DataTable[[#This Row],[Valor]])</f>
        <v>25</v>
      </c>
      <c r="W439" s="3">
        <f t="shared" si="118"/>
        <v>3</v>
      </c>
      <c r="X439" s="3">
        <f>IF(DataTable[[#This Row],[Valor]]&gt;1,1,1)</f>
        <v>1</v>
      </c>
      <c r="Y439" s="3">
        <f t="shared" si="119"/>
        <v>3</v>
      </c>
      <c r="Z439" s="3">
        <f>IF(AND(DataTable[[#This Row],[Sentido]]="URUGUAI para BRASIL",DataTable[[#This Row],[Valor]]&gt;350),1,0)</f>
        <v>0</v>
      </c>
      <c r="AA439" s="3">
        <f>IF(DataTable[[#This Row],[Valor]]&gt;1,0,0)</f>
        <v>0</v>
      </c>
    </row>
    <row r="440" spans="1:27" x14ac:dyDescent="0.25">
      <c r="A440" s="2" t="s">
        <v>21</v>
      </c>
      <c r="B440" s="2">
        <v>488</v>
      </c>
      <c r="C440" s="3">
        <f t="shared" si="105"/>
        <v>97.641511811023619</v>
      </c>
      <c r="D440" s="3">
        <f t="shared" si="106"/>
        <v>101.39151181102362</v>
      </c>
      <c r="E440" s="3">
        <f t="shared" si="107"/>
        <v>100.14151181102362</v>
      </c>
      <c r="F440" s="3">
        <f t="shared" si="108"/>
        <v>16.439999999999998</v>
      </c>
      <c r="G440" s="3">
        <f t="shared" si="109"/>
        <v>67.399999999999991</v>
      </c>
      <c r="H440" s="3">
        <f t="shared" si="110"/>
        <v>67.399999999999991</v>
      </c>
      <c r="I440" s="3"/>
      <c r="J440" s="3">
        <f t="shared" si="111"/>
        <v>98.659211811023624</v>
      </c>
      <c r="K440" s="3">
        <f t="shared" si="112"/>
        <v>101.39151181102362</v>
      </c>
      <c r="L440" s="34">
        <f t="shared" si="113"/>
        <v>100.14151181102362</v>
      </c>
      <c r="M440" s="3">
        <f t="shared" si="114"/>
        <v>-38.56</v>
      </c>
      <c r="N440" s="3">
        <f t="shared" si="115"/>
        <v>130.96</v>
      </c>
      <c r="O440" s="3"/>
      <c r="P440" s="3">
        <f t="shared" si="116"/>
        <v>146.08086929133859</v>
      </c>
      <c r="Q440" s="3">
        <f t="shared" si="117"/>
        <v>156.35022362204725</v>
      </c>
      <c r="R440" s="3">
        <f>vd(DataTable[[#This Row],[Sentido]],DataTable[[#This Row],[Valor]])</f>
        <v>156.35275590551183</v>
      </c>
      <c r="S440" s="3">
        <f>IF(DataTable[[#This Row],[Valor]]&gt;1,1,1)</f>
        <v>1</v>
      </c>
      <c r="T440" s="3">
        <f>IF(DataTable[[#This Row],[Valor]]&gt;1,1,1)</f>
        <v>1</v>
      </c>
      <c r="U440" s="3">
        <f>angr(DataTable[[#This Row],[Sentido]],DataTable[[#This Row],[Valor]])</f>
        <v>19.357480314960629</v>
      </c>
      <c r="V440" s="3">
        <f>ANGI(DataTable[[#This Row],[Sentido]],DataTable[[#This Row],[Valor]])</f>
        <v>25</v>
      </c>
      <c r="W440" s="3">
        <f t="shared" si="118"/>
        <v>3</v>
      </c>
      <c r="X440" s="3">
        <f>IF(DataTable[[#This Row],[Valor]]&gt;1,1,1)</f>
        <v>1</v>
      </c>
      <c r="Y440" s="3">
        <f t="shared" si="119"/>
        <v>3</v>
      </c>
      <c r="Z440" s="3">
        <f>IF(AND(DataTable[[#This Row],[Sentido]]="URUGUAI para BRASIL",DataTable[[#This Row],[Valor]]&gt;350),1,0)</f>
        <v>0</v>
      </c>
      <c r="AA440" s="3">
        <f>IF(DataTable[[#This Row],[Valor]]&gt;1,0,0)</f>
        <v>0</v>
      </c>
    </row>
    <row r="441" spans="1:27" x14ac:dyDescent="0.25">
      <c r="A441" s="2" t="s">
        <v>21</v>
      </c>
      <c r="B441" s="2">
        <v>489</v>
      </c>
      <c r="C441" s="3">
        <f t="shared" si="105"/>
        <v>97.713736220472441</v>
      </c>
      <c r="D441" s="3">
        <f t="shared" si="106"/>
        <v>101.46373622047244</v>
      </c>
      <c r="E441" s="3">
        <f t="shared" si="107"/>
        <v>100.21373622047244</v>
      </c>
      <c r="F441" s="3">
        <f t="shared" si="108"/>
        <v>16.32</v>
      </c>
      <c r="G441" s="3">
        <f t="shared" si="109"/>
        <v>67.2</v>
      </c>
      <c r="H441" s="3">
        <f t="shared" si="110"/>
        <v>67.2</v>
      </c>
      <c r="I441" s="3"/>
      <c r="J441" s="3">
        <f t="shared" si="111"/>
        <v>98.731436220472446</v>
      </c>
      <c r="K441" s="3">
        <f t="shared" si="112"/>
        <v>101.46373622047244</v>
      </c>
      <c r="L441" s="34">
        <f t="shared" si="113"/>
        <v>100.21373622047244</v>
      </c>
      <c r="M441" s="3">
        <f t="shared" si="114"/>
        <v>-38.68</v>
      </c>
      <c r="N441" s="3">
        <f t="shared" si="115"/>
        <v>130.88</v>
      </c>
      <c r="O441" s="3"/>
      <c r="P441" s="3">
        <f t="shared" si="116"/>
        <v>146.26058582677166</v>
      </c>
      <c r="Q441" s="3">
        <f t="shared" si="117"/>
        <v>156.45567244094488</v>
      </c>
      <c r="R441" s="3">
        <f>vd(DataTable[[#This Row],[Sentido]],DataTable[[#This Row],[Valor]])</f>
        <v>156.45511811023624</v>
      </c>
      <c r="S441" s="3">
        <f>IF(DataTable[[#This Row],[Valor]]&gt;1,1,1)</f>
        <v>1</v>
      </c>
      <c r="T441" s="3">
        <f>IF(DataTable[[#This Row],[Valor]]&gt;1,1,1)</f>
        <v>1</v>
      </c>
      <c r="U441" s="3">
        <f>angr(DataTable[[#This Row],[Sentido]],DataTable[[#This Row],[Valor]])</f>
        <v>19.349606299212596</v>
      </c>
      <c r="V441" s="3">
        <f>ANGI(DataTable[[#This Row],[Sentido]],DataTable[[#This Row],[Valor]])</f>
        <v>25</v>
      </c>
      <c r="W441" s="3">
        <f t="shared" si="118"/>
        <v>3</v>
      </c>
      <c r="X441" s="3">
        <f>IF(DataTable[[#This Row],[Valor]]&gt;1,1,1)</f>
        <v>1</v>
      </c>
      <c r="Y441" s="3">
        <f t="shared" si="119"/>
        <v>3</v>
      </c>
      <c r="Z441" s="3">
        <f>IF(AND(DataTable[[#This Row],[Sentido]]="URUGUAI para BRASIL",DataTable[[#This Row],[Valor]]&gt;350),1,0)</f>
        <v>0</v>
      </c>
      <c r="AA441" s="3">
        <f>IF(DataTable[[#This Row],[Valor]]&gt;1,0,0)</f>
        <v>0</v>
      </c>
    </row>
    <row r="442" spans="1:27" x14ac:dyDescent="0.25">
      <c r="A442" s="2" t="s">
        <v>21</v>
      </c>
      <c r="B442" s="2">
        <v>490</v>
      </c>
      <c r="C442" s="3">
        <f t="shared" si="105"/>
        <v>97.785960629921263</v>
      </c>
      <c r="D442" s="3">
        <f t="shared" si="106"/>
        <v>101.53596062992126</v>
      </c>
      <c r="E442" s="3">
        <f t="shared" si="107"/>
        <v>100.28596062992126</v>
      </c>
      <c r="F442" s="3">
        <f t="shared" si="108"/>
        <v>16.200000000000003</v>
      </c>
      <c r="G442" s="3">
        <f t="shared" si="109"/>
        <v>67</v>
      </c>
      <c r="H442" s="3">
        <f t="shared" si="110"/>
        <v>67</v>
      </c>
      <c r="I442" s="3"/>
      <c r="J442" s="3">
        <f t="shared" si="111"/>
        <v>98.803660629921254</v>
      </c>
      <c r="K442" s="3">
        <f t="shared" si="112"/>
        <v>101.53596062992126</v>
      </c>
      <c r="L442" s="34">
        <f t="shared" si="113"/>
        <v>100.28596062992126</v>
      </c>
      <c r="M442" s="3">
        <f t="shared" si="114"/>
        <v>-38.799999999999997</v>
      </c>
      <c r="N442" s="3">
        <f t="shared" si="115"/>
        <v>130.80000000000001</v>
      </c>
      <c r="O442" s="3"/>
      <c r="P442" s="3">
        <f t="shared" si="116"/>
        <v>146.4403023622047</v>
      </c>
      <c r="Q442" s="3">
        <f t="shared" si="117"/>
        <v>156.56112125984254</v>
      </c>
      <c r="R442" s="3">
        <f>vd(DataTable[[#This Row],[Sentido]],DataTable[[#This Row],[Valor]])</f>
        <v>156.55748031496063</v>
      </c>
      <c r="S442" s="3">
        <f>IF(DataTable[[#This Row],[Valor]]&gt;1,1,1)</f>
        <v>1</v>
      </c>
      <c r="T442" s="3">
        <f>IF(DataTable[[#This Row],[Valor]]&gt;1,1,1)</f>
        <v>1</v>
      </c>
      <c r="U442" s="3">
        <f>angr(DataTable[[#This Row],[Sentido]],DataTable[[#This Row],[Valor]])</f>
        <v>19.341732283464566</v>
      </c>
      <c r="V442" s="3">
        <f>ANGI(DataTable[[#This Row],[Sentido]],DataTable[[#This Row],[Valor]])</f>
        <v>25</v>
      </c>
      <c r="W442" s="3">
        <f t="shared" si="118"/>
        <v>3</v>
      </c>
      <c r="X442" s="3">
        <f>IF(DataTable[[#This Row],[Valor]]&gt;1,1,1)</f>
        <v>1</v>
      </c>
      <c r="Y442" s="3">
        <f t="shared" si="119"/>
        <v>3</v>
      </c>
      <c r="Z442" s="3">
        <f>IF(AND(DataTable[[#This Row],[Sentido]]="URUGUAI para BRASIL",DataTable[[#This Row],[Valor]]&gt;350),1,0)</f>
        <v>0</v>
      </c>
      <c r="AA442" s="3">
        <f>IF(DataTable[[#This Row],[Valor]]&gt;1,0,0)</f>
        <v>0</v>
      </c>
    </row>
    <row r="443" spans="1:27" x14ac:dyDescent="0.25">
      <c r="A443" s="2" t="s">
        <v>21</v>
      </c>
      <c r="B443" s="2">
        <v>491</v>
      </c>
      <c r="C443" s="3">
        <f t="shared" si="105"/>
        <v>97.858185039370071</v>
      </c>
      <c r="D443" s="3">
        <f t="shared" si="106"/>
        <v>101.60818503937007</v>
      </c>
      <c r="E443" s="3">
        <f t="shared" si="107"/>
        <v>100.35818503937007</v>
      </c>
      <c r="F443" s="3">
        <f t="shared" si="108"/>
        <v>16.079999999999998</v>
      </c>
      <c r="G443" s="3">
        <f t="shared" si="109"/>
        <v>66.8</v>
      </c>
      <c r="H443" s="3">
        <f t="shared" si="110"/>
        <v>66.8</v>
      </c>
      <c r="I443" s="3"/>
      <c r="J443" s="3">
        <f t="shared" si="111"/>
        <v>98.875885039370075</v>
      </c>
      <c r="K443" s="3">
        <f t="shared" si="112"/>
        <v>101.60818503937007</v>
      </c>
      <c r="L443" s="34">
        <f t="shared" si="113"/>
        <v>100.35818503937007</v>
      </c>
      <c r="M443" s="3">
        <f t="shared" si="114"/>
        <v>-38.92</v>
      </c>
      <c r="N443" s="3">
        <f t="shared" si="115"/>
        <v>130.72</v>
      </c>
      <c r="O443" s="3"/>
      <c r="P443" s="3">
        <f t="shared" si="116"/>
        <v>146.62001889763778</v>
      </c>
      <c r="Q443" s="3">
        <f t="shared" si="117"/>
        <v>156.66657007874016</v>
      </c>
      <c r="R443" s="3">
        <f>vd(DataTable[[#This Row],[Sentido]],DataTable[[#This Row],[Valor]])</f>
        <v>156.65984251968504</v>
      </c>
      <c r="S443" s="3">
        <f>IF(DataTable[[#This Row],[Valor]]&gt;1,1,1)</f>
        <v>1</v>
      </c>
      <c r="T443" s="3">
        <f>IF(DataTable[[#This Row],[Valor]]&gt;1,1,1)</f>
        <v>1</v>
      </c>
      <c r="U443" s="3">
        <f>angr(DataTable[[#This Row],[Sentido]],DataTable[[#This Row],[Valor]])</f>
        <v>19.333858267716536</v>
      </c>
      <c r="V443" s="3">
        <f>ANGI(DataTable[[#This Row],[Sentido]],DataTable[[#This Row],[Valor]])</f>
        <v>25</v>
      </c>
      <c r="W443" s="3">
        <f t="shared" si="118"/>
        <v>3</v>
      </c>
      <c r="X443" s="3">
        <f>IF(DataTable[[#This Row],[Valor]]&gt;1,1,1)</f>
        <v>1</v>
      </c>
      <c r="Y443" s="3">
        <f t="shared" si="119"/>
        <v>3</v>
      </c>
      <c r="Z443" s="3">
        <f>IF(AND(DataTable[[#This Row],[Sentido]]="URUGUAI para BRASIL",DataTable[[#This Row],[Valor]]&gt;350),1,0)</f>
        <v>0</v>
      </c>
      <c r="AA443" s="3">
        <f>IF(DataTable[[#This Row],[Valor]]&gt;1,0,0)</f>
        <v>0</v>
      </c>
    </row>
    <row r="444" spans="1:27" x14ac:dyDescent="0.25">
      <c r="A444" s="2" t="s">
        <v>21</v>
      </c>
      <c r="B444" s="2">
        <v>492</v>
      </c>
      <c r="C444" s="3">
        <f t="shared" si="105"/>
        <v>97.930409448818907</v>
      </c>
      <c r="D444" s="3">
        <f t="shared" si="106"/>
        <v>101.68040944881891</v>
      </c>
      <c r="E444" s="3">
        <f t="shared" si="107"/>
        <v>100.43040944881891</v>
      </c>
      <c r="F444" s="3">
        <f t="shared" si="108"/>
        <v>15.96</v>
      </c>
      <c r="G444" s="3">
        <f t="shared" si="109"/>
        <v>66.599999999999994</v>
      </c>
      <c r="H444" s="3">
        <f t="shared" si="110"/>
        <v>66.599999999999994</v>
      </c>
      <c r="I444" s="3"/>
      <c r="J444" s="3">
        <f t="shared" si="111"/>
        <v>98.948109448818897</v>
      </c>
      <c r="K444" s="3">
        <f t="shared" si="112"/>
        <v>101.68040944881891</v>
      </c>
      <c r="L444" s="34">
        <f t="shared" si="113"/>
        <v>100.43040944881891</v>
      </c>
      <c r="M444" s="3">
        <f t="shared" si="114"/>
        <v>-39.04</v>
      </c>
      <c r="N444" s="3">
        <f t="shared" si="115"/>
        <v>130.63999999999999</v>
      </c>
      <c r="O444" s="3"/>
      <c r="P444" s="3">
        <f t="shared" si="116"/>
        <v>146.79973543307088</v>
      </c>
      <c r="Q444" s="3">
        <f t="shared" si="117"/>
        <v>156.77201889763779</v>
      </c>
      <c r="R444" s="3">
        <f>vd(DataTable[[#This Row],[Sentido]],DataTable[[#This Row],[Valor]])</f>
        <v>156.76220472440946</v>
      </c>
      <c r="S444" s="3">
        <f>IF(DataTable[[#This Row],[Valor]]&gt;1,1,1)</f>
        <v>1</v>
      </c>
      <c r="T444" s="3">
        <f>IF(DataTable[[#This Row],[Valor]]&gt;1,1,1)</f>
        <v>1</v>
      </c>
      <c r="U444" s="3">
        <f>angr(DataTable[[#This Row],[Sentido]],DataTable[[#This Row],[Valor]])</f>
        <v>19.325984251968503</v>
      </c>
      <c r="V444" s="3">
        <f>ANGI(DataTable[[#This Row],[Sentido]],DataTable[[#This Row],[Valor]])</f>
        <v>25</v>
      </c>
      <c r="W444" s="3">
        <f t="shared" si="118"/>
        <v>3</v>
      </c>
      <c r="X444" s="3">
        <f>IF(DataTable[[#This Row],[Valor]]&gt;1,1,1)</f>
        <v>1</v>
      </c>
      <c r="Y444" s="3">
        <f t="shared" si="119"/>
        <v>3</v>
      </c>
      <c r="Z444" s="3">
        <f>IF(AND(DataTable[[#This Row],[Sentido]]="URUGUAI para BRASIL",DataTable[[#This Row],[Valor]]&gt;350),1,0)</f>
        <v>0</v>
      </c>
      <c r="AA444" s="3">
        <f>IF(DataTable[[#This Row],[Valor]]&gt;1,0,0)</f>
        <v>0</v>
      </c>
    </row>
    <row r="445" spans="1:27" x14ac:dyDescent="0.25">
      <c r="A445" s="2" t="s">
        <v>21</v>
      </c>
      <c r="B445" s="2">
        <v>493</v>
      </c>
      <c r="C445" s="3">
        <f t="shared" si="105"/>
        <v>98.002633858267714</v>
      </c>
      <c r="D445" s="3">
        <f t="shared" si="106"/>
        <v>101.75263385826771</v>
      </c>
      <c r="E445" s="3">
        <f t="shared" si="107"/>
        <v>100.50263385826771</v>
      </c>
      <c r="F445" s="3">
        <f t="shared" si="108"/>
        <v>15.840000000000003</v>
      </c>
      <c r="G445" s="3">
        <f t="shared" si="109"/>
        <v>66.399999999999991</v>
      </c>
      <c r="H445" s="3">
        <f t="shared" si="110"/>
        <v>66.399999999999991</v>
      </c>
      <c r="I445" s="3"/>
      <c r="J445" s="3">
        <f t="shared" si="111"/>
        <v>99.020333858267719</v>
      </c>
      <c r="K445" s="3">
        <f t="shared" si="112"/>
        <v>101.75263385826771</v>
      </c>
      <c r="L445" s="34">
        <f t="shared" si="113"/>
        <v>100.50263385826771</v>
      </c>
      <c r="M445" s="3">
        <f t="shared" si="114"/>
        <v>-39.159999999999997</v>
      </c>
      <c r="N445" s="3">
        <f t="shared" si="115"/>
        <v>130.56</v>
      </c>
      <c r="O445" s="3"/>
      <c r="P445" s="3">
        <f t="shared" si="116"/>
        <v>146.97945196850395</v>
      </c>
      <c r="Q445" s="3">
        <f t="shared" si="117"/>
        <v>156.87746771653545</v>
      </c>
      <c r="R445" s="3">
        <f>vd(DataTable[[#This Row],[Sentido]],DataTable[[#This Row],[Valor]])</f>
        <v>156.86456692913387</v>
      </c>
      <c r="S445" s="3">
        <f>IF(DataTable[[#This Row],[Valor]]&gt;1,1,1)</f>
        <v>1</v>
      </c>
      <c r="T445" s="3">
        <f>IF(DataTable[[#This Row],[Valor]]&gt;1,1,1)</f>
        <v>1</v>
      </c>
      <c r="U445" s="3">
        <f>angr(DataTable[[#This Row],[Sentido]],DataTable[[#This Row],[Valor]])</f>
        <v>19.31811023622047</v>
      </c>
      <c r="V445" s="3">
        <f>ANGI(DataTable[[#This Row],[Sentido]],DataTable[[#This Row],[Valor]])</f>
        <v>25</v>
      </c>
      <c r="W445" s="3">
        <f t="shared" si="118"/>
        <v>3</v>
      </c>
      <c r="X445" s="3">
        <f>IF(DataTable[[#This Row],[Valor]]&gt;1,1,1)</f>
        <v>1</v>
      </c>
      <c r="Y445" s="3">
        <f t="shared" si="119"/>
        <v>3</v>
      </c>
      <c r="Z445" s="3">
        <f>IF(AND(DataTable[[#This Row],[Sentido]]="URUGUAI para BRASIL",DataTable[[#This Row],[Valor]]&gt;350),1,0)</f>
        <v>0</v>
      </c>
      <c r="AA445" s="3">
        <f>IF(DataTable[[#This Row],[Valor]]&gt;1,0,0)</f>
        <v>0</v>
      </c>
    </row>
    <row r="446" spans="1:27" x14ac:dyDescent="0.25">
      <c r="A446" s="2" t="s">
        <v>21</v>
      </c>
      <c r="B446" s="2">
        <v>494</v>
      </c>
      <c r="C446" s="3">
        <f t="shared" si="105"/>
        <v>98.074858267716536</v>
      </c>
      <c r="D446" s="3">
        <f t="shared" si="106"/>
        <v>101.82485826771654</v>
      </c>
      <c r="E446" s="3">
        <f t="shared" si="107"/>
        <v>100.57485826771654</v>
      </c>
      <c r="F446" s="3">
        <f t="shared" si="108"/>
        <v>15.719999999999999</v>
      </c>
      <c r="G446" s="3">
        <f t="shared" si="109"/>
        <v>66.2</v>
      </c>
      <c r="H446" s="3">
        <f t="shared" si="110"/>
        <v>66.2</v>
      </c>
      <c r="I446" s="3"/>
      <c r="J446" s="3">
        <f t="shared" si="111"/>
        <v>99.092558267716541</v>
      </c>
      <c r="K446" s="3">
        <f t="shared" si="112"/>
        <v>101.82485826771654</v>
      </c>
      <c r="L446" s="34">
        <f t="shared" si="113"/>
        <v>100.57485826771654</v>
      </c>
      <c r="M446" s="3">
        <f t="shared" si="114"/>
        <v>-39.28</v>
      </c>
      <c r="N446" s="3">
        <f t="shared" si="115"/>
        <v>130.47999999999999</v>
      </c>
      <c r="O446" s="3"/>
      <c r="P446" s="3">
        <f t="shared" si="116"/>
        <v>147.159168503937</v>
      </c>
      <c r="Q446" s="3">
        <f t="shared" si="117"/>
        <v>156.98291653543308</v>
      </c>
      <c r="R446" s="3">
        <f>vd(DataTable[[#This Row],[Sentido]],DataTable[[#This Row],[Valor]])</f>
        <v>156.96692913385829</v>
      </c>
      <c r="S446" s="3">
        <f>IF(DataTable[[#This Row],[Valor]]&gt;1,1,1)</f>
        <v>1</v>
      </c>
      <c r="T446" s="3">
        <f>IF(DataTable[[#This Row],[Valor]]&gt;1,1,1)</f>
        <v>1</v>
      </c>
      <c r="U446" s="3">
        <f>angr(DataTable[[#This Row],[Sentido]],DataTable[[#This Row],[Valor]])</f>
        <v>19.31023622047244</v>
      </c>
      <c r="V446" s="3">
        <f>ANGI(DataTable[[#This Row],[Sentido]],DataTable[[#This Row],[Valor]])</f>
        <v>25</v>
      </c>
      <c r="W446" s="3">
        <f t="shared" si="118"/>
        <v>3</v>
      </c>
      <c r="X446" s="3">
        <f>IF(DataTable[[#This Row],[Valor]]&gt;1,1,1)</f>
        <v>1</v>
      </c>
      <c r="Y446" s="3">
        <f t="shared" si="119"/>
        <v>3</v>
      </c>
      <c r="Z446" s="3">
        <f>IF(AND(DataTable[[#This Row],[Sentido]]="URUGUAI para BRASIL",DataTable[[#This Row],[Valor]]&gt;350),1,0)</f>
        <v>0</v>
      </c>
      <c r="AA446" s="3">
        <f>IF(DataTable[[#This Row],[Valor]]&gt;1,0,0)</f>
        <v>0</v>
      </c>
    </row>
    <row r="447" spans="1:27" x14ac:dyDescent="0.25">
      <c r="A447" s="2" t="s">
        <v>21</v>
      </c>
      <c r="B447" s="2">
        <v>495</v>
      </c>
      <c r="C447" s="3">
        <f t="shared" si="105"/>
        <v>98.147082677165358</v>
      </c>
      <c r="D447" s="3">
        <f t="shared" si="106"/>
        <v>101.89708267716536</v>
      </c>
      <c r="E447" s="3">
        <f t="shared" si="107"/>
        <v>100.64708267716536</v>
      </c>
      <c r="F447" s="3">
        <f t="shared" si="108"/>
        <v>15.600000000000001</v>
      </c>
      <c r="G447" s="3">
        <f t="shared" si="109"/>
        <v>66</v>
      </c>
      <c r="H447" s="3">
        <f t="shared" si="110"/>
        <v>66</v>
      </c>
      <c r="I447" s="3"/>
      <c r="J447" s="3">
        <f t="shared" si="111"/>
        <v>99.164782677165348</v>
      </c>
      <c r="K447" s="3">
        <f t="shared" si="112"/>
        <v>101.89708267716536</v>
      </c>
      <c r="L447" s="34">
        <f t="shared" si="113"/>
        <v>100.64708267716536</v>
      </c>
      <c r="M447" s="3">
        <f t="shared" si="114"/>
        <v>-39.4</v>
      </c>
      <c r="N447" s="3">
        <f t="shared" si="115"/>
        <v>130.4</v>
      </c>
      <c r="O447" s="3"/>
      <c r="P447" s="3">
        <f t="shared" si="116"/>
        <v>147.33888503937007</v>
      </c>
      <c r="Q447" s="3">
        <f t="shared" si="117"/>
        <v>157.0883653543307</v>
      </c>
      <c r="R447" s="3">
        <f>vd(DataTable[[#This Row],[Sentido]],DataTable[[#This Row],[Valor]])</f>
        <v>157.06929133858267</v>
      </c>
      <c r="S447" s="3">
        <f>IF(DataTable[[#This Row],[Valor]]&gt;1,1,1)</f>
        <v>1</v>
      </c>
      <c r="T447" s="3">
        <f>IF(DataTable[[#This Row],[Valor]]&gt;1,1,1)</f>
        <v>1</v>
      </c>
      <c r="U447" s="3">
        <f>angr(DataTable[[#This Row],[Sentido]],DataTable[[#This Row],[Valor]])</f>
        <v>19.302362204724407</v>
      </c>
      <c r="V447" s="3">
        <f>ANGI(DataTable[[#This Row],[Sentido]],DataTable[[#This Row],[Valor]])</f>
        <v>25</v>
      </c>
      <c r="W447" s="3">
        <f t="shared" si="118"/>
        <v>3</v>
      </c>
      <c r="X447" s="3">
        <f>IF(DataTable[[#This Row],[Valor]]&gt;1,1,1)</f>
        <v>1</v>
      </c>
      <c r="Y447" s="3">
        <f t="shared" si="119"/>
        <v>3</v>
      </c>
      <c r="Z447" s="3">
        <f>IF(AND(DataTable[[#This Row],[Sentido]]="URUGUAI para BRASIL",DataTable[[#This Row],[Valor]]&gt;350),1,0)</f>
        <v>0</v>
      </c>
      <c r="AA447" s="3">
        <f>IF(DataTable[[#This Row],[Valor]]&gt;1,0,0)</f>
        <v>0</v>
      </c>
    </row>
    <row r="448" spans="1:27" x14ac:dyDescent="0.25">
      <c r="A448" s="2" t="s">
        <v>21</v>
      </c>
      <c r="B448" s="2">
        <v>496</v>
      </c>
      <c r="C448" s="3">
        <f t="shared" si="105"/>
        <v>98.21930708661418</v>
      </c>
      <c r="D448" s="3">
        <f t="shared" si="106"/>
        <v>101.96930708661418</v>
      </c>
      <c r="E448" s="3">
        <f t="shared" si="107"/>
        <v>100.71930708661418</v>
      </c>
      <c r="F448" s="3">
        <f t="shared" si="108"/>
        <v>15.480000000000004</v>
      </c>
      <c r="G448" s="3">
        <f t="shared" si="109"/>
        <v>65.8</v>
      </c>
      <c r="H448" s="3">
        <f t="shared" si="110"/>
        <v>65.8</v>
      </c>
      <c r="I448" s="3"/>
      <c r="J448" s="3">
        <f t="shared" si="111"/>
        <v>99.23700708661417</v>
      </c>
      <c r="K448" s="3">
        <f t="shared" si="112"/>
        <v>101.96930708661418</v>
      </c>
      <c r="L448" s="34">
        <f t="shared" si="113"/>
        <v>100.71930708661418</v>
      </c>
      <c r="M448" s="3">
        <f t="shared" si="114"/>
        <v>-39.519999999999996</v>
      </c>
      <c r="N448" s="3">
        <f t="shared" si="115"/>
        <v>130.32</v>
      </c>
      <c r="O448" s="3"/>
      <c r="P448" s="3">
        <f t="shared" si="116"/>
        <v>147.51860157480314</v>
      </c>
      <c r="Q448" s="3">
        <f t="shared" si="117"/>
        <v>157.19381417322833</v>
      </c>
      <c r="R448" s="3">
        <f>vd(DataTable[[#This Row],[Sentido]],DataTable[[#This Row],[Valor]])</f>
        <v>157.17165354330709</v>
      </c>
      <c r="S448" s="3">
        <f>IF(DataTable[[#This Row],[Valor]]&gt;1,1,1)</f>
        <v>1</v>
      </c>
      <c r="T448" s="3">
        <f>IF(DataTable[[#This Row],[Valor]]&gt;1,1,1)</f>
        <v>1</v>
      </c>
      <c r="U448" s="3">
        <f>angr(DataTable[[#This Row],[Sentido]],DataTable[[#This Row],[Valor]])</f>
        <v>19.294488188976377</v>
      </c>
      <c r="V448" s="3">
        <f>ANGI(DataTable[[#This Row],[Sentido]],DataTable[[#This Row],[Valor]])</f>
        <v>25</v>
      </c>
      <c r="W448" s="3">
        <f t="shared" si="118"/>
        <v>3</v>
      </c>
      <c r="X448" s="3">
        <f>IF(DataTable[[#This Row],[Valor]]&gt;1,1,1)</f>
        <v>1</v>
      </c>
      <c r="Y448" s="3">
        <f t="shared" si="119"/>
        <v>3</v>
      </c>
      <c r="Z448" s="3">
        <f>IF(AND(DataTable[[#This Row],[Sentido]]="URUGUAI para BRASIL",DataTable[[#This Row],[Valor]]&gt;350),1,0)</f>
        <v>0</v>
      </c>
      <c r="AA448" s="3">
        <f>IF(DataTable[[#This Row],[Valor]]&gt;1,0,0)</f>
        <v>0</v>
      </c>
    </row>
    <row r="449" spans="1:27" x14ac:dyDescent="0.25">
      <c r="A449" s="2" t="s">
        <v>21</v>
      </c>
      <c r="B449" s="2">
        <v>497</v>
      </c>
      <c r="C449" s="3">
        <f t="shared" si="105"/>
        <v>98.291531496062987</v>
      </c>
      <c r="D449" s="3">
        <f t="shared" si="106"/>
        <v>102.04153149606299</v>
      </c>
      <c r="E449" s="3">
        <f t="shared" si="107"/>
        <v>100.79153149606299</v>
      </c>
      <c r="F449" s="3">
        <f t="shared" si="108"/>
        <v>15.36</v>
      </c>
      <c r="G449" s="3">
        <f t="shared" si="109"/>
        <v>65.599999999999994</v>
      </c>
      <c r="H449" s="3">
        <f t="shared" si="110"/>
        <v>65.599999999999994</v>
      </c>
      <c r="I449" s="3"/>
      <c r="J449" s="3">
        <f t="shared" si="111"/>
        <v>99.309231496062992</v>
      </c>
      <c r="K449" s="3">
        <f t="shared" si="112"/>
        <v>102.04153149606299</v>
      </c>
      <c r="L449" s="34">
        <f t="shared" si="113"/>
        <v>100.79153149606299</v>
      </c>
      <c r="M449" s="3">
        <f t="shared" si="114"/>
        <v>-39.64</v>
      </c>
      <c r="N449" s="3">
        <f t="shared" si="115"/>
        <v>130.24</v>
      </c>
      <c r="O449" s="3"/>
      <c r="P449" s="3">
        <f t="shared" si="116"/>
        <v>147.69831811023622</v>
      </c>
      <c r="Q449" s="3">
        <f t="shared" si="117"/>
        <v>157.29926299212599</v>
      </c>
      <c r="R449" s="3">
        <f>vd(DataTable[[#This Row],[Sentido]],DataTable[[#This Row],[Valor]])</f>
        <v>157.2740157480315</v>
      </c>
      <c r="S449" s="3">
        <f>IF(DataTable[[#This Row],[Valor]]&gt;1,1,1)</f>
        <v>1</v>
      </c>
      <c r="T449" s="3">
        <f>IF(DataTable[[#This Row],[Valor]]&gt;1,1,1)</f>
        <v>1</v>
      </c>
      <c r="U449" s="3">
        <f>angr(DataTable[[#This Row],[Sentido]],DataTable[[#This Row],[Valor]])</f>
        <v>19.286614173228347</v>
      </c>
      <c r="V449" s="3">
        <f>ANGI(DataTable[[#This Row],[Sentido]],DataTable[[#This Row],[Valor]])</f>
        <v>25</v>
      </c>
      <c r="W449" s="3">
        <f t="shared" si="118"/>
        <v>3</v>
      </c>
      <c r="X449" s="3">
        <f>IF(DataTable[[#This Row],[Valor]]&gt;1,1,1)</f>
        <v>1</v>
      </c>
      <c r="Y449" s="3">
        <f t="shared" si="119"/>
        <v>3</v>
      </c>
      <c r="Z449" s="3">
        <f>IF(AND(DataTable[[#This Row],[Sentido]]="URUGUAI para BRASIL",DataTable[[#This Row],[Valor]]&gt;350),1,0)</f>
        <v>0</v>
      </c>
      <c r="AA449" s="3">
        <f>IF(DataTable[[#This Row],[Valor]]&gt;1,0,0)</f>
        <v>0</v>
      </c>
    </row>
    <row r="450" spans="1:27" x14ac:dyDescent="0.25">
      <c r="A450" s="2" t="s">
        <v>21</v>
      </c>
      <c r="B450" s="2">
        <v>498</v>
      </c>
      <c r="C450" s="3">
        <f t="shared" si="105"/>
        <v>98.363755905511809</v>
      </c>
      <c r="D450" s="3">
        <f t="shared" si="106"/>
        <v>102.11375590551181</v>
      </c>
      <c r="E450" s="3">
        <f t="shared" si="107"/>
        <v>100.86375590551181</v>
      </c>
      <c r="F450" s="3">
        <f t="shared" si="108"/>
        <v>15.240000000000002</v>
      </c>
      <c r="G450" s="3">
        <f t="shared" si="109"/>
        <v>65.399999999999991</v>
      </c>
      <c r="H450" s="3">
        <f t="shared" si="110"/>
        <v>65.399999999999991</v>
      </c>
      <c r="I450" s="3"/>
      <c r="J450" s="3">
        <f t="shared" si="111"/>
        <v>99.381455905511814</v>
      </c>
      <c r="K450" s="3">
        <f t="shared" si="112"/>
        <v>102.11375590551181</v>
      </c>
      <c r="L450" s="34">
        <f t="shared" si="113"/>
        <v>100.86375590551181</v>
      </c>
      <c r="M450" s="3">
        <f t="shared" si="114"/>
        <v>-39.76</v>
      </c>
      <c r="N450" s="3">
        <f t="shared" si="115"/>
        <v>130.16</v>
      </c>
      <c r="O450" s="3"/>
      <c r="P450" s="3">
        <f t="shared" si="116"/>
        <v>147.87803464566929</v>
      </c>
      <c r="Q450" s="3">
        <f t="shared" si="117"/>
        <v>157.40471181102362</v>
      </c>
      <c r="R450" s="3">
        <f>vd(DataTable[[#This Row],[Sentido]],DataTable[[#This Row],[Valor]])</f>
        <v>157.37637795275592</v>
      </c>
      <c r="S450" s="3">
        <f>IF(DataTable[[#This Row],[Valor]]&gt;1,1,1)</f>
        <v>1</v>
      </c>
      <c r="T450" s="3">
        <f>IF(DataTable[[#This Row],[Valor]]&gt;1,1,1)</f>
        <v>1</v>
      </c>
      <c r="U450" s="3">
        <f>angr(DataTable[[#This Row],[Sentido]],DataTable[[#This Row],[Valor]])</f>
        <v>19.278740157480314</v>
      </c>
      <c r="V450" s="3">
        <f>ANGI(DataTable[[#This Row],[Sentido]],DataTable[[#This Row],[Valor]])</f>
        <v>25</v>
      </c>
      <c r="W450" s="3">
        <f t="shared" si="118"/>
        <v>3</v>
      </c>
      <c r="X450" s="3">
        <f>IF(DataTable[[#This Row],[Valor]]&gt;1,1,1)</f>
        <v>1</v>
      </c>
      <c r="Y450" s="3">
        <f t="shared" si="119"/>
        <v>3</v>
      </c>
      <c r="Z450" s="3">
        <f>IF(AND(DataTable[[#This Row],[Sentido]]="URUGUAI para BRASIL",DataTable[[#This Row],[Valor]]&gt;350),1,0)</f>
        <v>0</v>
      </c>
      <c r="AA450" s="3">
        <f>IF(DataTable[[#This Row],[Valor]]&gt;1,0,0)</f>
        <v>0</v>
      </c>
    </row>
    <row r="451" spans="1:27" x14ac:dyDescent="0.25">
      <c r="A451" s="2" t="s">
        <v>21</v>
      </c>
      <c r="B451" s="2">
        <v>499</v>
      </c>
      <c r="C451" s="3">
        <f t="shared" si="105"/>
        <v>98.435980314960631</v>
      </c>
      <c r="D451" s="3">
        <f t="shared" si="106"/>
        <v>102.18598031496063</v>
      </c>
      <c r="E451" s="3">
        <f t="shared" si="107"/>
        <v>100.93598031496063</v>
      </c>
      <c r="F451" s="3">
        <f t="shared" si="108"/>
        <v>15.120000000000005</v>
      </c>
      <c r="G451" s="3">
        <f t="shared" si="109"/>
        <v>65.2</v>
      </c>
      <c r="H451" s="3">
        <f t="shared" si="110"/>
        <v>65.2</v>
      </c>
      <c r="I451" s="3"/>
      <c r="J451" s="3">
        <f t="shared" si="111"/>
        <v>99.453680314960636</v>
      </c>
      <c r="K451" s="3">
        <f t="shared" si="112"/>
        <v>102.18598031496063</v>
      </c>
      <c r="L451" s="34">
        <f t="shared" si="113"/>
        <v>100.93598031496063</v>
      </c>
      <c r="M451" s="3">
        <f t="shared" si="114"/>
        <v>-39.879999999999995</v>
      </c>
      <c r="N451" s="3">
        <f t="shared" si="115"/>
        <v>130.08000000000001</v>
      </c>
      <c r="O451" s="3"/>
      <c r="P451" s="3">
        <f t="shared" si="116"/>
        <v>148.05775118110236</v>
      </c>
      <c r="Q451" s="3">
        <f t="shared" si="117"/>
        <v>157.51016062992124</v>
      </c>
      <c r="R451" s="3">
        <f>vd(DataTable[[#This Row],[Sentido]],DataTable[[#This Row],[Valor]])</f>
        <v>157.47874015748033</v>
      </c>
      <c r="S451" s="3">
        <f>IF(DataTable[[#This Row],[Valor]]&gt;1,1,1)</f>
        <v>1</v>
      </c>
      <c r="T451" s="3">
        <f>IF(DataTable[[#This Row],[Valor]]&gt;1,1,1)</f>
        <v>1</v>
      </c>
      <c r="U451" s="3">
        <f>angr(DataTable[[#This Row],[Sentido]],DataTable[[#This Row],[Valor]])</f>
        <v>19.270866141732281</v>
      </c>
      <c r="V451" s="3">
        <f>ANGI(DataTable[[#This Row],[Sentido]],DataTable[[#This Row],[Valor]])</f>
        <v>25</v>
      </c>
      <c r="W451" s="3">
        <f t="shared" si="118"/>
        <v>3</v>
      </c>
      <c r="X451" s="3">
        <f>IF(DataTable[[#This Row],[Valor]]&gt;1,1,1)</f>
        <v>1</v>
      </c>
      <c r="Y451" s="3">
        <f t="shared" si="119"/>
        <v>3</v>
      </c>
      <c r="Z451" s="3">
        <f>IF(AND(DataTable[[#This Row],[Sentido]]="URUGUAI para BRASIL",DataTable[[#This Row],[Valor]]&gt;350),1,0)</f>
        <v>0</v>
      </c>
      <c r="AA451" s="3">
        <f>IF(DataTable[[#This Row],[Valor]]&gt;1,0,0)</f>
        <v>0</v>
      </c>
    </row>
    <row r="452" spans="1:27" x14ac:dyDescent="0.25">
      <c r="A452" s="2" t="s">
        <v>21</v>
      </c>
      <c r="B452" s="2">
        <v>500</v>
      </c>
      <c r="C452" s="3">
        <f t="shared" si="105"/>
        <v>98.508204724409453</v>
      </c>
      <c r="D452" s="3">
        <f t="shared" si="106"/>
        <v>102.25820472440945</v>
      </c>
      <c r="E452" s="3">
        <f t="shared" si="107"/>
        <v>101.00820472440945</v>
      </c>
      <c r="F452" s="3">
        <f t="shared" si="108"/>
        <v>15</v>
      </c>
      <c r="G452" s="3">
        <f t="shared" si="109"/>
        <v>65</v>
      </c>
      <c r="H452" s="3">
        <f t="shared" si="110"/>
        <v>65</v>
      </c>
      <c r="I452" s="3"/>
      <c r="J452" s="3">
        <f t="shared" si="111"/>
        <v>99.525904724409457</v>
      </c>
      <c r="K452" s="3">
        <f t="shared" si="112"/>
        <v>102.25820472440945</v>
      </c>
      <c r="L452" s="34">
        <f t="shared" si="113"/>
        <v>101.00820472440945</v>
      </c>
      <c r="M452" s="3">
        <f t="shared" si="114"/>
        <v>-40</v>
      </c>
      <c r="N452" s="3">
        <f t="shared" si="115"/>
        <v>130</v>
      </c>
      <c r="O452" s="3"/>
      <c r="P452" s="3">
        <f t="shared" si="116"/>
        <v>148.23746771653543</v>
      </c>
      <c r="Q452" s="3">
        <f t="shared" si="117"/>
        <v>157.6156094488189</v>
      </c>
      <c r="R452" s="3">
        <f>vd(DataTable[[#This Row],[Sentido]],DataTable[[#This Row],[Valor]])</f>
        <v>157.58110236220475</v>
      </c>
      <c r="S452" s="3">
        <f>IF(DataTable[[#This Row],[Valor]]&gt;1,1,1)</f>
        <v>1</v>
      </c>
      <c r="T452" s="3">
        <f>IF(DataTable[[#This Row],[Valor]]&gt;1,1,1)</f>
        <v>1</v>
      </c>
      <c r="U452" s="3">
        <f>angr(DataTable[[#This Row],[Sentido]],DataTable[[#This Row],[Valor]])</f>
        <v>19.262992125984251</v>
      </c>
      <c r="V452" s="3">
        <f>ANGI(DataTable[[#This Row],[Sentido]],DataTable[[#This Row],[Valor]])</f>
        <v>25</v>
      </c>
      <c r="W452" s="3">
        <f t="shared" si="118"/>
        <v>3</v>
      </c>
      <c r="X452" s="3">
        <f>IF(DataTable[[#This Row],[Valor]]&gt;1,1,1)</f>
        <v>1</v>
      </c>
      <c r="Y452" s="3">
        <f t="shared" si="119"/>
        <v>3</v>
      </c>
      <c r="Z452" s="3">
        <f>IF(AND(DataTable[[#This Row],[Sentido]]="URUGUAI para BRASIL",DataTable[[#This Row],[Valor]]&gt;350),1,0)</f>
        <v>0</v>
      </c>
      <c r="AA452" s="3">
        <f>IF(DataTable[[#This Row],[Valor]]&gt;1,0,0)</f>
        <v>0</v>
      </c>
    </row>
    <row r="453" spans="1:27" x14ac:dyDescent="0.25">
      <c r="A453" s="2" t="s">
        <v>21</v>
      </c>
      <c r="B453" s="2">
        <v>501</v>
      </c>
      <c r="C453" s="3">
        <f t="shared" ref="C453:C516" si="120">MiniVWVB(A453,B453,E453)</f>
        <v>98.580429133858274</v>
      </c>
      <c r="D453" s="3">
        <f t="shared" ref="D453:D516" si="121">MaxVWV(A453,B453)</f>
        <v>102.33042913385827</v>
      </c>
      <c r="E453" s="3">
        <f t="shared" ref="E453:E516" si="122">RatedVWV(B453)</f>
        <v>101.08042913385827</v>
      </c>
      <c r="F453" s="3">
        <f t="shared" ref="F453:F516" si="123">MinQB(A453,B453)</f>
        <v>14.880000000000003</v>
      </c>
      <c r="G453" s="3">
        <f t="shared" ref="G453:G516" si="124">MaxQB3F(A453,B453)</f>
        <v>64.8</v>
      </c>
      <c r="H453" s="3">
        <f t="shared" ref="H453:H516" si="125">MaxQB4F(A453,B453)</f>
        <v>64.8</v>
      </c>
      <c r="I453" s="3"/>
      <c r="J453" s="3">
        <f t="shared" ref="J453:J516" si="126">MiniVWVU(A453,B453,L453)</f>
        <v>99.598129133858265</v>
      </c>
      <c r="K453" s="3">
        <f t="shared" ref="K453:K516" si="127">MaxVWV(A453,B453)</f>
        <v>102.33042913385827</v>
      </c>
      <c r="L453" s="34">
        <f t="shared" ref="L453:L516" si="128">RatedVWV(B453)</f>
        <v>101.08042913385827</v>
      </c>
      <c r="M453" s="3">
        <f t="shared" ref="M453:M516" si="129">MinQU(A453,B453)</f>
        <v>-40.119999999999997</v>
      </c>
      <c r="N453" s="3">
        <f t="shared" ref="N453:N516" si="130">MaxQU(A453,B453)</f>
        <v>129.91999999999999</v>
      </c>
      <c r="O453" s="3"/>
      <c r="P453" s="3">
        <f t="shared" ref="P453:P516" si="131">MiniUpper(A453,B453)</f>
        <v>148.41718425196851</v>
      </c>
      <c r="Q453" s="3">
        <f t="shared" ref="Q453:Q516" si="132">MaxUpper(A453,B453)</f>
        <v>157.72105826771653</v>
      </c>
      <c r="R453" s="3">
        <f>vd(DataTable[[#This Row],[Sentido]],DataTable[[#This Row],[Valor]])</f>
        <v>157.68346456692913</v>
      </c>
      <c r="S453" s="3">
        <f>IF(DataTable[[#This Row],[Valor]]&gt;1,1,1)</f>
        <v>1</v>
      </c>
      <c r="T453" s="3">
        <f>IF(DataTable[[#This Row],[Valor]]&gt;1,1,1)</f>
        <v>1</v>
      </c>
      <c r="U453" s="3">
        <f>angr(DataTable[[#This Row],[Sentido]],DataTable[[#This Row],[Valor]])</f>
        <v>19.255118110236218</v>
      </c>
      <c r="V453" s="3">
        <f>ANGI(DataTable[[#This Row],[Sentido]],DataTable[[#This Row],[Valor]])</f>
        <v>25</v>
      </c>
      <c r="W453" s="3">
        <f t="shared" ref="W453:W516" si="133">IF(A454="URUGUAI para BRASIL",IF(B453&gt;119,IF(B453&gt;240,3,2),1),IF(B453&gt;120,IF(B453&gt;240,3,2),1))</f>
        <v>3</v>
      </c>
      <c r="X453" s="3">
        <f>IF(DataTable[[#This Row],[Valor]]&gt;1,1,1)</f>
        <v>1</v>
      </c>
      <c r="Y453" s="3">
        <f t="shared" ref="Y453:Y516" si="134">IF(A454="URUGUAI para BRASIL",IF(B453&gt;119,IF(B453&gt;240,3,2),1),IF(B453&gt;120,IF(B453&gt;240,3,2),1))</f>
        <v>3</v>
      </c>
      <c r="Z453" s="3">
        <f>IF(AND(DataTable[[#This Row],[Sentido]]="URUGUAI para BRASIL",DataTable[[#This Row],[Valor]]&gt;350),1,0)</f>
        <v>0</v>
      </c>
      <c r="AA453" s="3">
        <f>IF(DataTable[[#This Row],[Valor]]&gt;1,0,0)</f>
        <v>0</v>
      </c>
    </row>
    <row r="454" spans="1:27" x14ac:dyDescent="0.25">
      <c r="A454" s="2" t="s">
        <v>21</v>
      </c>
      <c r="B454" s="2">
        <v>502</v>
      </c>
      <c r="C454" s="3">
        <f t="shared" si="120"/>
        <v>98.652653543307082</v>
      </c>
      <c r="D454" s="3">
        <f t="shared" si="121"/>
        <v>102.40265354330708</v>
      </c>
      <c r="E454" s="3">
        <f t="shared" si="122"/>
        <v>101.15265354330708</v>
      </c>
      <c r="F454" s="3">
        <f t="shared" si="123"/>
        <v>14.759999999999998</v>
      </c>
      <c r="G454" s="3">
        <f t="shared" si="124"/>
        <v>64.599999999999994</v>
      </c>
      <c r="H454" s="3">
        <f t="shared" si="125"/>
        <v>64.599999999999994</v>
      </c>
      <c r="I454" s="3"/>
      <c r="J454" s="3">
        <f t="shared" si="126"/>
        <v>99.670353543307087</v>
      </c>
      <c r="K454" s="3">
        <f t="shared" si="127"/>
        <v>102.40265354330708</v>
      </c>
      <c r="L454" s="34">
        <f t="shared" si="128"/>
        <v>101.15265354330708</v>
      </c>
      <c r="M454" s="3">
        <f t="shared" si="129"/>
        <v>-40.24</v>
      </c>
      <c r="N454" s="3">
        <f t="shared" si="130"/>
        <v>129.84</v>
      </c>
      <c r="O454" s="3"/>
      <c r="P454" s="3">
        <f t="shared" si="131"/>
        <v>148.59690078740158</v>
      </c>
      <c r="Q454" s="3">
        <f t="shared" si="132"/>
        <v>157.82650708661419</v>
      </c>
      <c r="R454" s="3">
        <f>vd(DataTable[[#This Row],[Sentido]],DataTable[[#This Row],[Valor]])</f>
        <v>157.78582677165355</v>
      </c>
      <c r="S454" s="3">
        <f>IF(DataTable[[#This Row],[Valor]]&gt;1,1,1)</f>
        <v>1</v>
      </c>
      <c r="T454" s="3">
        <f>IF(DataTable[[#This Row],[Valor]]&gt;1,1,1)</f>
        <v>1</v>
      </c>
      <c r="U454" s="3">
        <f>angr(DataTable[[#This Row],[Sentido]],DataTable[[#This Row],[Valor]])</f>
        <v>19.247244094488188</v>
      </c>
      <c r="V454" s="3">
        <f>ANGI(DataTable[[#This Row],[Sentido]],DataTable[[#This Row],[Valor]])</f>
        <v>25</v>
      </c>
      <c r="W454" s="3">
        <f t="shared" si="133"/>
        <v>3</v>
      </c>
      <c r="X454" s="3">
        <f>IF(DataTable[[#This Row],[Valor]]&gt;1,1,1)</f>
        <v>1</v>
      </c>
      <c r="Y454" s="3">
        <f t="shared" si="134"/>
        <v>3</v>
      </c>
      <c r="Z454" s="3">
        <f>IF(AND(DataTable[[#This Row],[Sentido]]="URUGUAI para BRASIL",DataTable[[#This Row],[Valor]]&gt;350),1,0)</f>
        <v>0</v>
      </c>
      <c r="AA454" s="3">
        <f>IF(DataTable[[#This Row],[Valor]]&gt;1,0,0)</f>
        <v>0</v>
      </c>
    </row>
    <row r="455" spans="1:27" x14ac:dyDescent="0.25">
      <c r="A455" s="2" t="s">
        <v>21</v>
      </c>
      <c r="B455" s="2">
        <v>503</v>
      </c>
      <c r="C455" s="3">
        <f t="shared" si="120"/>
        <v>98.724877952755904</v>
      </c>
      <c r="D455" s="3">
        <f t="shared" si="121"/>
        <v>102.4748779527559</v>
      </c>
      <c r="E455" s="3">
        <f t="shared" si="122"/>
        <v>101.2248779527559</v>
      </c>
      <c r="F455" s="3">
        <f t="shared" si="123"/>
        <v>14.64</v>
      </c>
      <c r="G455" s="3">
        <f t="shared" si="124"/>
        <v>64.399999999999991</v>
      </c>
      <c r="H455" s="3">
        <f t="shared" si="125"/>
        <v>64.399999999999991</v>
      </c>
      <c r="I455" s="3"/>
      <c r="J455" s="3">
        <f t="shared" si="126"/>
        <v>99.742577952755909</v>
      </c>
      <c r="K455" s="3">
        <f t="shared" si="127"/>
        <v>102.4748779527559</v>
      </c>
      <c r="L455" s="34">
        <f t="shared" si="128"/>
        <v>101.2248779527559</v>
      </c>
      <c r="M455" s="3">
        <f t="shared" si="129"/>
        <v>-40.36</v>
      </c>
      <c r="N455" s="3">
        <f t="shared" si="130"/>
        <v>129.76</v>
      </c>
      <c r="O455" s="3"/>
      <c r="P455" s="3">
        <f t="shared" si="131"/>
        <v>148.77661732283462</v>
      </c>
      <c r="Q455" s="3">
        <f t="shared" si="132"/>
        <v>157.93195590551181</v>
      </c>
      <c r="R455" s="3">
        <f>vd(DataTable[[#This Row],[Sentido]],DataTable[[#This Row],[Valor]])</f>
        <v>157.88818897637796</v>
      </c>
      <c r="S455" s="3">
        <f>IF(DataTable[[#This Row],[Valor]]&gt;1,1,1)</f>
        <v>1</v>
      </c>
      <c r="T455" s="3">
        <f>IF(DataTable[[#This Row],[Valor]]&gt;1,1,1)</f>
        <v>1</v>
      </c>
      <c r="U455" s="3">
        <f>angr(DataTable[[#This Row],[Sentido]],DataTable[[#This Row],[Valor]])</f>
        <v>19.239370078740158</v>
      </c>
      <c r="V455" s="3">
        <f>ANGI(DataTable[[#This Row],[Sentido]],DataTable[[#This Row],[Valor]])</f>
        <v>25</v>
      </c>
      <c r="W455" s="3">
        <f t="shared" si="133"/>
        <v>3</v>
      </c>
      <c r="X455" s="3">
        <f>IF(DataTable[[#This Row],[Valor]]&gt;1,1,1)</f>
        <v>1</v>
      </c>
      <c r="Y455" s="3">
        <f t="shared" si="134"/>
        <v>3</v>
      </c>
      <c r="Z455" s="3">
        <f>IF(AND(DataTable[[#This Row],[Sentido]]="URUGUAI para BRASIL",DataTable[[#This Row],[Valor]]&gt;350),1,0)</f>
        <v>0</v>
      </c>
      <c r="AA455" s="3">
        <f>IF(DataTable[[#This Row],[Valor]]&gt;1,0,0)</f>
        <v>0</v>
      </c>
    </row>
    <row r="456" spans="1:27" x14ac:dyDescent="0.25">
      <c r="A456" s="2" t="s">
        <v>21</v>
      </c>
      <c r="B456" s="2">
        <v>504</v>
      </c>
      <c r="C456" s="3">
        <f t="shared" si="120"/>
        <v>98.797102362204726</v>
      </c>
      <c r="D456" s="3">
        <f t="shared" si="121"/>
        <v>102.54710236220473</v>
      </c>
      <c r="E456" s="3">
        <f t="shared" si="122"/>
        <v>101.29710236220473</v>
      </c>
      <c r="F456" s="3">
        <f t="shared" si="123"/>
        <v>14.520000000000003</v>
      </c>
      <c r="G456" s="3">
        <f t="shared" si="124"/>
        <v>64.2</v>
      </c>
      <c r="H456" s="3">
        <f t="shared" si="125"/>
        <v>64.2</v>
      </c>
      <c r="I456" s="3"/>
      <c r="J456" s="3">
        <f t="shared" si="126"/>
        <v>99.81480236220473</v>
      </c>
      <c r="K456" s="3">
        <f t="shared" si="127"/>
        <v>102.54710236220473</v>
      </c>
      <c r="L456" s="34">
        <f t="shared" si="128"/>
        <v>101.29710236220473</v>
      </c>
      <c r="M456" s="3">
        <f t="shared" si="129"/>
        <v>-40.479999999999997</v>
      </c>
      <c r="N456" s="3">
        <f t="shared" si="130"/>
        <v>129.68</v>
      </c>
      <c r="O456" s="3"/>
      <c r="P456" s="3">
        <f t="shared" si="131"/>
        <v>148.9563338582677</v>
      </c>
      <c r="Q456" s="3">
        <f t="shared" si="132"/>
        <v>158.03740472440944</v>
      </c>
      <c r="R456" s="3">
        <f>vd(DataTable[[#This Row],[Sentido]],DataTable[[#This Row],[Valor]])</f>
        <v>157.99055118110238</v>
      </c>
      <c r="S456" s="3">
        <f>IF(DataTable[[#This Row],[Valor]]&gt;1,1,1)</f>
        <v>1</v>
      </c>
      <c r="T456" s="3">
        <f>IF(DataTable[[#This Row],[Valor]]&gt;1,1,1)</f>
        <v>1</v>
      </c>
      <c r="U456" s="3">
        <f>angr(DataTable[[#This Row],[Sentido]],DataTable[[#This Row],[Valor]])</f>
        <v>19.231496062992125</v>
      </c>
      <c r="V456" s="3">
        <f>ANGI(DataTable[[#This Row],[Sentido]],DataTable[[#This Row],[Valor]])</f>
        <v>25</v>
      </c>
      <c r="W456" s="3">
        <f t="shared" si="133"/>
        <v>3</v>
      </c>
      <c r="X456" s="3">
        <f>IF(DataTable[[#This Row],[Valor]]&gt;1,1,1)</f>
        <v>1</v>
      </c>
      <c r="Y456" s="3">
        <f t="shared" si="134"/>
        <v>3</v>
      </c>
      <c r="Z456" s="3">
        <f>IF(AND(DataTable[[#This Row],[Sentido]]="URUGUAI para BRASIL",DataTable[[#This Row],[Valor]]&gt;350),1,0)</f>
        <v>0</v>
      </c>
      <c r="AA456" s="3">
        <f>IF(DataTable[[#This Row],[Valor]]&gt;1,0,0)</f>
        <v>0</v>
      </c>
    </row>
    <row r="457" spans="1:27" x14ac:dyDescent="0.25">
      <c r="A457" s="2" t="s">
        <v>21</v>
      </c>
      <c r="B457" s="2">
        <v>505</v>
      </c>
      <c r="C457" s="3">
        <f t="shared" si="120"/>
        <v>98.869326771653547</v>
      </c>
      <c r="D457" s="3">
        <f t="shared" si="121"/>
        <v>102.61932677165355</v>
      </c>
      <c r="E457" s="3">
        <f t="shared" si="122"/>
        <v>101.36932677165355</v>
      </c>
      <c r="F457" s="3">
        <f t="shared" si="123"/>
        <v>14.399999999999999</v>
      </c>
      <c r="G457" s="3">
        <f t="shared" si="124"/>
        <v>64</v>
      </c>
      <c r="H457" s="3">
        <f t="shared" si="125"/>
        <v>64</v>
      </c>
      <c r="I457" s="3"/>
      <c r="J457" s="3">
        <f t="shared" si="126"/>
        <v>99.887026771653552</v>
      </c>
      <c r="K457" s="3">
        <f t="shared" si="127"/>
        <v>102.61932677165355</v>
      </c>
      <c r="L457" s="34">
        <f t="shared" si="128"/>
        <v>101.36932677165355</v>
      </c>
      <c r="M457" s="3">
        <f t="shared" si="129"/>
        <v>-40.6</v>
      </c>
      <c r="N457" s="3">
        <f t="shared" si="130"/>
        <v>129.6</v>
      </c>
      <c r="O457" s="3"/>
      <c r="P457" s="3">
        <f t="shared" si="131"/>
        <v>149.1360503937008</v>
      </c>
      <c r="Q457" s="3">
        <f t="shared" si="132"/>
        <v>158.1428535433071</v>
      </c>
      <c r="R457" s="3">
        <f>vd(DataTable[[#This Row],[Sentido]],DataTable[[#This Row],[Valor]])</f>
        <v>158.09291338582679</v>
      </c>
      <c r="S457" s="3">
        <f>IF(DataTable[[#This Row],[Valor]]&gt;1,1,1)</f>
        <v>1</v>
      </c>
      <c r="T457" s="3">
        <f>IF(DataTable[[#This Row],[Valor]]&gt;1,1,1)</f>
        <v>1</v>
      </c>
      <c r="U457" s="3">
        <f>angr(DataTable[[#This Row],[Sentido]],DataTable[[#This Row],[Valor]])</f>
        <v>19.223622047244092</v>
      </c>
      <c r="V457" s="3">
        <f>ANGI(DataTable[[#This Row],[Sentido]],DataTable[[#This Row],[Valor]])</f>
        <v>25</v>
      </c>
      <c r="W457" s="3">
        <f t="shared" si="133"/>
        <v>3</v>
      </c>
      <c r="X457" s="3">
        <f>IF(DataTable[[#This Row],[Valor]]&gt;1,1,1)</f>
        <v>1</v>
      </c>
      <c r="Y457" s="3">
        <f t="shared" si="134"/>
        <v>3</v>
      </c>
      <c r="Z457" s="3">
        <f>IF(AND(DataTable[[#This Row],[Sentido]]="URUGUAI para BRASIL",DataTable[[#This Row],[Valor]]&gt;350),1,0)</f>
        <v>0</v>
      </c>
      <c r="AA457" s="3">
        <f>IF(DataTable[[#This Row],[Valor]]&gt;1,0,0)</f>
        <v>0</v>
      </c>
    </row>
    <row r="458" spans="1:27" x14ac:dyDescent="0.25">
      <c r="A458" s="2" t="s">
        <v>21</v>
      </c>
      <c r="B458" s="2">
        <v>506</v>
      </c>
      <c r="C458" s="3">
        <f t="shared" si="120"/>
        <v>98.941551181102369</v>
      </c>
      <c r="D458" s="3">
        <f t="shared" si="121"/>
        <v>102.69155118110237</v>
      </c>
      <c r="E458" s="3">
        <f t="shared" si="122"/>
        <v>101.44155118110237</v>
      </c>
      <c r="F458" s="3">
        <f t="shared" si="123"/>
        <v>14.280000000000001</v>
      </c>
      <c r="G458" s="3">
        <f t="shared" si="124"/>
        <v>63.8</v>
      </c>
      <c r="H458" s="3">
        <f t="shared" si="125"/>
        <v>63.8</v>
      </c>
      <c r="I458" s="3"/>
      <c r="J458" s="3">
        <f t="shared" si="126"/>
        <v>99.95925118110236</v>
      </c>
      <c r="K458" s="3">
        <f t="shared" si="127"/>
        <v>102.69155118110237</v>
      </c>
      <c r="L458" s="34">
        <f t="shared" si="128"/>
        <v>101.44155118110237</v>
      </c>
      <c r="M458" s="3">
        <f t="shared" si="129"/>
        <v>-40.72</v>
      </c>
      <c r="N458" s="3">
        <f t="shared" si="130"/>
        <v>129.52000000000001</v>
      </c>
      <c r="O458" s="3"/>
      <c r="P458" s="3">
        <f t="shared" si="131"/>
        <v>149.31576692913387</v>
      </c>
      <c r="Q458" s="3">
        <f t="shared" si="132"/>
        <v>158.24830236220473</v>
      </c>
      <c r="R458" s="3">
        <f>vd(DataTable[[#This Row],[Sentido]],DataTable[[#This Row],[Valor]])</f>
        <v>158.19527559055118</v>
      </c>
      <c r="S458" s="3">
        <f>IF(DataTable[[#This Row],[Valor]]&gt;1,1,1)</f>
        <v>1</v>
      </c>
      <c r="T458" s="3">
        <f>IF(DataTable[[#This Row],[Valor]]&gt;1,1,1)</f>
        <v>1</v>
      </c>
      <c r="U458" s="3">
        <f>angr(DataTable[[#This Row],[Sentido]],DataTable[[#This Row],[Valor]])</f>
        <v>19.215748031496062</v>
      </c>
      <c r="V458" s="3">
        <f>ANGI(DataTable[[#This Row],[Sentido]],DataTable[[#This Row],[Valor]])</f>
        <v>25</v>
      </c>
      <c r="W458" s="3">
        <f t="shared" si="133"/>
        <v>3</v>
      </c>
      <c r="X458" s="3">
        <f>IF(DataTable[[#This Row],[Valor]]&gt;1,1,1)</f>
        <v>1</v>
      </c>
      <c r="Y458" s="3">
        <f t="shared" si="134"/>
        <v>3</v>
      </c>
      <c r="Z458" s="3">
        <f>IF(AND(DataTable[[#This Row],[Sentido]]="URUGUAI para BRASIL",DataTable[[#This Row],[Valor]]&gt;350),1,0)</f>
        <v>0</v>
      </c>
      <c r="AA458" s="3">
        <f>IF(DataTable[[#This Row],[Valor]]&gt;1,0,0)</f>
        <v>0</v>
      </c>
    </row>
    <row r="459" spans="1:27" x14ac:dyDescent="0.25">
      <c r="A459" s="2" t="s">
        <v>21</v>
      </c>
      <c r="B459" s="2">
        <v>507</v>
      </c>
      <c r="C459" s="3">
        <f t="shared" si="120"/>
        <v>99.013775590551177</v>
      </c>
      <c r="D459" s="3">
        <f t="shared" si="121"/>
        <v>102.76377559055118</v>
      </c>
      <c r="E459" s="3">
        <f t="shared" si="122"/>
        <v>101.51377559055118</v>
      </c>
      <c r="F459" s="3">
        <f t="shared" si="123"/>
        <v>14.160000000000004</v>
      </c>
      <c r="G459" s="3">
        <f t="shared" si="124"/>
        <v>63.599999999999994</v>
      </c>
      <c r="H459" s="3">
        <f t="shared" si="125"/>
        <v>63.599999999999994</v>
      </c>
      <c r="I459" s="3"/>
      <c r="J459" s="3">
        <f t="shared" si="126"/>
        <v>100.03147559055118</v>
      </c>
      <c r="K459" s="3">
        <f t="shared" si="127"/>
        <v>102.76377559055118</v>
      </c>
      <c r="L459" s="34">
        <f t="shared" si="128"/>
        <v>101.51377559055118</v>
      </c>
      <c r="M459" s="3">
        <f t="shared" si="129"/>
        <v>-40.839999999999996</v>
      </c>
      <c r="N459" s="3">
        <f t="shared" si="130"/>
        <v>129.44</v>
      </c>
      <c r="O459" s="3"/>
      <c r="P459" s="3">
        <f t="shared" si="131"/>
        <v>149.49548346456692</v>
      </c>
      <c r="Q459" s="3">
        <f t="shared" si="132"/>
        <v>158.35375118110238</v>
      </c>
      <c r="R459" s="3">
        <f>vd(DataTable[[#This Row],[Sentido]],DataTable[[#This Row],[Valor]])</f>
        <v>158.29763779527559</v>
      </c>
      <c r="S459" s="3">
        <f>IF(DataTable[[#This Row],[Valor]]&gt;1,1,1)</f>
        <v>1</v>
      </c>
      <c r="T459" s="3">
        <f>IF(DataTable[[#This Row],[Valor]]&gt;1,1,1)</f>
        <v>1</v>
      </c>
      <c r="U459" s="3">
        <f>angr(DataTable[[#This Row],[Sentido]],DataTable[[#This Row],[Valor]])</f>
        <v>19.207874015748029</v>
      </c>
      <c r="V459" s="3">
        <f>ANGI(DataTable[[#This Row],[Sentido]],DataTable[[#This Row],[Valor]])</f>
        <v>25</v>
      </c>
      <c r="W459" s="3">
        <f t="shared" si="133"/>
        <v>3</v>
      </c>
      <c r="X459" s="3">
        <f>IF(DataTable[[#This Row],[Valor]]&gt;1,1,1)</f>
        <v>1</v>
      </c>
      <c r="Y459" s="3">
        <f t="shared" si="134"/>
        <v>3</v>
      </c>
      <c r="Z459" s="3">
        <f>IF(AND(DataTable[[#This Row],[Sentido]]="URUGUAI para BRASIL",DataTable[[#This Row],[Valor]]&gt;350),1,0)</f>
        <v>0</v>
      </c>
      <c r="AA459" s="3">
        <f>IF(DataTable[[#This Row],[Valor]]&gt;1,0,0)</f>
        <v>0</v>
      </c>
    </row>
    <row r="460" spans="1:27" x14ac:dyDescent="0.25">
      <c r="A460" s="2" t="s">
        <v>21</v>
      </c>
      <c r="B460" s="2">
        <v>508</v>
      </c>
      <c r="C460" s="3">
        <f t="shared" si="120"/>
        <v>99.085999999999999</v>
      </c>
      <c r="D460" s="3">
        <f t="shared" si="121"/>
        <v>102.836</v>
      </c>
      <c r="E460" s="3">
        <f t="shared" si="122"/>
        <v>101.586</v>
      </c>
      <c r="F460" s="3">
        <f t="shared" si="123"/>
        <v>14.04</v>
      </c>
      <c r="G460" s="3">
        <f t="shared" si="124"/>
        <v>63.4</v>
      </c>
      <c r="H460" s="3">
        <f t="shared" si="125"/>
        <v>63.4</v>
      </c>
      <c r="I460" s="3"/>
      <c r="J460" s="3">
        <f t="shared" si="126"/>
        <v>100.1037</v>
      </c>
      <c r="K460" s="3">
        <f t="shared" si="127"/>
        <v>102.836</v>
      </c>
      <c r="L460" s="34">
        <f t="shared" si="128"/>
        <v>101.586</v>
      </c>
      <c r="M460" s="3">
        <f t="shared" si="129"/>
        <v>-40.96</v>
      </c>
      <c r="N460" s="3">
        <f t="shared" si="130"/>
        <v>129.36000000000001</v>
      </c>
      <c r="O460" s="3"/>
      <c r="P460" s="3">
        <f t="shared" si="131"/>
        <v>149.67519999999999</v>
      </c>
      <c r="Q460" s="3">
        <f t="shared" si="132"/>
        <v>158.45920000000001</v>
      </c>
      <c r="R460" s="3">
        <f>vd(DataTable[[#This Row],[Sentido]],DataTable[[#This Row],[Valor]])</f>
        <v>158.4</v>
      </c>
      <c r="S460" s="3">
        <f>IF(DataTable[[#This Row],[Valor]]&gt;1,1,1)</f>
        <v>1</v>
      </c>
      <c r="T460" s="3">
        <f>IF(DataTable[[#This Row],[Valor]]&gt;1,1,1)</f>
        <v>1</v>
      </c>
      <c r="U460" s="3">
        <f>angr(DataTable[[#This Row],[Sentido]],DataTable[[#This Row],[Valor]])</f>
        <v>19.2</v>
      </c>
      <c r="V460" s="3">
        <f>ANGI(DataTable[[#This Row],[Sentido]],DataTable[[#This Row],[Valor]])</f>
        <v>25</v>
      </c>
      <c r="W460" s="3">
        <f t="shared" si="133"/>
        <v>3</v>
      </c>
      <c r="X460" s="3">
        <f>IF(DataTable[[#This Row],[Valor]]&gt;1,1,1)</f>
        <v>1</v>
      </c>
      <c r="Y460" s="3">
        <f t="shared" si="134"/>
        <v>3</v>
      </c>
      <c r="Z460" s="3">
        <f>IF(AND(DataTable[[#This Row],[Sentido]]="URUGUAI para BRASIL",DataTable[[#This Row],[Valor]]&gt;350),1,0)</f>
        <v>0</v>
      </c>
      <c r="AA460" s="3">
        <f>IF(DataTable[[#This Row],[Valor]]&gt;1,0,0)</f>
        <v>0</v>
      </c>
    </row>
    <row r="461" spans="1:27" x14ac:dyDescent="0.25">
      <c r="A461" s="2" t="s">
        <v>18</v>
      </c>
      <c r="B461" s="2">
        <v>52</v>
      </c>
      <c r="C461" s="3">
        <f t="shared" si="120"/>
        <v>72.83</v>
      </c>
      <c r="D461" s="3">
        <f t="shared" si="121"/>
        <v>87.65</v>
      </c>
      <c r="E461" s="3">
        <f t="shared" si="122"/>
        <v>83.75</v>
      </c>
      <c r="F461" s="3">
        <f t="shared" si="123"/>
        <v>60.84</v>
      </c>
      <c r="G461" s="3">
        <f t="shared" si="124"/>
        <v>138.76</v>
      </c>
      <c r="H461" s="3">
        <f t="shared" si="125"/>
        <v>138.76</v>
      </c>
      <c r="I461" s="3"/>
      <c r="J461" s="3">
        <f t="shared" si="126"/>
        <v>79.849999999999994</v>
      </c>
      <c r="K461" s="3">
        <f t="shared" si="127"/>
        <v>87.65</v>
      </c>
      <c r="L461" s="34">
        <f t="shared" si="128"/>
        <v>83.75</v>
      </c>
      <c r="M461" s="3">
        <f t="shared" si="129"/>
        <v>-20.8</v>
      </c>
      <c r="N461" s="3">
        <f t="shared" si="130"/>
        <v>139.6</v>
      </c>
      <c r="O461" s="3"/>
      <c r="P461" s="3">
        <f t="shared" si="131"/>
        <v>44.122066141732283</v>
      </c>
      <c r="Q461" s="3">
        <f t="shared" si="132"/>
        <v>109.8176</v>
      </c>
      <c r="R461" s="3">
        <f>vd(DataTable[[#This Row],[Sentido]],DataTable[[#This Row],[Valor]])</f>
        <v>49.220472440944881</v>
      </c>
      <c r="S461" s="3">
        <f>IF(DataTable[[#This Row],[Valor]]&gt;1,1,1)</f>
        <v>1</v>
      </c>
      <c r="T461" s="3">
        <f>IF(DataTable[[#This Row],[Valor]]&gt;1,1,1)</f>
        <v>1</v>
      </c>
      <c r="U461" s="3">
        <f>angr(DataTable[[#This Row],[Sentido]],DataTable[[#This Row],[Valor]])</f>
        <v>69.188976377952756</v>
      </c>
      <c r="V461" s="3">
        <f>ANGI(DataTable[[#This Row],[Sentido]],DataTable[[#This Row],[Valor]])</f>
        <v>69.388976377952758</v>
      </c>
      <c r="W461" s="3">
        <f t="shared" si="133"/>
        <v>1</v>
      </c>
      <c r="X461" s="3">
        <f>IF(DataTable[[#This Row],[Valor]]&gt;1,1,1)</f>
        <v>1</v>
      </c>
      <c r="Y461" s="3">
        <f t="shared" si="134"/>
        <v>1</v>
      </c>
      <c r="Z461" s="3">
        <f>IF(AND(DataTable[[#This Row],[Sentido]]="URUGUAI para BRASIL",DataTable[[#This Row],[Valor]]&gt;350),1,0)</f>
        <v>0</v>
      </c>
      <c r="AA461" s="3">
        <f>IF(DataTable[[#This Row],[Valor]]&gt;1,0,0)</f>
        <v>0</v>
      </c>
    </row>
    <row r="462" spans="1:27" x14ac:dyDescent="0.25">
      <c r="A462" s="2" t="s">
        <v>18</v>
      </c>
      <c r="B462" s="2">
        <v>53</v>
      </c>
      <c r="C462" s="3">
        <f t="shared" si="120"/>
        <v>72.83</v>
      </c>
      <c r="D462" s="3">
        <f t="shared" si="121"/>
        <v>87.65</v>
      </c>
      <c r="E462" s="3">
        <f t="shared" si="122"/>
        <v>83.75</v>
      </c>
      <c r="F462" s="3">
        <f t="shared" si="123"/>
        <v>60.76</v>
      </c>
      <c r="G462" s="3">
        <f t="shared" si="124"/>
        <v>138.63999999999999</v>
      </c>
      <c r="H462" s="3">
        <f t="shared" si="125"/>
        <v>138.63999999999999</v>
      </c>
      <c r="I462" s="3"/>
      <c r="J462" s="3">
        <f t="shared" si="126"/>
        <v>79.849999999999994</v>
      </c>
      <c r="K462" s="3">
        <f t="shared" si="127"/>
        <v>87.65</v>
      </c>
      <c r="L462" s="34">
        <f t="shared" si="128"/>
        <v>83.75</v>
      </c>
      <c r="M462" s="3">
        <f t="shared" si="129"/>
        <v>-21.200000000000003</v>
      </c>
      <c r="N462" s="3">
        <f t="shared" si="130"/>
        <v>139.4</v>
      </c>
      <c r="O462" s="3"/>
      <c r="P462" s="3">
        <f t="shared" si="131"/>
        <v>44.24512125984252</v>
      </c>
      <c r="Q462" s="3">
        <f t="shared" si="132"/>
        <v>109.8176</v>
      </c>
      <c r="R462" s="3">
        <f>vd(DataTable[[#This Row],[Sentido]],DataTable[[#This Row],[Valor]])</f>
        <v>50.070866141732282</v>
      </c>
      <c r="S462" s="3">
        <f>IF(DataTable[[#This Row],[Valor]]&gt;1,1,1)</f>
        <v>1</v>
      </c>
      <c r="T462" s="3">
        <f>IF(DataTable[[#This Row],[Valor]]&gt;1,1,1)</f>
        <v>1</v>
      </c>
      <c r="U462" s="3">
        <f>angr(DataTable[[#This Row],[Sentido]],DataTable[[#This Row],[Valor]])</f>
        <v>68.846456692913378</v>
      </c>
      <c r="V462" s="3">
        <f>ANGI(DataTable[[#This Row],[Sentido]],DataTable[[#This Row],[Valor]])</f>
        <v>69.046456692913381</v>
      </c>
      <c r="W462" s="3">
        <f t="shared" si="133"/>
        <v>1</v>
      </c>
      <c r="X462" s="3">
        <f>IF(DataTable[[#This Row],[Valor]]&gt;1,1,1)</f>
        <v>1</v>
      </c>
      <c r="Y462" s="3">
        <f t="shared" si="134"/>
        <v>1</v>
      </c>
      <c r="Z462" s="3">
        <f>IF(AND(DataTable[[#This Row],[Sentido]]="URUGUAI para BRASIL",DataTable[[#This Row],[Valor]]&gt;350),1,0)</f>
        <v>0</v>
      </c>
      <c r="AA462" s="3">
        <f>IF(DataTable[[#This Row],[Valor]]&gt;1,0,0)</f>
        <v>0</v>
      </c>
    </row>
    <row r="463" spans="1:27" x14ac:dyDescent="0.25">
      <c r="A463" s="2" t="s">
        <v>18</v>
      </c>
      <c r="B463" s="2">
        <v>54</v>
      </c>
      <c r="C463" s="3">
        <f t="shared" si="120"/>
        <v>72.83</v>
      </c>
      <c r="D463" s="3">
        <f t="shared" si="121"/>
        <v>87.65</v>
      </c>
      <c r="E463" s="3">
        <f t="shared" si="122"/>
        <v>83.75</v>
      </c>
      <c r="F463" s="3">
        <f t="shared" si="123"/>
        <v>60.68</v>
      </c>
      <c r="G463" s="3">
        <f t="shared" si="124"/>
        <v>138.51999999999998</v>
      </c>
      <c r="H463" s="3">
        <f t="shared" si="125"/>
        <v>138.51999999999998</v>
      </c>
      <c r="I463" s="3"/>
      <c r="J463" s="3">
        <f t="shared" si="126"/>
        <v>79.849999999999994</v>
      </c>
      <c r="K463" s="3">
        <f t="shared" si="127"/>
        <v>87.65</v>
      </c>
      <c r="L463" s="34">
        <f t="shared" si="128"/>
        <v>83.75</v>
      </c>
      <c r="M463" s="3">
        <f t="shared" si="129"/>
        <v>-21.6</v>
      </c>
      <c r="N463" s="3">
        <f t="shared" si="130"/>
        <v>139.19999999999999</v>
      </c>
      <c r="O463" s="3"/>
      <c r="P463" s="3">
        <f t="shared" si="131"/>
        <v>44.368176377952764</v>
      </c>
      <c r="Q463" s="3">
        <f t="shared" si="132"/>
        <v>109.8176</v>
      </c>
      <c r="R463" s="3">
        <f>vd(DataTable[[#This Row],[Sentido]],DataTable[[#This Row],[Valor]])</f>
        <v>50.921259842519689</v>
      </c>
      <c r="S463" s="3">
        <f>IF(DataTable[[#This Row],[Valor]]&gt;1,1,1)</f>
        <v>1</v>
      </c>
      <c r="T463" s="3">
        <f>IF(DataTable[[#This Row],[Valor]]&gt;1,1,1)</f>
        <v>1</v>
      </c>
      <c r="U463" s="3">
        <f>angr(DataTable[[#This Row],[Sentido]],DataTable[[#This Row],[Valor]])</f>
        <v>68.503937007874015</v>
      </c>
      <c r="V463" s="3">
        <f>ANGI(DataTable[[#This Row],[Sentido]],DataTable[[#This Row],[Valor]])</f>
        <v>68.703937007874018</v>
      </c>
      <c r="W463" s="3">
        <f t="shared" si="133"/>
        <v>1</v>
      </c>
      <c r="X463" s="3">
        <f>IF(DataTable[[#This Row],[Valor]]&gt;1,1,1)</f>
        <v>1</v>
      </c>
      <c r="Y463" s="3">
        <f t="shared" si="134"/>
        <v>1</v>
      </c>
      <c r="Z463" s="3">
        <f>IF(AND(DataTable[[#This Row],[Sentido]]="URUGUAI para BRASIL",DataTable[[#This Row],[Valor]]&gt;350),1,0)</f>
        <v>0</v>
      </c>
      <c r="AA463" s="3">
        <f>IF(DataTable[[#This Row],[Valor]]&gt;1,0,0)</f>
        <v>0</v>
      </c>
    </row>
    <row r="464" spans="1:27" x14ac:dyDescent="0.25">
      <c r="A464" s="2" t="s">
        <v>18</v>
      </c>
      <c r="B464" s="2">
        <v>55</v>
      </c>
      <c r="C464" s="3">
        <f t="shared" si="120"/>
        <v>72.83</v>
      </c>
      <c r="D464" s="3">
        <f t="shared" si="121"/>
        <v>87.65</v>
      </c>
      <c r="E464" s="3">
        <f t="shared" si="122"/>
        <v>83.75</v>
      </c>
      <c r="F464" s="3">
        <f t="shared" si="123"/>
        <v>60.6</v>
      </c>
      <c r="G464" s="3">
        <f t="shared" si="124"/>
        <v>138.4</v>
      </c>
      <c r="H464" s="3">
        <f t="shared" si="125"/>
        <v>138.4</v>
      </c>
      <c r="I464" s="3"/>
      <c r="J464" s="3">
        <f t="shared" si="126"/>
        <v>79.849999999999994</v>
      </c>
      <c r="K464" s="3">
        <f t="shared" si="127"/>
        <v>87.65</v>
      </c>
      <c r="L464" s="34">
        <f t="shared" si="128"/>
        <v>83.75</v>
      </c>
      <c r="M464" s="3">
        <f t="shared" si="129"/>
        <v>-22</v>
      </c>
      <c r="N464" s="3">
        <f t="shared" si="130"/>
        <v>139</v>
      </c>
      <c r="O464" s="3"/>
      <c r="P464" s="3">
        <f t="shared" si="131"/>
        <v>44.491231496062994</v>
      </c>
      <c r="Q464" s="3">
        <f t="shared" si="132"/>
        <v>109.8176</v>
      </c>
      <c r="R464" s="3">
        <f>vd(DataTable[[#This Row],[Sentido]],DataTable[[#This Row],[Valor]])</f>
        <v>51.771653543307089</v>
      </c>
      <c r="S464" s="3">
        <f>IF(DataTable[[#This Row],[Valor]]&gt;1,1,1)</f>
        <v>1</v>
      </c>
      <c r="T464" s="3">
        <f>IF(DataTable[[#This Row],[Valor]]&gt;1,1,1)</f>
        <v>1</v>
      </c>
      <c r="U464" s="3">
        <f>angr(DataTable[[#This Row],[Sentido]],DataTable[[#This Row],[Valor]])</f>
        <v>68.161417322834637</v>
      </c>
      <c r="V464" s="3">
        <f>ANGI(DataTable[[#This Row],[Sentido]],DataTable[[#This Row],[Valor]])</f>
        <v>68.36141732283464</v>
      </c>
      <c r="W464" s="3">
        <f t="shared" si="133"/>
        <v>1</v>
      </c>
      <c r="X464" s="3">
        <f>IF(DataTable[[#This Row],[Valor]]&gt;1,1,1)</f>
        <v>1</v>
      </c>
      <c r="Y464" s="3">
        <f t="shared" si="134"/>
        <v>1</v>
      </c>
      <c r="Z464" s="3">
        <f>IF(AND(DataTable[[#This Row],[Sentido]]="URUGUAI para BRASIL",DataTable[[#This Row],[Valor]]&gt;350),1,0)</f>
        <v>0</v>
      </c>
      <c r="AA464" s="3">
        <f>IF(DataTable[[#This Row],[Valor]]&gt;1,0,0)</f>
        <v>0</v>
      </c>
    </row>
    <row r="465" spans="1:27" x14ac:dyDescent="0.25">
      <c r="A465" s="2" t="s">
        <v>18</v>
      </c>
      <c r="B465" s="2">
        <v>56</v>
      </c>
      <c r="C465" s="3">
        <f t="shared" si="120"/>
        <v>72.83</v>
      </c>
      <c r="D465" s="3">
        <f t="shared" si="121"/>
        <v>87.65</v>
      </c>
      <c r="E465" s="3">
        <f t="shared" si="122"/>
        <v>83.75</v>
      </c>
      <c r="F465" s="3">
        <f t="shared" si="123"/>
        <v>60.519999999999996</v>
      </c>
      <c r="G465" s="3">
        <f t="shared" si="124"/>
        <v>138.28</v>
      </c>
      <c r="H465" s="3">
        <f t="shared" si="125"/>
        <v>138.28</v>
      </c>
      <c r="I465" s="3"/>
      <c r="J465" s="3">
        <f t="shared" si="126"/>
        <v>79.849999999999994</v>
      </c>
      <c r="K465" s="3">
        <f t="shared" si="127"/>
        <v>87.65</v>
      </c>
      <c r="L465" s="34">
        <f t="shared" si="128"/>
        <v>83.75</v>
      </c>
      <c r="M465" s="3">
        <f t="shared" si="129"/>
        <v>-22.400000000000002</v>
      </c>
      <c r="N465" s="3">
        <f t="shared" si="130"/>
        <v>138.80000000000001</v>
      </c>
      <c r="O465" s="3"/>
      <c r="P465" s="3">
        <f t="shared" si="131"/>
        <v>44.614286614173231</v>
      </c>
      <c r="Q465" s="3">
        <f t="shared" si="132"/>
        <v>109.8176</v>
      </c>
      <c r="R465" s="3">
        <f>vd(DataTable[[#This Row],[Sentido]],DataTable[[#This Row],[Valor]])</f>
        <v>52.622047244094489</v>
      </c>
      <c r="S465" s="3">
        <f>IF(DataTable[[#This Row],[Valor]]&gt;1,1,1)</f>
        <v>1</v>
      </c>
      <c r="T465" s="3">
        <f>IF(DataTable[[#This Row],[Valor]]&gt;1,1,1)</f>
        <v>1</v>
      </c>
      <c r="U465" s="3">
        <f>angr(DataTable[[#This Row],[Sentido]],DataTable[[#This Row],[Valor]])</f>
        <v>67.818897637795274</v>
      </c>
      <c r="V465" s="3">
        <f>ANGI(DataTable[[#This Row],[Sentido]],DataTable[[#This Row],[Valor]])</f>
        <v>68.018897637795277</v>
      </c>
      <c r="W465" s="3">
        <f t="shared" si="133"/>
        <v>1</v>
      </c>
      <c r="X465" s="3">
        <f>IF(DataTable[[#This Row],[Valor]]&gt;1,1,1)</f>
        <v>1</v>
      </c>
      <c r="Y465" s="3">
        <f t="shared" si="134"/>
        <v>1</v>
      </c>
      <c r="Z465" s="3">
        <f>IF(AND(DataTable[[#This Row],[Sentido]]="URUGUAI para BRASIL",DataTable[[#This Row],[Valor]]&gt;350),1,0)</f>
        <v>0</v>
      </c>
      <c r="AA465" s="3">
        <f>IF(DataTable[[#This Row],[Valor]]&gt;1,0,0)</f>
        <v>0</v>
      </c>
    </row>
    <row r="466" spans="1:27" x14ac:dyDescent="0.25">
      <c r="A466" s="2" t="s">
        <v>18</v>
      </c>
      <c r="B466" s="2">
        <v>57</v>
      </c>
      <c r="C466" s="3">
        <f t="shared" si="120"/>
        <v>72.83</v>
      </c>
      <c r="D466" s="3">
        <f t="shared" si="121"/>
        <v>87.65</v>
      </c>
      <c r="E466" s="3">
        <f t="shared" si="122"/>
        <v>83.75</v>
      </c>
      <c r="F466" s="3">
        <f t="shared" si="123"/>
        <v>60.44</v>
      </c>
      <c r="G466" s="3">
        <f t="shared" si="124"/>
        <v>138.16</v>
      </c>
      <c r="H466" s="3">
        <f t="shared" si="125"/>
        <v>138.16</v>
      </c>
      <c r="I466" s="3"/>
      <c r="J466" s="3">
        <f t="shared" si="126"/>
        <v>79.849999999999994</v>
      </c>
      <c r="K466" s="3">
        <f t="shared" si="127"/>
        <v>87.65</v>
      </c>
      <c r="L466" s="34">
        <f t="shared" si="128"/>
        <v>83.75</v>
      </c>
      <c r="M466" s="3">
        <f t="shared" si="129"/>
        <v>-22.8</v>
      </c>
      <c r="N466" s="3">
        <f t="shared" si="130"/>
        <v>138.6</v>
      </c>
      <c r="O466" s="3"/>
      <c r="P466" s="3">
        <f t="shared" si="131"/>
        <v>44.737341732283468</v>
      </c>
      <c r="Q466" s="3">
        <f t="shared" si="132"/>
        <v>109.8176</v>
      </c>
      <c r="R466" s="3">
        <f>vd(DataTable[[#This Row],[Sentido]],DataTable[[#This Row],[Valor]])</f>
        <v>53.472440944881889</v>
      </c>
      <c r="S466" s="3">
        <f>IF(DataTable[[#This Row],[Valor]]&gt;1,1,1)</f>
        <v>1</v>
      </c>
      <c r="T466" s="3">
        <f>IF(DataTable[[#This Row],[Valor]]&gt;1,1,1)</f>
        <v>1</v>
      </c>
      <c r="U466" s="3">
        <f>angr(DataTable[[#This Row],[Sentido]],DataTable[[#This Row],[Valor]])</f>
        <v>67.476377952755897</v>
      </c>
      <c r="V466" s="3">
        <f>ANGI(DataTable[[#This Row],[Sentido]],DataTable[[#This Row],[Valor]])</f>
        <v>67.6763779527559</v>
      </c>
      <c r="W466" s="3">
        <f t="shared" si="133"/>
        <v>1</v>
      </c>
      <c r="X466" s="3">
        <f>IF(DataTable[[#This Row],[Valor]]&gt;1,1,1)</f>
        <v>1</v>
      </c>
      <c r="Y466" s="3">
        <f t="shared" si="134"/>
        <v>1</v>
      </c>
      <c r="Z466" s="3">
        <f>IF(AND(DataTable[[#This Row],[Sentido]]="URUGUAI para BRASIL",DataTable[[#This Row],[Valor]]&gt;350),1,0)</f>
        <v>0</v>
      </c>
      <c r="AA466" s="3">
        <f>IF(DataTable[[#This Row],[Valor]]&gt;1,0,0)</f>
        <v>0</v>
      </c>
    </row>
    <row r="467" spans="1:27" x14ac:dyDescent="0.25">
      <c r="A467" s="2" t="s">
        <v>18</v>
      </c>
      <c r="B467" s="2">
        <v>58</v>
      </c>
      <c r="C467" s="3">
        <f t="shared" si="120"/>
        <v>72.83</v>
      </c>
      <c r="D467" s="3">
        <f t="shared" si="121"/>
        <v>87.65</v>
      </c>
      <c r="E467" s="3">
        <f t="shared" si="122"/>
        <v>83.75</v>
      </c>
      <c r="F467" s="3">
        <f t="shared" si="123"/>
        <v>60.36</v>
      </c>
      <c r="G467" s="3">
        <f t="shared" si="124"/>
        <v>138.04000000000002</v>
      </c>
      <c r="H467" s="3">
        <f t="shared" si="125"/>
        <v>138.04000000000002</v>
      </c>
      <c r="I467" s="3"/>
      <c r="J467" s="3">
        <f t="shared" si="126"/>
        <v>79.849999999999994</v>
      </c>
      <c r="K467" s="3">
        <f t="shared" si="127"/>
        <v>87.65</v>
      </c>
      <c r="L467" s="34">
        <f t="shared" si="128"/>
        <v>83.75</v>
      </c>
      <c r="M467" s="3">
        <f t="shared" si="129"/>
        <v>-23.200000000000003</v>
      </c>
      <c r="N467" s="3">
        <f t="shared" si="130"/>
        <v>138.4</v>
      </c>
      <c r="O467" s="3"/>
      <c r="P467" s="3">
        <f t="shared" si="131"/>
        <v>44.860396850393705</v>
      </c>
      <c r="Q467" s="3">
        <f t="shared" si="132"/>
        <v>109.8176</v>
      </c>
      <c r="R467" s="3">
        <f>vd(DataTable[[#This Row],[Sentido]],DataTable[[#This Row],[Valor]])</f>
        <v>54.322834645669289</v>
      </c>
      <c r="S467" s="3">
        <f>IF(DataTable[[#This Row],[Valor]]&gt;1,1,1)</f>
        <v>1</v>
      </c>
      <c r="T467" s="3">
        <f>IF(DataTable[[#This Row],[Valor]]&gt;1,1,1)</f>
        <v>1</v>
      </c>
      <c r="U467" s="3">
        <f>angr(DataTable[[#This Row],[Sentido]],DataTable[[#This Row],[Valor]])</f>
        <v>67.133858267716533</v>
      </c>
      <c r="V467" s="3">
        <f>ANGI(DataTable[[#This Row],[Sentido]],DataTable[[#This Row],[Valor]])</f>
        <v>67.333858267716536</v>
      </c>
      <c r="W467" s="3">
        <f t="shared" si="133"/>
        <v>1</v>
      </c>
      <c r="X467" s="3">
        <f>IF(DataTable[[#This Row],[Valor]]&gt;1,1,1)</f>
        <v>1</v>
      </c>
      <c r="Y467" s="3">
        <f t="shared" si="134"/>
        <v>1</v>
      </c>
      <c r="Z467" s="3">
        <f>IF(AND(DataTable[[#This Row],[Sentido]]="URUGUAI para BRASIL",DataTable[[#This Row],[Valor]]&gt;350),1,0)</f>
        <v>0</v>
      </c>
      <c r="AA467" s="3">
        <f>IF(DataTable[[#This Row],[Valor]]&gt;1,0,0)</f>
        <v>0</v>
      </c>
    </row>
    <row r="468" spans="1:27" x14ac:dyDescent="0.25">
      <c r="A468" s="2" t="s">
        <v>18</v>
      </c>
      <c r="B468" s="2">
        <v>59</v>
      </c>
      <c r="C468" s="3">
        <f t="shared" si="120"/>
        <v>72.83</v>
      </c>
      <c r="D468" s="3">
        <f t="shared" si="121"/>
        <v>87.65</v>
      </c>
      <c r="E468" s="3">
        <f t="shared" si="122"/>
        <v>83.75</v>
      </c>
      <c r="F468" s="3">
        <f t="shared" si="123"/>
        <v>60.28</v>
      </c>
      <c r="G468" s="3">
        <f t="shared" si="124"/>
        <v>137.92000000000002</v>
      </c>
      <c r="H468" s="3">
        <f t="shared" si="125"/>
        <v>137.92000000000002</v>
      </c>
      <c r="I468" s="3"/>
      <c r="J468" s="3">
        <f t="shared" si="126"/>
        <v>79.849999999999994</v>
      </c>
      <c r="K468" s="3">
        <f t="shared" si="127"/>
        <v>87.65</v>
      </c>
      <c r="L468" s="34">
        <f t="shared" si="128"/>
        <v>83.75</v>
      </c>
      <c r="M468" s="3">
        <f t="shared" si="129"/>
        <v>-23.6</v>
      </c>
      <c r="N468" s="3">
        <f t="shared" si="130"/>
        <v>138.19999999999999</v>
      </c>
      <c r="O468" s="3"/>
      <c r="P468" s="3">
        <f t="shared" si="131"/>
        <v>44.983451968503942</v>
      </c>
      <c r="Q468" s="3">
        <f t="shared" si="132"/>
        <v>109.8176</v>
      </c>
      <c r="R468" s="3">
        <f>vd(DataTable[[#This Row],[Sentido]],DataTable[[#This Row],[Valor]])</f>
        <v>55.173228346456696</v>
      </c>
      <c r="S468" s="3">
        <f>IF(DataTable[[#This Row],[Valor]]&gt;1,1,1)</f>
        <v>1</v>
      </c>
      <c r="T468" s="3">
        <f>IF(DataTable[[#This Row],[Valor]]&gt;1,1,1)</f>
        <v>1</v>
      </c>
      <c r="U468" s="3">
        <f>angr(DataTable[[#This Row],[Sentido]],DataTable[[#This Row],[Valor]])</f>
        <v>66.791338582677156</v>
      </c>
      <c r="V468" s="3">
        <f>ANGI(DataTable[[#This Row],[Sentido]],DataTable[[#This Row],[Valor]])</f>
        <v>66.991338582677159</v>
      </c>
      <c r="W468" s="3">
        <f t="shared" si="133"/>
        <v>1</v>
      </c>
      <c r="X468" s="3">
        <f>IF(DataTable[[#This Row],[Valor]]&gt;1,1,1)</f>
        <v>1</v>
      </c>
      <c r="Y468" s="3">
        <f t="shared" si="134"/>
        <v>1</v>
      </c>
      <c r="Z468" s="3">
        <f>IF(AND(DataTable[[#This Row],[Sentido]]="URUGUAI para BRASIL",DataTable[[#This Row],[Valor]]&gt;350),1,0)</f>
        <v>0</v>
      </c>
      <c r="AA468" s="3">
        <f>IF(DataTable[[#This Row],[Valor]]&gt;1,0,0)</f>
        <v>0</v>
      </c>
    </row>
    <row r="469" spans="1:27" x14ac:dyDescent="0.25">
      <c r="A469" s="2" t="s">
        <v>18</v>
      </c>
      <c r="B469" s="2">
        <v>60</v>
      </c>
      <c r="C469" s="3">
        <f t="shared" si="120"/>
        <v>72.83</v>
      </c>
      <c r="D469" s="3">
        <f t="shared" si="121"/>
        <v>87.65</v>
      </c>
      <c r="E469" s="3">
        <f t="shared" si="122"/>
        <v>83.75</v>
      </c>
      <c r="F469" s="3">
        <f t="shared" si="123"/>
        <v>60.2</v>
      </c>
      <c r="G469" s="3">
        <f t="shared" si="124"/>
        <v>137.80000000000001</v>
      </c>
      <c r="H469" s="3">
        <f t="shared" si="125"/>
        <v>137.80000000000001</v>
      </c>
      <c r="I469" s="3"/>
      <c r="J469" s="3">
        <f t="shared" si="126"/>
        <v>79.849999999999994</v>
      </c>
      <c r="K469" s="3">
        <f t="shared" si="127"/>
        <v>87.65</v>
      </c>
      <c r="L469" s="34">
        <f t="shared" si="128"/>
        <v>83.75</v>
      </c>
      <c r="M469" s="3">
        <f t="shared" si="129"/>
        <v>-24</v>
      </c>
      <c r="N469" s="3">
        <f t="shared" si="130"/>
        <v>138</v>
      </c>
      <c r="O469" s="3"/>
      <c r="P469" s="3">
        <f t="shared" si="131"/>
        <v>45.106507086614172</v>
      </c>
      <c r="Q469" s="3">
        <f t="shared" si="132"/>
        <v>109.8176</v>
      </c>
      <c r="R469" s="3">
        <f>vd(DataTable[[#This Row],[Sentido]],DataTable[[#This Row],[Valor]])</f>
        <v>56.023622047244096</v>
      </c>
      <c r="S469" s="3">
        <f>IF(DataTable[[#This Row],[Valor]]&gt;1,1,1)</f>
        <v>1</v>
      </c>
      <c r="T469" s="3">
        <f>IF(DataTable[[#This Row],[Valor]]&gt;1,1,1)</f>
        <v>1</v>
      </c>
      <c r="U469" s="3">
        <f>angr(DataTable[[#This Row],[Sentido]],DataTable[[#This Row],[Valor]])</f>
        <v>66.448818897637793</v>
      </c>
      <c r="V469" s="3">
        <f>ANGI(DataTable[[#This Row],[Sentido]],DataTable[[#This Row],[Valor]])</f>
        <v>66.648818897637796</v>
      </c>
      <c r="W469" s="3">
        <f t="shared" si="133"/>
        <v>1</v>
      </c>
      <c r="X469" s="3">
        <f>IF(DataTable[[#This Row],[Valor]]&gt;1,1,1)</f>
        <v>1</v>
      </c>
      <c r="Y469" s="3">
        <f t="shared" si="134"/>
        <v>1</v>
      </c>
      <c r="Z469" s="3">
        <f>IF(AND(DataTable[[#This Row],[Sentido]]="URUGUAI para BRASIL",DataTable[[#This Row],[Valor]]&gt;350),1,0)</f>
        <v>0</v>
      </c>
      <c r="AA469" s="3">
        <f>IF(DataTable[[#This Row],[Valor]]&gt;1,0,0)</f>
        <v>0</v>
      </c>
    </row>
    <row r="470" spans="1:27" x14ac:dyDescent="0.25">
      <c r="A470" s="2" t="s">
        <v>18</v>
      </c>
      <c r="B470" s="2">
        <v>61</v>
      </c>
      <c r="C470" s="3">
        <f t="shared" si="120"/>
        <v>72.83</v>
      </c>
      <c r="D470" s="3">
        <f t="shared" si="121"/>
        <v>87.65</v>
      </c>
      <c r="E470" s="3">
        <f t="shared" si="122"/>
        <v>83.75</v>
      </c>
      <c r="F470" s="3">
        <f t="shared" si="123"/>
        <v>60.12</v>
      </c>
      <c r="G470" s="3">
        <f t="shared" si="124"/>
        <v>137.68</v>
      </c>
      <c r="H470" s="3">
        <f t="shared" si="125"/>
        <v>137.68</v>
      </c>
      <c r="I470" s="3"/>
      <c r="J470" s="3">
        <f t="shared" si="126"/>
        <v>79.849999999999994</v>
      </c>
      <c r="K470" s="3">
        <f t="shared" si="127"/>
        <v>87.65</v>
      </c>
      <c r="L470" s="34">
        <f t="shared" si="128"/>
        <v>83.75</v>
      </c>
      <c r="M470" s="3">
        <f t="shared" si="129"/>
        <v>-24.400000000000002</v>
      </c>
      <c r="N470" s="3">
        <f t="shared" si="130"/>
        <v>137.80000000000001</v>
      </c>
      <c r="O470" s="3"/>
      <c r="P470" s="3">
        <f t="shared" si="131"/>
        <v>45.229562204724417</v>
      </c>
      <c r="Q470" s="3">
        <f t="shared" si="132"/>
        <v>109.8176</v>
      </c>
      <c r="R470" s="3">
        <f>vd(DataTable[[#This Row],[Sentido]],DataTable[[#This Row],[Valor]])</f>
        <v>56.874015748031496</v>
      </c>
      <c r="S470" s="3">
        <f>IF(DataTable[[#This Row],[Valor]]&gt;1,1,1)</f>
        <v>1</v>
      </c>
      <c r="T470" s="3">
        <f>IF(DataTable[[#This Row],[Valor]]&gt;1,1,1)</f>
        <v>1</v>
      </c>
      <c r="U470" s="3">
        <f>angr(DataTable[[#This Row],[Sentido]],DataTable[[#This Row],[Valor]])</f>
        <v>66.106299212598415</v>
      </c>
      <c r="V470" s="3">
        <f>ANGI(DataTable[[#This Row],[Sentido]],DataTable[[#This Row],[Valor]])</f>
        <v>66.306299212598418</v>
      </c>
      <c r="W470" s="3">
        <f t="shared" si="133"/>
        <v>1</v>
      </c>
      <c r="X470" s="3">
        <f>IF(DataTable[[#This Row],[Valor]]&gt;1,1,1)</f>
        <v>1</v>
      </c>
      <c r="Y470" s="3">
        <f t="shared" si="134"/>
        <v>1</v>
      </c>
      <c r="Z470" s="3">
        <f>IF(AND(DataTable[[#This Row],[Sentido]]="URUGUAI para BRASIL",DataTable[[#This Row],[Valor]]&gt;350),1,0)</f>
        <v>0</v>
      </c>
      <c r="AA470" s="3">
        <f>IF(DataTable[[#This Row],[Valor]]&gt;1,0,0)</f>
        <v>0</v>
      </c>
    </row>
    <row r="471" spans="1:27" x14ac:dyDescent="0.25">
      <c r="A471" s="2" t="s">
        <v>18</v>
      </c>
      <c r="B471" s="2">
        <v>62</v>
      </c>
      <c r="C471" s="3">
        <f t="shared" si="120"/>
        <v>72.83</v>
      </c>
      <c r="D471" s="3">
        <f t="shared" si="121"/>
        <v>87.65</v>
      </c>
      <c r="E471" s="3">
        <f t="shared" si="122"/>
        <v>83.75</v>
      </c>
      <c r="F471" s="3">
        <f t="shared" si="123"/>
        <v>60.04</v>
      </c>
      <c r="G471" s="3">
        <f t="shared" si="124"/>
        <v>137.56</v>
      </c>
      <c r="H471" s="3">
        <f t="shared" si="125"/>
        <v>137.56</v>
      </c>
      <c r="I471" s="3"/>
      <c r="J471" s="3">
        <f t="shared" si="126"/>
        <v>79.849999999999994</v>
      </c>
      <c r="K471" s="3">
        <f t="shared" si="127"/>
        <v>87.65</v>
      </c>
      <c r="L471" s="34">
        <f t="shared" si="128"/>
        <v>83.75</v>
      </c>
      <c r="M471" s="3">
        <f t="shared" si="129"/>
        <v>-24.8</v>
      </c>
      <c r="N471" s="3">
        <f t="shared" si="130"/>
        <v>137.6</v>
      </c>
      <c r="O471" s="3"/>
      <c r="P471" s="3">
        <f t="shared" si="131"/>
        <v>45.352617322834647</v>
      </c>
      <c r="Q471" s="3">
        <f t="shared" si="132"/>
        <v>109.8176</v>
      </c>
      <c r="R471" s="3">
        <f>vd(DataTable[[#This Row],[Sentido]],DataTable[[#This Row],[Valor]])</f>
        <v>57.724409448818896</v>
      </c>
      <c r="S471" s="3">
        <f>IF(DataTable[[#This Row],[Valor]]&gt;1,1,1)</f>
        <v>1</v>
      </c>
      <c r="T471" s="3">
        <f>IF(DataTable[[#This Row],[Valor]]&gt;1,1,1)</f>
        <v>1</v>
      </c>
      <c r="U471" s="3">
        <f>angr(DataTable[[#This Row],[Sentido]],DataTable[[#This Row],[Valor]])</f>
        <v>65.763779527559052</v>
      </c>
      <c r="V471" s="3">
        <f>ANGI(DataTable[[#This Row],[Sentido]],DataTable[[#This Row],[Valor]])</f>
        <v>65.963779527559055</v>
      </c>
      <c r="W471" s="3">
        <f t="shared" si="133"/>
        <v>1</v>
      </c>
      <c r="X471" s="3">
        <f>IF(DataTable[[#This Row],[Valor]]&gt;1,1,1)</f>
        <v>1</v>
      </c>
      <c r="Y471" s="3">
        <f t="shared" si="134"/>
        <v>1</v>
      </c>
      <c r="Z471" s="3">
        <f>IF(AND(DataTable[[#This Row],[Sentido]]="URUGUAI para BRASIL",DataTable[[#This Row],[Valor]]&gt;350),1,0)</f>
        <v>0</v>
      </c>
      <c r="AA471" s="3">
        <f>IF(DataTable[[#This Row],[Valor]]&gt;1,0,0)</f>
        <v>0</v>
      </c>
    </row>
    <row r="472" spans="1:27" x14ac:dyDescent="0.25">
      <c r="A472" s="2" t="s">
        <v>18</v>
      </c>
      <c r="B472" s="2">
        <v>63</v>
      </c>
      <c r="C472" s="3">
        <f t="shared" si="120"/>
        <v>72.83</v>
      </c>
      <c r="D472" s="3">
        <f t="shared" si="121"/>
        <v>87.65</v>
      </c>
      <c r="E472" s="3">
        <f t="shared" si="122"/>
        <v>83.75</v>
      </c>
      <c r="F472" s="3">
        <f t="shared" si="123"/>
        <v>59.96</v>
      </c>
      <c r="G472" s="3">
        <f t="shared" si="124"/>
        <v>137.44</v>
      </c>
      <c r="H472" s="3">
        <f t="shared" si="125"/>
        <v>137.44</v>
      </c>
      <c r="I472" s="3"/>
      <c r="J472" s="3">
        <f t="shared" si="126"/>
        <v>79.849999999999994</v>
      </c>
      <c r="K472" s="3">
        <f t="shared" si="127"/>
        <v>87.65</v>
      </c>
      <c r="L472" s="34">
        <f t="shared" si="128"/>
        <v>83.75</v>
      </c>
      <c r="M472" s="3">
        <f t="shared" si="129"/>
        <v>-25.200000000000003</v>
      </c>
      <c r="N472" s="3">
        <f t="shared" si="130"/>
        <v>137.4</v>
      </c>
      <c r="O472" s="3"/>
      <c r="P472" s="3">
        <f t="shared" si="131"/>
        <v>45.475672440944884</v>
      </c>
      <c r="Q472" s="3">
        <f t="shared" si="132"/>
        <v>109.8176</v>
      </c>
      <c r="R472" s="3">
        <f>vd(DataTable[[#This Row],[Sentido]],DataTable[[#This Row],[Valor]])</f>
        <v>58.574803149606296</v>
      </c>
      <c r="S472" s="3">
        <f>IF(DataTable[[#This Row],[Valor]]&gt;1,1,1)</f>
        <v>1</v>
      </c>
      <c r="T472" s="3">
        <f>IF(DataTable[[#This Row],[Valor]]&gt;1,1,1)</f>
        <v>1</v>
      </c>
      <c r="U472" s="3">
        <f>angr(DataTable[[#This Row],[Sentido]],DataTable[[#This Row],[Valor]])</f>
        <v>65.421259842519689</v>
      </c>
      <c r="V472" s="3">
        <f>ANGI(DataTable[[#This Row],[Sentido]],DataTable[[#This Row],[Valor]])</f>
        <v>65.621259842519692</v>
      </c>
      <c r="W472" s="3">
        <f t="shared" si="133"/>
        <v>1</v>
      </c>
      <c r="X472" s="3">
        <f>IF(DataTable[[#This Row],[Valor]]&gt;1,1,1)</f>
        <v>1</v>
      </c>
      <c r="Y472" s="3">
        <f t="shared" si="134"/>
        <v>1</v>
      </c>
      <c r="Z472" s="3">
        <f>IF(AND(DataTable[[#This Row],[Sentido]]="URUGUAI para BRASIL",DataTable[[#This Row],[Valor]]&gt;350),1,0)</f>
        <v>0</v>
      </c>
      <c r="AA472" s="3">
        <f>IF(DataTable[[#This Row],[Valor]]&gt;1,0,0)</f>
        <v>0</v>
      </c>
    </row>
    <row r="473" spans="1:27" x14ac:dyDescent="0.25">
      <c r="A473" s="2" t="s">
        <v>18</v>
      </c>
      <c r="B473" s="2">
        <v>64</v>
      </c>
      <c r="C473" s="3">
        <f t="shared" si="120"/>
        <v>72.83</v>
      </c>
      <c r="D473" s="3">
        <f t="shared" si="121"/>
        <v>87.65</v>
      </c>
      <c r="E473" s="3">
        <f t="shared" si="122"/>
        <v>83.75</v>
      </c>
      <c r="F473" s="3">
        <f t="shared" si="123"/>
        <v>59.88</v>
      </c>
      <c r="G473" s="3">
        <f t="shared" si="124"/>
        <v>137.32</v>
      </c>
      <c r="H473" s="3">
        <f t="shared" si="125"/>
        <v>137.32</v>
      </c>
      <c r="I473" s="3"/>
      <c r="J473" s="3">
        <f t="shared" si="126"/>
        <v>79.849999999999994</v>
      </c>
      <c r="K473" s="3">
        <f t="shared" si="127"/>
        <v>87.65</v>
      </c>
      <c r="L473" s="34">
        <f t="shared" si="128"/>
        <v>83.75</v>
      </c>
      <c r="M473" s="3">
        <f t="shared" si="129"/>
        <v>-25.6</v>
      </c>
      <c r="N473" s="3">
        <f t="shared" si="130"/>
        <v>137.19999999999999</v>
      </c>
      <c r="O473" s="3"/>
      <c r="P473" s="3">
        <f t="shared" si="131"/>
        <v>45.598727559055121</v>
      </c>
      <c r="Q473" s="3">
        <f t="shared" si="132"/>
        <v>109.8176</v>
      </c>
      <c r="R473" s="3">
        <f>vd(DataTable[[#This Row],[Sentido]],DataTable[[#This Row],[Valor]])</f>
        <v>59.425196850393704</v>
      </c>
      <c r="S473" s="3">
        <f>IF(DataTable[[#This Row],[Valor]]&gt;1,1,1)</f>
        <v>1</v>
      </c>
      <c r="T473" s="3">
        <f>IF(DataTable[[#This Row],[Valor]]&gt;1,1,1)</f>
        <v>1</v>
      </c>
      <c r="U473" s="3">
        <f>angr(DataTable[[#This Row],[Sentido]],DataTable[[#This Row],[Valor]])</f>
        <v>65.078740157480311</v>
      </c>
      <c r="V473" s="3">
        <f>ANGI(DataTable[[#This Row],[Sentido]],DataTable[[#This Row],[Valor]])</f>
        <v>65.278740157480314</v>
      </c>
      <c r="W473" s="3">
        <f t="shared" si="133"/>
        <v>1</v>
      </c>
      <c r="X473" s="3">
        <f>IF(DataTable[[#This Row],[Valor]]&gt;1,1,1)</f>
        <v>1</v>
      </c>
      <c r="Y473" s="3">
        <f t="shared" si="134"/>
        <v>1</v>
      </c>
      <c r="Z473" s="3">
        <f>IF(AND(DataTable[[#This Row],[Sentido]]="URUGUAI para BRASIL",DataTable[[#This Row],[Valor]]&gt;350),1,0)</f>
        <v>0</v>
      </c>
      <c r="AA473" s="3">
        <f>IF(DataTable[[#This Row],[Valor]]&gt;1,0,0)</f>
        <v>0</v>
      </c>
    </row>
    <row r="474" spans="1:27" x14ac:dyDescent="0.25">
      <c r="A474" s="2" t="s">
        <v>18</v>
      </c>
      <c r="B474" s="2">
        <v>65</v>
      </c>
      <c r="C474" s="3">
        <f t="shared" si="120"/>
        <v>72.83</v>
      </c>
      <c r="D474" s="3">
        <f t="shared" si="121"/>
        <v>87.65</v>
      </c>
      <c r="E474" s="3">
        <f t="shared" si="122"/>
        <v>83.75</v>
      </c>
      <c r="F474" s="3">
        <f t="shared" si="123"/>
        <v>59.8</v>
      </c>
      <c r="G474" s="3">
        <f t="shared" si="124"/>
        <v>137.19999999999999</v>
      </c>
      <c r="H474" s="3">
        <f t="shared" si="125"/>
        <v>137.19999999999999</v>
      </c>
      <c r="I474" s="3"/>
      <c r="J474" s="3">
        <f t="shared" si="126"/>
        <v>79.849999999999994</v>
      </c>
      <c r="K474" s="3">
        <f t="shared" si="127"/>
        <v>87.65</v>
      </c>
      <c r="L474" s="34">
        <f t="shared" si="128"/>
        <v>83.75</v>
      </c>
      <c r="M474" s="3">
        <f t="shared" si="129"/>
        <v>-26</v>
      </c>
      <c r="N474" s="3">
        <f t="shared" si="130"/>
        <v>137</v>
      </c>
      <c r="O474" s="3"/>
      <c r="P474" s="3">
        <f t="shared" si="131"/>
        <v>45.721782677165358</v>
      </c>
      <c r="Q474" s="3">
        <f t="shared" si="132"/>
        <v>109.8176</v>
      </c>
      <c r="R474" s="3">
        <f>vd(DataTable[[#This Row],[Sentido]],DataTable[[#This Row],[Valor]])</f>
        <v>60.275590551181104</v>
      </c>
      <c r="S474" s="3">
        <f>IF(DataTable[[#This Row],[Valor]]&gt;1,1,1)</f>
        <v>1</v>
      </c>
      <c r="T474" s="3">
        <f>IF(DataTable[[#This Row],[Valor]]&gt;1,1,1)</f>
        <v>1</v>
      </c>
      <c r="U474" s="3">
        <f>angr(DataTable[[#This Row],[Sentido]],DataTable[[#This Row],[Valor]])</f>
        <v>64.736220472440948</v>
      </c>
      <c r="V474" s="3">
        <f>ANGI(DataTable[[#This Row],[Sentido]],DataTable[[#This Row],[Valor]])</f>
        <v>64.936220472440937</v>
      </c>
      <c r="W474" s="3">
        <f t="shared" si="133"/>
        <v>1</v>
      </c>
      <c r="X474" s="3">
        <f>IF(DataTable[[#This Row],[Valor]]&gt;1,1,1)</f>
        <v>1</v>
      </c>
      <c r="Y474" s="3">
        <f t="shared" si="134"/>
        <v>1</v>
      </c>
      <c r="Z474" s="3">
        <f>IF(AND(DataTable[[#This Row],[Sentido]]="URUGUAI para BRASIL",DataTable[[#This Row],[Valor]]&gt;350),1,0)</f>
        <v>0</v>
      </c>
      <c r="AA474" s="3">
        <f>IF(DataTable[[#This Row],[Valor]]&gt;1,0,0)</f>
        <v>0</v>
      </c>
    </row>
    <row r="475" spans="1:27" x14ac:dyDescent="0.25">
      <c r="A475" s="2" t="s">
        <v>18</v>
      </c>
      <c r="B475" s="2">
        <v>66</v>
      </c>
      <c r="C475" s="3">
        <f t="shared" si="120"/>
        <v>72.83</v>
      </c>
      <c r="D475" s="3">
        <f t="shared" si="121"/>
        <v>87.65</v>
      </c>
      <c r="E475" s="3">
        <f t="shared" si="122"/>
        <v>83.75</v>
      </c>
      <c r="F475" s="3">
        <f t="shared" si="123"/>
        <v>59.72</v>
      </c>
      <c r="G475" s="3">
        <f t="shared" si="124"/>
        <v>137.07999999999998</v>
      </c>
      <c r="H475" s="3">
        <f t="shared" si="125"/>
        <v>137.07999999999998</v>
      </c>
      <c r="I475" s="3"/>
      <c r="J475" s="3">
        <f t="shared" si="126"/>
        <v>79.849999999999994</v>
      </c>
      <c r="K475" s="3">
        <f t="shared" si="127"/>
        <v>87.65</v>
      </c>
      <c r="L475" s="34">
        <f t="shared" si="128"/>
        <v>83.75</v>
      </c>
      <c r="M475" s="3">
        <f t="shared" si="129"/>
        <v>-26.400000000000002</v>
      </c>
      <c r="N475" s="3">
        <f t="shared" si="130"/>
        <v>136.80000000000001</v>
      </c>
      <c r="O475" s="3"/>
      <c r="P475" s="3">
        <f t="shared" si="131"/>
        <v>45.844837795275595</v>
      </c>
      <c r="Q475" s="3">
        <f t="shared" si="132"/>
        <v>109.8176</v>
      </c>
      <c r="R475" s="3">
        <f>vd(DataTable[[#This Row],[Sentido]],DataTable[[#This Row],[Valor]])</f>
        <v>61.125984251968504</v>
      </c>
      <c r="S475" s="3">
        <f>IF(DataTable[[#This Row],[Valor]]&gt;1,1,1)</f>
        <v>1</v>
      </c>
      <c r="T475" s="3">
        <f>IF(DataTable[[#This Row],[Valor]]&gt;1,1,1)</f>
        <v>1</v>
      </c>
      <c r="U475" s="3">
        <f>angr(DataTable[[#This Row],[Sentido]],DataTable[[#This Row],[Valor]])</f>
        <v>64.393700787401571</v>
      </c>
      <c r="V475" s="3">
        <f>ANGI(DataTable[[#This Row],[Sentido]],DataTable[[#This Row],[Valor]])</f>
        <v>64.593700787401573</v>
      </c>
      <c r="W475" s="3">
        <f t="shared" si="133"/>
        <v>1</v>
      </c>
      <c r="X475" s="3">
        <f>IF(DataTable[[#This Row],[Valor]]&gt;1,1,1)</f>
        <v>1</v>
      </c>
      <c r="Y475" s="3">
        <f t="shared" si="134"/>
        <v>1</v>
      </c>
      <c r="Z475" s="3">
        <f>IF(AND(DataTable[[#This Row],[Sentido]]="URUGUAI para BRASIL",DataTable[[#This Row],[Valor]]&gt;350),1,0)</f>
        <v>0</v>
      </c>
      <c r="AA475" s="3">
        <f>IF(DataTable[[#This Row],[Valor]]&gt;1,0,0)</f>
        <v>0</v>
      </c>
    </row>
    <row r="476" spans="1:27" x14ac:dyDescent="0.25">
      <c r="A476" s="2" t="s">
        <v>18</v>
      </c>
      <c r="B476" s="2">
        <v>67</v>
      </c>
      <c r="C476" s="3">
        <f t="shared" si="120"/>
        <v>72.83</v>
      </c>
      <c r="D476" s="3">
        <f t="shared" si="121"/>
        <v>87.65</v>
      </c>
      <c r="E476" s="3">
        <f t="shared" si="122"/>
        <v>83.75</v>
      </c>
      <c r="F476" s="3">
        <f t="shared" si="123"/>
        <v>59.64</v>
      </c>
      <c r="G476" s="3">
        <f t="shared" si="124"/>
        <v>136.95999999999998</v>
      </c>
      <c r="H476" s="3">
        <f t="shared" si="125"/>
        <v>136.95999999999998</v>
      </c>
      <c r="I476" s="3"/>
      <c r="J476" s="3">
        <f t="shared" si="126"/>
        <v>79.849999999999994</v>
      </c>
      <c r="K476" s="3">
        <f t="shared" si="127"/>
        <v>87.65</v>
      </c>
      <c r="L476" s="34">
        <f t="shared" si="128"/>
        <v>83.75</v>
      </c>
      <c r="M476" s="3">
        <f t="shared" si="129"/>
        <v>-26.8</v>
      </c>
      <c r="N476" s="3">
        <f t="shared" si="130"/>
        <v>136.6</v>
      </c>
      <c r="O476" s="3"/>
      <c r="P476" s="3">
        <f t="shared" si="131"/>
        <v>45.967892913385825</v>
      </c>
      <c r="Q476" s="3">
        <f t="shared" si="132"/>
        <v>109.8176</v>
      </c>
      <c r="R476" s="3">
        <f>vd(DataTable[[#This Row],[Sentido]],DataTable[[#This Row],[Valor]])</f>
        <v>61.976377952755904</v>
      </c>
      <c r="S476" s="3">
        <f>IF(DataTable[[#This Row],[Valor]]&gt;1,1,1)</f>
        <v>1</v>
      </c>
      <c r="T476" s="3">
        <f>IF(DataTable[[#This Row],[Valor]]&gt;1,1,1)</f>
        <v>1</v>
      </c>
      <c r="U476" s="3">
        <f>angr(DataTable[[#This Row],[Sentido]],DataTable[[#This Row],[Valor]])</f>
        <v>64.051181102362207</v>
      </c>
      <c r="V476" s="3">
        <f>ANGI(DataTable[[#This Row],[Sentido]],DataTable[[#This Row],[Valor]])</f>
        <v>64.25118110236221</v>
      </c>
      <c r="W476" s="3">
        <f t="shared" si="133"/>
        <v>1</v>
      </c>
      <c r="X476" s="3">
        <f>IF(DataTable[[#This Row],[Valor]]&gt;1,1,1)</f>
        <v>1</v>
      </c>
      <c r="Y476" s="3">
        <f t="shared" si="134"/>
        <v>1</v>
      </c>
      <c r="Z476" s="3">
        <f>IF(AND(DataTable[[#This Row],[Sentido]]="URUGUAI para BRASIL",DataTable[[#This Row],[Valor]]&gt;350),1,0)</f>
        <v>0</v>
      </c>
      <c r="AA476" s="3">
        <f>IF(DataTable[[#This Row],[Valor]]&gt;1,0,0)</f>
        <v>0</v>
      </c>
    </row>
    <row r="477" spans="1:27" x14ac:dyDescent="0.25">
      <c r="A477" s="2" t="s">
        <v>18</v>
      </c>
      <c r="B477" s="2">
        <v>68</v>
      </c>
      <c r="C477" s="3">
        <f t="shared" si="120"/>
        <v>72.83</v>
      </c>
      <c r="D477" s="3">
        <f t="shared" si="121"/>
        <v>87.65</v>
      </c>
      <c r="E477" s="3">
        <f t="shared" si="122"/>
        <v>83.75</v>
      </c>
      <c r="F477" s="3">
        <f t="shared" si="123"/>
        <v>59.56</v>
      </c>
      <c r="G477" s="3">
        <f t="shared" si="124"/>
        <v>136.84</v>
      </c>
      <c r="H477" s="3">
        <f t="shared" si="125"/>
        <v>136.84</v>
      </c>
      <c r="I477" s="3"/>
      <c r="J477" s="3">
        <f t="shared" si="126"/>
        <v>79.849999999999994</v>
      </c>
      <c r="K477" s="3">
        <f t="shared" si="127"/>
        <v>87.65</v>
      </c>
      <c r="L477" s="34">
        <f t="shared" si="128"/>
        <v>83.75</v>
      </c>
      <c r="M477" s="3">
        <f t="shared" si="129"/>
        <v>-27.200000000000003</v>
      </c>
      <c r="N477" s="3">
        <f t="shared" si="130"/>
        <v>136.4</v>
      </c>
      <c r="O477" s="3"/>
      <c r="P477" s="3">
        <f t="shared" si="131"/>
        <v>46.090948031496069</v>
      </c>
      <c r="Q477" s="3">
        <f t="shared" si="132"/>
        <v>109.8176</v>
      </c>
      <c r="R477" s="3">
        <f>vd(DataTable[[#This Row],[Sentido]],DataTable[[#This Row],[Valor]])</f>
        <v>62.826771653543304</v>
      </c>
      <c r="S477" s="3">
        <f>IF(DataTable[[#This Row],[Valor]]&gt;1,1,1)</f>
        <v>1</v>
      </c>
      <c r="T477" s="3">
        <f>IF(DataTable[[#This Row],[Valor]]&gt;1,1,1)</f>
        <v>1</v>
      </c>
      <c r="U477" s="3">
        <f>angr(DataTable[[#This Row],[Sentido]],DataTable[[#This Row],[Valor]])</f>
        <v>63.70866141732283</v>
      </c>
      <c r="V477" s="3">
        <f>ANGI(DataTable[[#This Row],[Sentido]],DataTable[[#This Row],[Valor]])</f>
        <v>63.908661417322833</v>
      </c>
      <c r="W477" s="3">
        <f t="shared" si="133"/>
        <v>1</v>
      </c>
      <c r="X477" s="3">
        <f>IF(DataTable[[#This Row],[Valor]]&gt;1,1,1)</f>
        <v>1</v>
      </c>
      <c r="Y477" s="3">
        <f t="shared" si="134"/>
        <v>1</v>
      </c>
      <c r="Z477" s="3">
        <f>IF(AND(DataTable[[#This Row],[Sentido]]="URUGUAI para BRASIL",DataTable[[#This Row],[Valor]]&gt;350),1,0)</f>
        <v>0</v>
      </c>
      <c r="AA477" s="3">
        <f>IF(DataTable[[#This Row],[Valor]]&gt;1,0,0)</f>
        <v>0</v>
      </c>
    </row>
    <row r="478" spans="1:27" x14ac:dyDescent="0.25">
      <c r="A478" s="2" t="s">
        <v>18</v>
      </c>
      <c r="B478" s="2">
        <v>69</v>
      </c>
      <c r="C478" s="3">
        <f t="shared" si="120"/>
        <v>72.83</v>
      </c>
      <c r="D478" s="3">
        <f t="shared" si="121"/>
        <v>87.65</v>
      </c>
      <c r="E478" s="3">
        <f t="shared" si="122"/>
        <v>83.75</v>
      </c>
      <c r="F478" s="3">
        <f t="shared" si="123"/>
        <v>59.48</v>
      </c>
      <c r="G478" s="3">
        <f t="shared" si="124"/>
        <v>136.72</v>
      </c>
      <c r="H478" s="3">
        <f t="shared" si="125"/>
        <v>136.72</v>
      </c>
      <c r="I478" s="3"/>
      <c r="J478" s="3">
        <f t="shared" si="126"/>
        <v>79.849999999999994</v>
      </c>
      <c r="K478" s="3">
        <f t="shared" si="127"/>
        <v>87.65</v>
      </c>
      <c r="L478" s="34">
        <f t="shared" si="128"/>
        <v>83.75</v>
      </c>
      <c r="M478" s="3">
        <f t="shared" si="129"/>
        <v>-27.6</v>
      </c>
      <c r="N478" s="3">
        <f t="shared" si="130"/>
        <v>136.19999999999999</v>
      </c>
      <c r="O478" s="3"/>
      <c r="P478" s="3">
        <f t="shared" si="131"/>
        <v>46.214003149606306</v>
      </c>
      <c r="Q478" s="3">
        <f t="shared" si="132"/>
        <v>109.8176</v>
      </c>
      <c r="R478" s="3">
        <f>vd(DataTable[[#This Row],[Sentido]],DataTable[[#This Row],[Valor]])</f>
        <v>63.677165354330711</v>
      </c>
      <c r="S478" s="3">
        <f>IF(DataTable[[#This Row],[Valor]]&gt;1,1,1)</f>
        <v>1</v>
      </c>
      <c r="T478" s="3">
        <f>IF(DataTable[[#This Row],[Valor]]&gt;1,1,1)</f>
        <v>1</v>
      </c>
      <c r="U478" s="3">
        <f>angr(DataTable[[#This Row],[Sentido]],DataTable[[#This Row],[Valor]])</f>
        <v>63.366141732283459</v>
      </c>
      <c r="V478" s="3">
        <f>ANGI(DataTable[[#This Row],[Sentido]],DataTable[[#This Row],[Valor]])</f>
        <v>63.566141732283462</v>
      </c>
      <c r="W478" s="3">
        <f t="shared" si="133"/>
        <v>1</v>
      </c>
      <c r="X478" s="3">
        <f>IF(DataTable[[#This Row],[Valor]]&gt;1,1,1)</f>
        <v>1</v>
      </c>
      <c r="Y478" s="3">
        <f t="shared" si="134"/>
        <v>1</v>
      </c>
      <c r="Z478" s="3">
        <f>IF(AND(DataTable[[#This Row],[Sentido]]="URUGUAI para BRASIL",DataTable[[#This Row],[Valor]]&gt;350),1,0)</f>
        <v>0</v>
      </c>
      <c r="AA478" s="3">
        <f>IF(DataTable[[#This Row],[Valor]]&gt;1,0,0)</f>
        <v>0</v>
      </c>
    </row>
    <row r="479" spans="1:27" x14ac:dyDescent="0.25">
      <c r="A479" s="2" t="s">
        <v>18</v>
      </c>
      <c r="B479" s="2">
        <v>70</v>
      </c>
      <c r="C479" s="3">
        <f t="shared" si="120"/>
        <v>72.83</v>
      </c>
      <c r="D479" s="3">
        <f t="shared" si="121"/>
        <v>87.65</v>
      </c>
      <c r="E479" s="3">
        <f t="shared" si="122"/>
        <v>83.75</v>
      </c>
      <c r="F479" s="3">
        <f t="shared" si="123"/>
        <v>59.4</v>
      </c>
      <c r="G479" s="3">
        <f t="shared" si="124"/>
        <v>136.6</v>
      </c>
      <c r="H479" s="3">
        <f t="shared" si="125"/>
        <v>136.6</v>
      </c>
      <c r="I479" s="3"/>
      <c r="J479" s="3">
        <f t="shared" si="126"/>
        <v>79.849999999999994</v>
      </c>
      <c r="K479" s="3">
        <f t="shared" si="127"/>
        <v>87.65</v>
      </c>
      <c r="L479" s="34">
        <f t="shared" si="128"/>
        <v>83.75</v>
      </c>
      <c r="M479" s="3">
        <f t="shared" si="129"/>
        <v>-28</v>
      </c>
      <c r="N479" s="3">
        <f t="shared" si="130"/>
        <v>136</v>
      </c>
      <c r="O479" s="3"/>
      <c r="P479" s="3">
        <f t="shared" si="131"/>
        <v>46.337058267716536</v>
      </c>
      <c r="Q479" s="3">
        <f t="shared" si="132"/>
        <v>109.8176</v>
      </c>
      <c r="R479" s="3">
        <f>vd(DataTable[[#This Row],[Sentido]],DataTable[[#This Row],[Valor]])</f>
        <v>64.527559055118104</v>
      </c>
      <c r="S479" s="3">
        <f>IF(DataTable[[#This Row],[Valor]]&gt;1,1,1)</f>
        <v>1</v>
      </c>
      <c r="T479" s="3">
        <f>IF(DataTable[[#This Row],[Valor]]&gt;1,1,1)</f>
        <v>1</v>
      </c>
      <c r="U479" s="3">
        <f>angr(DataTable[[#This Row],[Sentido]],DataTable[[#This Row],[Valor]])</f>
        <v>63.023622047244089</v>
      </c>
      <c r="V479" s="3">
        <f>ANGI(DataTable[[#This Row],[Sentido]],DataTable[[#This Row],[Valor]])</f>
        <v>63.223622047244092</v>
      </c>
      <c r="W479" s="3">
        <f t="shared" si="133"/>
        <v>1</v>
      </c>
      <c r="X479" s="3">
        <f>IF(DataTable[[#This Row],[Valor]]&gt;1,1,1)</f>
        <v>1</v>
      </c>
      <c r="Y479" s="3">
        <f t="shared" si="134"/>
        <v>1</v>
      </c>
      <c r="Z479" s="3">
        <f>IF(AND(DataTable[[#This Row],[Sentido]]="URUGUAI para BRASIL",DataTable[[#This Row],[Valor]]&gt;350),1,0)</f>
        <v>0</v>
      </c>
      <c r="AA479" s="3">
        <f>IF(DataTable[[#This Row],[Valor]]&gt;1,0,0)</f>
        <v>0</v>
      </c>
    </row>
    <row r="480" spans="1:27" x14ac:dyDescent="0.25">
      <c r="A480" s="2" t="s">
        <v>18</v>
      </c>
      <c r="B480" s="2">
        <v>71</v>
      </c>
      <c r="C480" s="3">
        <f t="shared" si="120"/>
        <v>72.83</v>
      </c>
      <c r="D480" s="3">
        <f t="shared" si="121"/>
        <v>87.65</v>
      </c>
      <c r="E480" s="3">
        <f t="shared" si="122"/>
        <v>83.75</v>
      </c>
      <c r="F480" s="3">
        <f t="shared" si="123"/>
        <v>59.32</v>
      </c>
      <c r="G480" s="3">
        <f t="shared" si="124"/>
        <v>136.48000000000002</v>
      </c>
      <c r="H480" s="3">
        <f t="shared" si="125"/>
        <v>136.48000000000002</v>
      </c>
      <c r="I480" s="3"/>
      <c r="J480" s="3">
        <f t="shared" si="126"/>
        <v>79.849999999999994</v>
      </c>
      <c r="K480" s="3">
        <f t="shared" si="127"/>
        <v>87.65</v>
      </c>
      <c r="L480" s="34">
        <f t="shared" si="128"/>
        <v>83.75</v>
      </c>
      <c r="M480" s="3">
        <f t="shared" si="129"/>
        <v>-28.400000000000002</v>
      </c>
      <c r="N480" s="3">
        <f t="shared" si="130"/>
        <v>135.80000000000001</v>
      </c>
      <c r="O480" s="3"/>
      <c r="P480" s="3">
        <f t="shared" si="131"/>
        <v>46.460113385826773</v>
      </c>
      <c r="Q480" s="3">
        <f t="shared" si="132"/>
        <v>109.8176</v>
      </c>
      <c r="R480" s="3">
        <f>vd(DataTable[[#This Row],[Sentido]],DataTable[[#This Row],[Valor]])</f>
        <v>65.377952755905511</v>
      </c>
      <c r="S480" s="3">
        <f>IF(DataTable[[#This Row],[Valor]]&gt;1,1,1)</f>
        <v>1</v>
      </c>
      <c r="T480" s="3">
        <f>IF(DataTable[[#This Row],[Valor]]&gt;1,1,1)</f>
        <v>1</v>
      </c>
      <c r="U480" s="3">
        <f>angr(DataTable[[#This Row],[Sentido]],DataTable[[#This Row],[Valor]])</f>
        <v>62.681102362204719</v>
      </c>
      <c r="V480" s="3">
        <f>ANGI(DataTable[[#This Row],[Sentido]],DataTable[[#This Row],[Valor]])</f>
        <v>62.881102362204722</v>
      </c>
      <c r="W480" s="3">
        <f t="shared" si="133"/>
        <v>1</v>
      </c>
      <c r="X480" s="3">
        <f>IF(DataTable[[#This Row],[Valor]]&gt;1,1,1)</f>
        <v>1</v>
      </c>
      <c r="Y480" s="3">
        <f t="shared" si="134"/>
        <v>1</v>
      </c>
      <c r="Z480" s="3">
        <f>IF(AND(DataTable[[#This Row],[Sentido]]="URUGUAI para BRASIL",DataTable[[#This Row],[Valor]]&gt;350),1,0)</f>
        <v>0</v>
      </c>
      <c r="AA480" s="3">
        <f>IF(DataTable[[#This Row],[Valor]]&gt;1,0,0)</f>
        <v>0</v>
      </c>
    </row>
    <row r="481" spans="1:27" x14ac:dyDescent="0.25">
      <c r="A481" s="2" t="s">
        <v>18</v>
      </c>
      <c r="B481" s="2">
        <v>72</v>
      </c>
      <c r="C481" s="3">
        <f t="shared" si="120"/>
        <v>72.83</v>
      </c>
      <c r="D481" s="3">
        <f t="shared" si="121"/>
        <v>87.65</v>
      </c>
      <c r="E481" s="3">
        <f t="shared" si="122"/>
        <v>83.75</v>
      </c>
      <c r="F481" s="3">
        <f t="shared" si="123"/>
        <v>59.24</v>
      </c>
      <c r="G481" s="3">
        <f t="shared" si="124"/>
        <v>136.36000000000001</v>
      </c>
      <c r="H481" s="3">
        <f t="shared" si="125"/>
        <v>136.36000000000001</v>
      </c>
      <c r="I481" s="3"/>
      <c r="J481" s="3">
        <f t="shared" si="126"/>
        <v>79.849999999999994</v>
      </c>
      <c r="K481" s="3">
        <f t="shared" si="127"/>
        <v>87.65</v>
      </c>
      <c r="L481" s="34">
        <f t="shared" si="128"/>
        <v>83.75</v>
      </c>
      <c r="M481" s="3">
        <f t="shared" si="129"/>
        <v>-28.8</v>
      </c>
      <c r="N481" s="3">
        <f t="shared" si="130"/>
        <v>135.6</v>
      </c>
      <c r="O481" s="3"/>
      <c r="P481" s="3">
        <f t="shared" si="131"/>
        <v>46.58316850393701</v>
      </c>
      <c r="Q481" s="3">
        <f t="shared" si="132"/>
        <v>109.8176</v>
      </c>
      <c r="R481" s="3">
        <f>vd(DataTable[[#This Row],[Sentido]],DataTable[[#This Row],[Valor]])</f>
        <v>66.228346456692918</v>
      </c>
      <c r="S481" s="3">
        <f>IF(DataTable[[#This Row],[Valor]]&gt;1,1,1)</f>
        <v>1</v>
      </c>
      <c r="T481" s="3">
        <f>IF(DataTable[[#This Row],[Valor]]&gt;1,1,1)</f>
        <v>1</v>
      </c>
      <c r="U481" s="3">
        <f>angr(DataTable[[#This Row],[Sentido]],DataTable[[#This Row],[Valor]])</f>
        <v>62.338582677165356</v>
      </c>
      <c r="V481" s="3">
        <f>ANGI(DataTable[[#This Row],[Sentido]],DataTable[[#This Row],[Valor]])</f>
        <v>62.538582677165358</v>
      </c>
      <c r="W481" s="3">
        <f t="shared" si="133"/>
        <v>1</v>
      </c>
      <c r="X481" s="3">
        <f>IF(DataTable[[#This Row],[Valor]]&gt;1,1,1)</f>
        <v>1</v>
      </c>
      <c r="Y481" s="3">
        <f t="shared" si="134"/>
        <v>1</v>
      </c>
      <c r="Z481" s="3">
        <f>IF(AND(DataTable[[#This Row],[Sentido]]="URUGUAI para BRASIL",DataTable[[#This Row],[Valor]]&gt;350),1,0)</f>
        <v>0</v>
      </c>
      <c r="AA481" s="3">
        <f>IF(DataTable[[#This Row],[Valor]]&gt;1,0,0)</f>
        <v>0</v>
      </c>
    </row>
    <row r="482" spans="1:27" x14ac:dyDescent="0.25">
      <c r="A482" s="2" t="s">
        <v>18</v>
      </c>
      <c r="B482" s="2">
        <v>73</v>
      </c>
      <c r="C482" s="3">
        <f t="shared" si="120"/>
        <v>72.83</v>
      </c>
      <c r="D482" s="3">
        <f t="shared" si="121"/>
        <v>87.65</v>
      </c>
      <c r="E482" s="3">
        <f t="shared" si="122"/>
        <v>83.75</v>
      </c>
      <c r="F482" s="3">
        <f t="shared" si="123"/>
        <v>59.16</v>
      </c>
      <c r="G482" s="3">
        <f t="shared" si="124"/>
        <v>136.24</v>
      </c>
      <c r="H482" s="3">
        <f t="shared" si="125"/>
        <v>136.24</v>
      </c>
      <c r="I482" s="3"/>
      <c r="J482" s="3">
        <f t="shared" si="126"/>
        <v>79.849999999999994</v>
      </c>
      <c r="K482" s="3">
        <f t="shared" si="127"/>
        <v>87.65</v>
      </c>
      <c r="L482" s="34">
        <f t="shared" si="128"/>
        <v>83.75</v>
      </c>
      <c r="M482" s="3">
        <f t="shared" si="129"/>
        <v>-29.200000000000003</v>
      </c>
      <c r="N482" s="3">
        <f t="shared" si="130"/>
        <v>135.4</v>
      </c>
      <c r="O482" s="3"/>
      <c r="P482" s="3">
        <f t="shared" si="131"/>
        <v>46.706223622047247</v>
      </c>
      <c r="Q482" s="3">
        <f t="shared" si="132"/>
        <v>109.8176</v>
      </c>
      <c r="R482" s="3">
        <f>vd(DataTable[[#This Row],[Sentido]],DataTable[[#This Row],[Valor]])</f>
        <v>67.078740157480311</v>
      </c>
      <c r="S482" s="3">
        <f>IF(DataTable[[#This Row],[Valor]]&gt;1,1,1)</f>
        <v>1</v>
      </c>
      <c r="T482" s="3">
        <f>IF(DataTable[[#This Row],[Valor]]&gt;1,1,1)</f>
        <v>1</v>
      </c>
      <c r="U482" s="3">
        <f>angr(DataTable[[#This Row],[Sentido]],DataTable[[#This Row],[Valor]])</f>
        <v>61.996062992125985</v>
      </c>
      <c r="V482" s="3">
        <f>ANGI(DataTable[[#This Row],[Sentido]],DataTable[[#This Row],[Valor]])</f>
        <v>62.196062992125988</v>
      </c>
      <c r="W482" s="3">
        <f t="shared" si="133"/>
        <v>1</v>
      </c>
      <c r="X482" s="3">
        <f>IF(DataTable[[#This Row],[Valor]]&gt;1,1,1)</f>
        <v>1</v>
      </c>
      <c r="Y482" s="3">
        <f t="shared" si="134"/>
        <v>1</v>
      </c>
      <c r="Z482" s="3">
        <f>IF(AND(DataTable[[#This Row],[Sentido]]="URUGUAI para BRASIL",DataTable[[#This Row],[Valor]]&gt;350),1,0)</f>
        <v>0</v>
      </c>
      <c r="AA482" s="3">
        <f>IF(DataTable[[#This Row],[Valor]]&gt;1,0,0)</f>
        <v>0</v>
      </c>
    </row>
    <row r="483" spans="1:27" x14ac:dyDescent="0.25">
      <c r="A483" s="2" t="s">
        <v>18</v>
      </c>
      <c r="B483" s="2">
        <v>74</v>
      </c>
      <c r="C483" s="3">
        <f t="shared" si="120"/>
        <v>72.83</v>
      </c>
      <c r="D483" s="3">
        <f t="shared" si="121"/>
        <v>87.65</v>
      </c>
      <c r="E483" s="3">
        <f t="shared" si="122"/>
        <v>83.75</v>
      </c>
      <c r="F483" s="3">
        <f t="shared" si="123"/>
        <v>59.08</v>
      </c>
      <c r="G483" s="3">
        <f t="shared" si="124"/>
        <v>136.12</v>
      </c>
      <c r="H483" s="3">
        <f t="shared" si="125"/>
        <v>136.12</v>
      </c>
      <c r="I483" s="3"/>
      <c r="J483" s="3">
        <f t="shared" si="126"/>
        <v>79.849999999999994</v>
      </c>
      <c r="K483" s="3">
        <f t="shared" si="127"/>
        <v>87.65</v>
      </c>
      <c r="L483" s="34">
        <f t="shared" si="128"/>
        <v>83.75</v>
      </c>
      <c r="M483" s="3">
        <f t="shared" si="129"/>
        <v>-29.6</v>
      </c>
      <c r="N483" s="3">
        <f t="shared" si="130"/>
        <v>135.19999999999999</v>
      </c>
      <c r="O483" s="3"/>
      <c r="P483" s="3">
        <f t="shared" si="131"/>
        <v>46.829278740157484</v>
      </c>
      <c r="Q483" s="3">
        <f t="shared" si="132"/>
        <v>109.8176</v>
      </c>
      <c r="R483" s="3">
        <f>vd(DataTable[[#This Row],[Sentido]],DataTable[[#This Row],[Valor]])</f>
        <v>67.929133858267718</v>
      </c>
      <c r="S483" s="3">
        <f>IF(DataTable[[#This Row],[Valor]]&gt;1,1,1)</f>
        <v>1</v>
      </c>
      <c r="T483" s="3">
        <f>IF(DataTable[[#This Row],[Valor]]&gt;1,1,1)</f>
        <v>1</v>
      </c>
      <c r="U483" s="3">
        <f>angr(DataTable[[#This Row],[Sentido]],DataTable[[#This Row],[Valor]])</f>
        <v>61.653543307086608</v>
      </c>
      <c r="V483" s="3">
        <f>ANGI(DataTable[[#This Row],[Sentido]],DataTable[[#This Row],[Valor]])</f>
        <v>61.853543307086611</v>
      </c>
      <c r="W483" s="3">
        <f t="shared" si="133"/>
        <v>1</v>
      </c>
      <c r="X483" s="3">
        <f>IF(DataTable[[#This Row],[Valor]]&gt;1,1,1)</f>
        <v>1</v>
      </c>
      <c r="Y483" s="3">
        <f t="shared" si="134"/>
        <v>1</v>
      </c>
      <c r="Z483" s="3">
        <f>IF(AND(DataTable[[#This Row],[Sentido]]="URUGUAI para BRASIL",DataTable[[#This Row],[Valor]]&gt;350),1,0)</f>
        <v>0</v>
      </c>
      <c r="AA483" s="3">
        <f>IF(DataTable[[#This Row],[Valor]]&gt;1,0,0)</f>
        <v>0</v>
      </c>
    </row>
    <row r="484" spans="1:27" x14ac:dyDescent="0.25">
      <c r="A484" s="2" t="s">
        <v>18</v>
      </c>
      <c r="B484" s="2">
        <v>75</v>
      </c>
      <c r="C484" s="3">
        <f t="shared" si="120"/>
        <v>72.83</v>
      </c>
      <c r="D484" s="3">
        <f t="shared" si="121"/>
        <v>87.65</v>
      </c>
      <c r="E484" s="3">
        <f t="shared" si="122"/>
        <v>83.75</v>
      </c>
      <c r="F484" s="3">
        <f t="shared" si="123"/>
        <v>59</v>
      </c>
      <c r="G484" s="3">
        <f t="shared" si="124"/>
        <v>136</v>
      </c>
      <c r="H484" s="3">
        <f t="shared" si="125"/>
        <v>136</v>
      </c>
      <c r="I484" s="3"/>
      <c r="J484" s="3">
        <f t="shared" si="126"/>
        <v>79.849999999999994</v>
      </c>
      <c r="K484" s="3">
        <f t="shared" si="127"/>
        <v>87.65</v>
      </c>
      <c r="L484" s="34">
        <f t="shared" si="128"/>
        <v>83.75</v>
      </c>
      <c r="M484" s="3">
        <f t="shared" si="129"/>
        <v>-30</v>
      </c>
      <c r="N484" s="3">
        <f t="shared" si="130"/>
        <v>135</v>
      </c>
      <c r="O484" s="3"/>
      <c r="P484" s="3">
        <f t="shared" si="131"/>
        <v>46.952333858267721</v>
      </c>
      <c r="Q484" s="3">
        <f t="shared" si="132"/>
        <v>109.8176</v>
      </c>
      <c r="R484" s="3">
        <f>vd(DataTable[[#This Row],[Sentido]],DataTable[[#This Row],[Valor]])</f>
        <v>68.779527559055111</v>
      </c>
      <c r="S484" s="3">
        <f>IF(DataTable[[#This Row],[Valor]]&gt;1,1,1)</f>
        <v>1</v>
      </c>
      <c r="T484" s="3">
        <f>IF(DataTable[[#This Row],[Valor]]&gt;1,1,1)</f>
        <v>1</v>
      </c>
      <c r="U484" s="3">
        <f>angr(DataTable[[#This Row],[Sentido]],DataTable[[#This Row],[Valor]])</f>
        <v>61.311023622047244</v>
      </c>
      <c r="V484" s="3">
        <f>ANGI(DataTable[[#This Row],[Sentido]],DataTable[[#This Row],[Valor]])</f>
        <v>61.511023622047247</v>
      </c>
      <c r="W484" s="3">
        <f t="shared" si="133"/>
        <v>1</v>
      </c>
      <c r="X484" s="3">
        <f>IF(DataTable[[#This Row],[Valor]]&gt;1,1,1)</f>
        <v>1</v>
      </c>
      <c r="Y484" s="3">
        <f t="shared" si="134"/>
        <v>1</v>
      </c>
      <c r="Z484" s="3">
        <f>IF(AND(DataTable[[#This Row],[Sentido]]="URUGUAI para BRASIL",DataTable[[#This Row],[Valor]]&gt;350),1,0)</f>
        <v>0</v>
      </c>
      <c r="AA484" s="3">
        <f>IF(DataTable[[#This Row],[Valor]]&gt;1,0,0)</f>
        <v>0</v>
      </c>
    </row>
    <row r="485" spans="1:27" x14ac:dyDescent="0.25">
      <c r="A485" s="2" t="s">
        <v>18</v>
      </c>
      <c r="B485" s="2">
        <v>76</v>
      </c>
      <c r="C485" s="3">
        <f t="shared" si="120"/>
        <v>72.83</v>
      </c>
      <c r="D485" s="3">
        <f t="shared" si="121"/>
        <v>87.65</v>
      </c>
      <c r="E485" s="3">
        <f t="shared" si="122"/>
        <v>83.75</v>
      </c>
      <c r="F485" s="3">
        <f t="shared" si="123"/>
        <v>58.92</v>
      </c>
      <c r="G485" s="3">
        <f t="shared" si="124"/>
        <v>135.88</v>
      </c>
      <c r="H485" s="3">
        <f t="shared" si="125"/>
        <v>135.88</v>
      </c>
      <c r="I485" s="3"/>
      <c r="J485" s="3">
        <f t="shared" si="126"/>
        <v>79.849999999999994</v>
      </c>
      <c r="K485" s="3">
        <f t="shared" si="127"/>
        <v>87.65</v>
      </c>
      <c r="L485" s="34">
        <f t="shared" si="128"/>
        <v>83.75</v>
      </c>
      <c r="M485" s="3">
        <f t="shared" si="129"/>
        <v>-30.400000000000002</v>
      </c>
      <c r="N485" s="3">
        <f t="shared" si="130"/>
        <v>134.80000000000001</v>
      </c>
      <c r="O485" s="3"/>
      <c r="P485" s="3">
        <f t="shared" si="131"/>
        <v>47.075388976377958</v>
      </c>
      <c r="Q485" s="3">
        <f t="shared" si="132"/>
        <v>109.8176</v>
      </c>
      <c r="R485" s="3">
        <f>vd(DataTable[[#This Row],[Sentido]],DataTable[[#This Row],[Valor]])</f>
        <v>69.629921259842519</v>
      </c>
      <c r="S485" s="3">
        <f>IF(DataTable[[#This Row],[Valor]]&gt;1,1,1)</f>
        <v>1</v>
      </c>
      <c r="T485" s="3">
        <f>IF(DataTable[[#This Row],[Valor]]&gt;1,1,1)</f>
        <v>1</v>
      </c>
      <c r="U485" s="3">
        <f>angr(DataTable[[#This Row],[Sentido]],DataTable[[#This Row],[Valor]])</f>
        <v>60.968503937007874</v>
      </c>
      <c r="V485" s="3">
        <f>ANGI(DataTable[[#This Row],[Sentido]],DataTable[[#This Row],[Valor]])</f>
        <v>61.168503937007877</v>
      </c>
      <c r="W485" s="3">
        <f t="shared" si="133"/>
        <v>1</v>
      </c>
      <c r="X485" s="3">
        <f>IF(DataTable[[#This Row],[Valor]]&gt;1,1,1)</f>
        <v>1</v>
      </c>
      <c r="Y485" s="3">
        <f t="shared" si="134"/>
        <v>1</v>
      </c>
      <c r="Z485" s="3">
        <f>IF(AND(DataTable[[#This Row],[Sentido]]="URUGUAI para BRASIL",DataTable[[#This Row],[Valor]]&gt;350),1,0)</f>
        <v>0</v>
      </c>
      <c r="AA485" s="3">
        <f>IF(DataTable[[#This Row],[Valor]]&gt;1,0,0)</f>
        <v>0</v>
      </c>
    </row>
    <row r="486" spans="1:27" x14ac:dyDescent="0.25">
      <c r="A486" s="2" t="s">
        <v>18</v>
      </c>
      <c r="B486" s="2">
        <v>77</v>
      </c>
      <c r="C486" s="3">
        <f t="shared" si="120"/>
        <v>72.83</v>
      </c>
      <c r="D486" s="3">
        <f t="shared" si="121"/>
        <v>87.65</v>
      </c>
      <c r="E486" s="3">
        <f t="shared" si="122"/>
        <v>83.75</v>
      </c>
      <c r="F486" s="3">
        <f t="shared" si="123"/>
        <v>58.84</v>
      </c>
      <c r="G486" s="3">
        <f t="shared" si="124"/>
        <v>135.76</v>
      </c>
      <c r="H486" s="3">
        <f t="shared" si="125"/>
        <v>135.76</v>
      </c>
      <c r="I486" s="3"/>
      <c r="J486" s="3">
        <f t="shared" si="126"/>
        <v>79.849999999999994</v>
      </c>
      <c r="K486" s="3">
        <f t="shared" si="127"/>
        <v>87.65</v>
      </c>
      <c r="L486" s="34">
        <f t="shared" si="128"/>
        <v>83.75</v>
      </c>
      <c r="M486" s="3">
        <f t="shared" si="129"/>
        <v>-30.8</v>
      </c>
      <c r="N486" s="3">
        <f t="shared" si="130"/>
        <v>134.6</v>
      </c>
      <c r="O486" s="3"/>
      <c r="P486" s="3">
        <f t="shared" si="131"/>
        <v>47.198444094488188</v>
      </c>
      <c r="Q486" s="3">
        <f t="shared" si="132"/>
        <v>109.8176</v>
      </c>
      <c r="R486" s="3">
        <f>vd(DataTable[[#This Row],[Sentido]],DataTable[[#This Row],[Valor]])</f>
        <v>70.359930008748904</v>
      </c>
      <c r="S486" s="3">
        <f>IF(DataTable[[#This Row],[Valor]]&gt;1,1,1)</f>
        <v>1</v>
      </c>
      <c r="T486" s="3">
        <f>IF(DataTable[[#This Row],[Valor]]&gt;1,1,1)</f>
        <v>1</v>
      </c>
      <c r="U486" s="3">
        <f>angr(DataTable[[#This Row],[Sentido]],DataTable[[#This Row],[Valor]])</f>
        <v>60.655030621172351</v>
      </c>
      <c r="V486" s="3">
        <f>ANGI(DataTable[[#This Row],[Sentido]],DataTable[[#This Row],[Valor]])</f>
        <v>60.855030621172354</v>
      </c>
      <c r="W486" s="3">
        <f t="shared" si="133"/>
        <v>1</v>
      </c>
      <c r="X486" s="3">
        <f>IF(DataTable[[#This Row],[Valor]]&gt;1,1,1)</f>
        <v>1</v>
      </c>
      <c r="Y486" s="3">
        <f t="shared" si="134"/>
        <v>1</v>
      </c>
      <c r="Z486" s="3">
        <f>IF(AND(DataTable[[#This Row],[Sentido]]="URUGUAI para BRASIL",DataTable[[#This Row],[Valor]]&gt;350),1,0)</f>
        <v>0</v>
      </c>
      <c r="AA486" s="3">
        <f>IF(DataTable[[#This Row],[Valor]]&gt;1,0,0)</f>
        <v>0</v>
      </c>
    </row>
    <row r="487" spans="1:27" x14ac:dyDescent="0.25">
      <c r="A487" s="2" t="s">
        <v>18</v>
      </c>
      <c r="B487" s="2">
        <v>78</v>
      </c>
      <c r="C487" s="3">
        <f t="shared" si="120"/>
        <v>72.83</v>
      </c>
      <c r="D487" s="3">
        <f t="shared" si="121"/>
        <v>87.65</v>
      </c>
      <c r="E487" s="3">
        <f t="shared" si="122"/>
        <v>83.75</v>
      </c>
      <c r="F487" s="3">
        <f t="shared" si="123"/>
        <v>58.76</v>
      </c>
      <c r="G487" s="3">
        <f t="shared" si="124"/>
        <v>135.63999999999999</v>
      </c>
      <c r="H487" s="3">
        <f t="shared" si="125"/>
        <v>135.63999999999999</v>
      </c>
      <c r="I487" s="3"/>
      <c r="J487" s="3">
        <f t="shared" si="126"/>
        <v>79.849999999999994</v>
      </c>
      <c r="K487" s="3">
        <f t="shared" si="127"/>
        <v>87.65</v>
      </c>
      <c r="L487" s="34">
        <f t="shared" si="128"/>
        <v>83.75</v>
      </c>
      <c r="M487" s="3">
        <f t="shared" si="129"/>
        <v>-31.200000000000003</v>
      </c>
      <c r="N487" s="3">
        <f t="shared" si="130"/>
        <v>134.4</v>
      </c>
      <c r="O487" s="3"/>
      <c r="P487" s="3">
        <f t="shared" si="131"/>
        <v>47.321499212598425</v>
      </c>
      <c r="Q487" s="3">
        <f t="shared" si="132"/>
        <v>109.8176</v>
      </c>
      <c r="R487" s="3">
        <f>vd(DataTable[[#This Row],[Sentido]],DataTable[[#This Row],[Valor]])</f>
        <v>71.059842519685034</v>
      </c>
      <c r="S487" s="3">
        <f>IF(DataTable[[#This Row],[Valor]]&gt;1,1,1)</f>
        <v>1</v>
      </c>
      <c r="T487" s="3">
        <f>IF(DataTable[[#This Row],[Valor]]&gt;1,1,1)</f>
        <v>1</v>
      </c>
      <c r="U487" s="3">
        <f>angr(DataTable[[#This Row],[Sentido]],DataTable[[#This Row],[Valor]])</f>
        <v>60.348818897637798</v>
      </c>
      <c r="V487" s="3">
        <f>ANGI(DataTable[[#This Row],[Sentido]],DataTable[[#This Row],[Valor]])</f>
        <v>60.548818897637794</v>
      </c>
      <c r="W487" s="3">
        <f t="shared" si="133"/>
        <v>1</v>
      </c>
      <c r="X487" s="3">
        <f>IF(DataTable[[#This Row],[Valor]]&gt;1,1,1)</f>
        <v>1</v>
      </c>
      <c r="Y487" s="3">
        <f t="shared" si="134"/>
        <v>1</v>
      </c>
      <c r="Z487" s="3">
        <f>IF(AND(DataTable[[#This Row],[Sentido]]="URUGUAI para BRASIL",DataTable[[#This Row],[Valor]]&gt;350),1,0)</f>
        <v>0</v>
      </c>
      <c r="AA487" s="3">
        <f>IF(DataTable[[#This Row],[Valor]]&gt;1,0,0)</f>
        <v>0</v>
      </c>
    </row>
    <row r="488" spans="1:27" x14ac:dyDescent="0.25">
      <c r="A488" s="2" t="s">
        <v>18</v>
      </c>
      <c r="B488" s="2">
        <v>79</v>
      </c>
      <c r="C488" s="3">
        <f t="shared" si="120"/>
        <v>72.83</v>
      </c>
      <c r="D488" s="3">
        <f t="shared" si="121"/>
        <v>87.65</v>
      </c>
      <c r="E488" s="3">
        <f t="shared" si="122"/>
        <v>83.75</v>
      </c>
      <c r="F488" s="3">
        <f t="shared" si="123"/>
        <v>58.68</v>
      </c>
      <c r="G488" s="3">
        <f t="shared" si="124"/>
        <v>135.51999999999998</v>
      </c>
      <c r="H488" s="3">
        <f t="shared" si="125"/>
        <v>135.51999999999998</v>
      </c>
      <c r="I488" s="3"/>
      <c r="J488" s="3">
        <f t="shared" si="126"/>
        <v>79.849999999999994</v>
      </c>
      <c r="K488" s="3">
        <f t="shared" si="127"/>
        <v>87.65</v>
      </c>
      <c r="L488" s="34">
        <f t="shared" si="128"/>
        <v>83.75</v>
      </c>
      <c r="M488" s="3">
        <f t="shared" si="129"/>
        <v>-31.6</v>
      </c>
      <c r="N488" s="3">
        <f t="shared" si="130"/>
        <v>134.19999999999999</v>
      </c>
      <c r="O488" s="3"/>
      <c r="P488" s="3">
        <f t="shared" si="131"/>
        <v>47.444554330708669</v>
      </c>
      <c r="Q488" s="3">
        <f t="shared" si="132"/>
        <v>109.8176</v>
      </c>
      <c r="R488" s="3">
        <f>vd(DataTable[[#This Row],[Sentido]],DataTable[[#This Row],[Valor]])</f>
        <v>71.759755030621179</v>
      </c>
      <c r="S488" s="3">
        <f>IF(DataTable[[#This Row],[Valor]]&gt;1,1,1)</f>
        <v>1</v>
      </c>
      <c r="T488" s="3">
        <f>IF(DataTable[[#This Row],[Valor]]&gt;1,1,1)</f>
        <v>1</v>
      </c>
      <c r="U488" s="3">
        <f>angr(DataTable[[#This Row],[Sentido]],DataTable[[#This Row],[Valor]])</f>
        <v>60.042607174103232</v>
      </c>
      <c r="V488" s="3">
        <f>ANGI(DataTable[[#This Row],[Sentido]],DataTable[[#This Row],[Valor]])</f>
        <v>60.242607174103235</v>
      </c>
      <c r="W488" s="3">
        <f t="shared" si="133"/>
        <v>1</v>
      </c>
      <c r="X488" s="3">
        <f>IF(DataTable[[#This Row],[Valor]]&gt;1,1,1)</f>
        <v>1</v>
      </c>
      <c r="Y488" s="3">
        <f t="shared" si="134"/>
        <v>1</v>
      </c>
      <c r="Z488" s="3">
        <f>IF(AND(DataTable[[#This Row],[Sentido]]="URUGUAI para BRASIL",DataTable[[#This Row],[Valor]]&gt;350),1,0)</f>
        <v>0</v>
      </c>
      <c r="AA488" s="3">
        <f>IF(DataTable[[#This Row],[Valor]]&gt;1,0,0)</f>
        <v>0</v>
      </c>
    </row>
    <row r="489" spans="1:27" x14ac:dyDescent="0.25">
      <c r="A489" s="2" t="s">
        <v>18</v>
      </c>
      <c r="B489" s="2">
        <v>80</v>
      </c>
      <c r="C489" s="3">
        <f t="shared" si="120"/>
        <v>72.83</v>
      </c>
      <c r="D489" s="3">
        <f t="shared" si="121"/>
        <v>87.65</v>
      </c>
      <c r="E489" s="3">
        <f t="shared" si="122"/>
        <v>83.75</v>
      </c>
      <c r="F489" s="3">
        <f t="shared" si="123"/>
        <v>58.6</v>
      </c>
      <c r="G489" s="3">
        <f t="shared" si="124"/>
        <v>135.4</v>
      </c>
      <c r="H489" s="3">
        <f t="shared" si="125"/>
        <v>135.4</v>
      </c>
      <c r="I489" s="3"/>
      <c r="J489" s="3">
        <f t="shared" si="126"/>
        <v>79.849999999999994</v>
      </c>
      <c r="K489" s="3">
        <f t="shared" si="127"/>
        <v>87.65</v>
      </c>
      <c r="L489" s="34">
        <f t="shared" si="128"/>
        <v>83.75</v>
      </c>
      <c r="M489" s="3">
        <f t="shared" si="129"/>
        <v>-32</v>
      </c>
      <c r="N489" s="3">
        <f t="shared" si="130"/>
        <v>134</v>
      </c>
      <c r="O489" s="3"/>
      <c r="P489" s="3">
        <f t="shared" si="131"/>
        <v>47.567609448818899</v>
      </c>
      <c r="Q489" s="3">
        <f t="shared" si="132"/>
        <v>109.8176</v>
      </c>
      <c r="R489" s="3">
        <f>vd(DataTable[[#This Row],[Sentido]],DataTable[[#This Row],[Valor]])</f>
        <v>72.459667541557309</v>
      </c>
      <c r="S489" s="3">
        <f>IF(DataTable[[#This Row],[Valor]]&gt;1,1,1)</f>
        <v>1</v>
      </c>
      <c r="T489" s="3">
        <f>IF(DataTable[[#This Row],[Valor]]&gt;1,1,1)</f>
        <v>1</v>
      </c>
      <c r="U489" s="3">
        <f>angr(DataTable[[#This Row],[Sentido]],DataTable[[#This Row],[Valor]])</f>
        <v>59.736395450568679</v>
      </c>
      <c r="V489" s="3">
        <f>ANGI(DataTable[[#This Row],[Sentido]],DataTable[[#This Row],[Valor]])</f>
        <v>59.936395450568682</v>
      </c>
      <c r="W489" s="3">
        <f t="shared" si="133"/>
        <v>1</v>
      </c>
      <c r="X489" s="3">
        <f>IF(DataTable[[#This Row],[Valor]]&gt;1,1,1)</f>
        <v>1</v>
      </c>
      <c r="Y489" s="3">
        <f t="shared" si="134"/>
        <v>1</v>
      </c>
      <c r="Z489" s="3">
        <f>IF(AND(DataTable[[#This Row],[Sentido]]="URUGUAI para BRASIL",DataTable[[#This Row],[Valor]]&gt;350),1,0)</f>
        <v>0</v>
      </c>
      <c r="AA489" s="3">
        <f>IF(DataTable[[#This Row],[Valor]]&gt;1,0,0)</f>
        <v>0</v>
      </c>
    </row>
    <row r="490" spans="1:27" x14ac:dyDescent="0.25">
      <c r="A490" s="2" t="s">
        <v>18</v>
      </c>
      <c r="B490" s="2">
        <v>81</v>
      </c>
      <c r="C490" s="3">
        <f t="shared" si="120"/>
        <v>72.83</v>
      </c>
      <c r="D490" s="3">
        <f t="shared" si="121"/>
        <v>87.65</v>
      </c>
      <c r="E490" s="3">
        <f t="shared" si="122"/>
        <v>83.75</v>
      </c>
      <c r="F490" s="3">
        <f t="shared" si="123"/>
        <v>58.519999999999996</v>
      </c>
      <c r="G490" s="3">
        <f t="shared" si="124"/>
        <v>135.28</v>
      </c>
      <c r="H490" s="3">
        <f t="shared" si="125"/>
        <v>135.28</v>
      </c>
      <c r="I490" s="3"/>
      <c r="J490" s="3">
        <f t="shared" si="126"/>
        <v>79.849999999999994</v>
      </c>
      <c r="K490" s="3">
        <f t="shared" si="127"/>
        <v>87.65</v>
      </c>
      <c r="L490" s="34">
        <f t="shared" si="128"/>
        <v>83.75</v>
      </c>
      <c r="M490" s="3">
        <f t="shared" si="129"/>
        <v>-32.4</v>
      </c>
      <c r="N490" s="3">
        <f t="shared" si="130"/>
        <v>133.80000000000001</v>
      </c>
      <c r="O490" s="3"/>
      <c r="P490" s="3">
        <f t="shared" si="131"/>
        <v>47.690664566929136</v>
      </c>
      <c r="Q490" s="3">
        <f t="shared" si="132"/>
        <v>109.8176</v>
      </c>
      <c r="R490" s="3">
        <f>vd(DataTable[[#This Row],[Sentido]],DataTable[[#This Row],[Valor]])</f>
        <v>73.159580052493439</v>
      </c>
      <c r="S490" s="3">
        <f>IF(DataTable[[#This Row],[Valor]]&gt;1,1,1)</f>
        <v>1</v>
      </c>
      <c r="T490" s="3">
        <f>IF(DataTable[[#This Row],[Valor]]&gt;1,1,1)</f>
        <v>1</v>
      </c>
      <c r="U490" s="3">
        <f>angr(DataTable[[#This Row],[Sentido]],DataTable[[#This Row],[Valor]])</f>
        <v>59.43018372703412</v>
      </c>
      <c r="V490" s="3">
        <f>ANGI(DataTable[[#This Row],[Sentido]],DataTable[[#This Row],[Valor]])</f>
        <v>59.630183727034122</v>
      </c>
      <c r="W490" s="3">
        <f t="shared" si="133"/>
        <v>1</v>
      </c>
      <c r="X490" s="3">
        <f>IF(DataTable[[#This Row],[Valor]]&gt;1,1,1)</f>
        <v>1</v>
      </c>
      <c r="Y490" s="3">
        <f t="shared" si="134"/>
        <v>1</v>
      </c>
      <c r="Z490" s="3">
        <f>IF(AND(DataTable[[#This Row],[Sentido]]="URUGUAI para BRASIL",DataTable[[#This Row],[Valor]]&gt;350),1,0)</f>
        <v>0</v>
      </c>
      <c r="AA490" s="3">
        <f>IF(DataTable[[#This Row],[Valor]]&gt;1,0,0)</f>
        <v>0</v>
      </c>
    </row>
    <row r="491" spans="1:27" x14ac:dyDescent="0.25">
      <c r="A491" s="2" t="s">
        <v>18</v>
      </c>
      <c r="B491" s="2">
        <v>82</v>
      </c>
      <c r="C491" s="3">
        <f t="shared" si="120"/>
        <v>72.83</v>
      </c>
      <c r="D491" s="3">
        <f t="shared" si="121"/>
        <v>87.65</v>
      </c>
      <c r="E491" s="3">
        <f t="shared" si="122"/>
        <v>83.75</v>
      </c>
      <c r="F491" s="3">
        <f t="shared" si="123"/>
        <v>58.44</v>
      </c>
      <c r="G491" s="3">
        <f t="shared" si="124"/>
        <v>135.16</v>
      </c>
      <c r="H491" s="3">
        <f t="shared" si="125"/>
        <v>135.16</v>
      </c>
      <c r="I491" s="3"/>
      <c r="J491" s="3">
        <f t="shared" si="126"/>
        <v>79.849999999999994</v>
      </c>
      <c r="K491" s="3">
        <f t="shared" si="127"/>
        <v>87.65</v>
      </c>
      <c r="L491" s="34">
        <f t="shared" si="128"/>
        <v>83.75</v>
      </c>
      <c r="M491" s="3">
        <f t="shared" si="129"/>
        <v>-32.800000000000004</v>
      </c>
      <c r="N491" s="3">
        <f t="shared" si="130"/>
        <v>133.6</v>
      </c>
      <c r="O491" s="3"/>
      <c r="P491" s="3">
        <f t="shared" si="131"/>
        <v>47.813719685039374</v>
      </c>
      <c r="Q491" s="3">
        <f t="shared" si="132"/>
        <v>109.8176</v>
      </c>
      <c r="R491" s="3">
        <f>vd(DataTable[[#This Row],[Sentido]],DataTable[[#This Row],[Valor]])</f>
        <v>73.859492563429569</v>
      </c>
      <c r="S491" s="3">
        <f>IF(DataTable[[#This Row],[Valor]]&gt;1,1,1)</f>
        <v>1</v>
      </c>
      <c r="T491" s="3">
        <f>IF(DataTable[[#This Row],[Valor]]&gt;1,1,1)</f>
        <v>1</v>
      </c>
      <c r="U491" s="3">
        <f>angr(DataTable[[#This Row],[Sentido]],DataTable[[#This Row],[Valor]])</f>
        <v>59.12397200349956</v>
      </c>
      <c r="V491" s="3">
        <f>ANGI(DataTable[[#This Row],[Sentido]],DataTable[[#This Row],[Valor]])</f>
        <v>59.323972003499563</v>
      </c>
      <c r="W491" s="3">
        <f t="shared" si="133"/>
        <v>1</v>
      </c>
      <c r="X491" s="3">
        <f>IF(DataTable[[#This Row],[Valor]]&gt;1,1,1)</f>
        <v>1</v>
      </c>
      <c r="Y491" s="3">
        <f t="shared" si="134"/>
        <v>1</v>
      </c>
      <c r="Z491" s="3">
        <f>IF(AND(DataTable[[#This Row],[Sentido]]="URUGUAI para BRASIL",DataTable[[#This Row],[Valor]]&gt;350),1,0)</f>
        <v>0</v>
      </c>
      <c r="AA491" s="3">
        <f>IF(DataTable[[#This Row],[Valor]]&gt;1,0,0)</f>
        <v>0</v>
      </c>
    </row>
    <row r="492" spans="1:27" x14ac:dyDescent="0.25">
      <c r="A492" s="2" t="s">
        <v>18</v>
      </c>
      <c r="B492" s="2">
        <v>83</v>
      </c>
      <c r="C492" s="3">
        <f t="shared" si="120"/>
        <v>72.83</v>
      </c>
      <c r="D492" s="3">
        <f t="shared" si="121"/>
        <v>87.65</v>
      </c>
      <c r="E492" s="3">
        <f t="shared" si="122"/>
        <v>83.75</v>
      </c>
      <c r="F492" s="3">
        <f t="shared" si="123"/>
        <v>58.36</v>
      </c>
      <c r="G492" s="3">
        <f t="shared" si="124"/>
        <v>135.04000000000002</v>
      </c>
      <c r="H492" s="3">
        <f t="shared" si="125"/>
        <v>135.04000000000002</v>
      </c>
      <c r="I492" s="3"/>
      <c r="J492" s="3">
        <f t="shared" si="126"/>
        <v>79.849999999999994</v>
      </c>
      <c r="K492" s="3">
        <f t="shared" si="127"/>
        <v>87.65</v>
      </c>
      <c r="L492" s="34">
        <f t="shared" si="128"/>
        <v>83.75</v>
      </c>
      <c r="M492" s="3">
        <f t="shared" si="129"/>
        <v>-33.200000000000003</v>
      </c>
      <c r="N492" s="3">
        <f t="shared" si="130"/>
        <v>133.4</v>
      </c>
      <c r="O492" s="3"/>
      <c r="P492" s="3">
        <f t="shared" si="131"/>
        <v>47.936774803149611</v>
      </c>
      <c r="Q492" s="3">
        <f t="shared" si="132"/>
        <v>109.8176</v>
      </c>
      <c r="R492" s="3">
        <f>vd(DataTable[[#This Row],[Sentido]],DataTable[[#This Row],[Valor]])</f>
        <v>74.559405074365714</v>
      </c>
      <c r="S492" s="3">
        <f>IF(DataTable[[#This Row],[Valor]]&gt;1,1,1)</f>
        <v>1</v>
      </c>
      <c r="T492" s="3">
        <f>IF(DataTable[[#This Row],[Valor]]&gt;1,1,1)</f>
        <v>1</v>
      </c>
      <c r="U492" s="3">
        <f>angr(DataTable[[#This Row],[Sentido]],DataTable[[#This Row],[Valor]])</f>
        <v>58.817760279965</v>
      </c>
      <c r="V492" s="3">
        <f>ANGI(DataTable[[#This Row],[Sentido]],DataTable[[#This Row],[Valor]])</f>
        <v>59.017760279965003</v>
      </c>
      <c r="W492" s="3">
        <f t="shared" si="133"/>
        <v>1</v>
      </c>
      <c r="X492" s="3">
        <f>IF(DataTable[[#This Row],[Valor]]&gt;1,1,1)</f>
        <v>1</v>
      </c>
      <c r="Y492" s="3">
        <f t="shared" si="134"/>
        <v>1</v>
      </c>
      <c r="Z492" s="3">
        <f>IF(AND(DataTable[[#This Row],[Sentido]]="URUGUAI para BRASIL",DataTable[[#This Row],[Valor]]&gt;350),1,0)</f>
        <v>0</v>
      </c>
      <c r="AA492" s="3">
        <f>IF(DataTable[[#This Row],[Valor]]&gt;1,0,0)</f>
        <v>0</v>
      </c>
    </row>
    <row r="493" spans="1:27" x14ac:dyDescent="0.25">
      <c r="A493" s="2" t="s">
        <v>18</v>
      </c>
      <c r="B493" s="2">
        <v>84</v>
      </c>
      <c r="C493" s="3">
        <f t="shared" si="120"/>
        <v>72.83</v>
      </c>
      <c r="D493" s="3">
        <f t="shared" si="121"/>
        <v>87.65</v>
      </c>
      <c r="E493" s="3">
        <f t="shared" si="122"/>
        <v>83.75</v>
      </c>
      <c r="F493" s="3">
        <f t="shared" si="123"/>
        <v>58.28</v>
      </c>
      <c r="G493" s="3">
        <f t="shared" si="124"/>
        <v>134.92000000000002</v>
      </c>
      <c r="H493" s="3">
        <f t="shared" si="125"/>
        <v>134.92000000000002</v>
      </c>
      <c r="I493" s="3"/>
      <c r="J493" s="3">
        <f t="shared" si="126"/>
        <v>79.849999999999994</v>
      </c>
      <c r="K493" s="3">
        <f t="shared" si="127"/>
        <v>87.65</v>
      </c>
      <c r="L493" s="34">
        <f t="shared" si="128"/>
        <v>83.75</v>
      </c>
      <c r="M493" s="3">
        <f t="shared" si="129"/>
        <v>-33.6</v>
      </c>
      <c r="N493" s="3">
        <f t="shared" si="130"/>
        <v>133.19999999999999</v>
      </c>
      <c r="O493" s="3"/>
      <c r="P493" s="3">
        <f t="shared" si="131"/>
        <v>48.059829921259841</v>
      </c>
      <c r="Q493" s="3">
        <f t="shared" si="132"/>
        <v>109.8176</v>
      </c>
      <c r="R493" s="3">
        <f>vd(DataTable[[#This Row],[Sentido]],DataTable[[#This Row],[Valor]])</f>
        <v>75.259317585301844</v>
      </c>
      <c r="S493" s="3">
        <f>IF(DataTable[[#This Row],[Valor]]&gt;1,1,1)</f>
        <v>1</v>
      </c>
      <c r="T493" s="3">
        <f>IF(DataTable[[#This Row],[Valor]]&gt;1,1,1)</f>
        <v>1</v>
      </c>
      <c r="U493" s="3">
        <f>angr(DataTable[[#This Row],[Sentido]],DataTable[[#This Row],[Valor]])</f>
        <v>58.511548556430448</v>
      </c>
      <c r="V493" s="3">
        <f>ANGI(DataTable[[#This Row],[Sentido]],DataTable[[#This Row],[Valor]])</f>
        <v>58.711548556430444</v>
      </c>
      <c r="W493" s="3">
        <f t="shared" si="133"/>
        <v>1</v>
      </c>
      <c r="X493" s="3">
        <f>IF(DataTable[[#This Row],[Valor]]&gt;1,1,1)</f>
        <v>1</v>
      </c>
      <c r="Y493" s="3">
        <f t="shared" si="134"/>
        <v>1</v>
      </c>
      <c r="Z493" s="3">
        <f>IF(AND(DataTable[[#This Row],[Sentido]]="URUGUAI para BRASIL",DataTable[[#This Row],[Valor]]&gt;350),1,0)</f>
        <v>0</v>
      </c>
      <c r="AA493" s="3">
        <f>IF(DataTable[[#This Row],[Valor]]&gt;1,0,0)</f>
        <v>0</v>
      </c>
    </row>
    <row r="494" spans="1:27" x14ac:dyDescent="0.25">
      <c r="A494" s="2" t="s">
        <v>18</v>
      </c>
      <c r="B494" s="2">
        <v>85</v>
      </c>
      <c r="C494" s="3">
        <f t="shared" si="120"/>
        <v>72.83</v>
      </c>
      <c r="D494" s="3">
        <f t="shared" si="121"/>
        <v>87.65</v>
      </c>
      <c r="E494" s="3">
        <f t="shared" si="122"/>
        <v>83.75</v>
      </c>
      <c r="F494" s="3">
        <f t="shared" si="123"/>
        <v>58.2</v>
      </c>
      <c r="G494" s="3">
        <f t="shared" si="124"/>
        <v>134.80000000000001</v>
      </c>
      <c r="H494" s="3">
        <f t="shared" si="125"/>
        <v>134.80000000000001</v>
      </c>
      <c r="I494" s="3"/>
      <c r="J494" s="3">
        <f t="shared" si="126"/>
        <v>79.849999999999994</v>
      </c>
      <c r="K494" s="3">
        <f t="shared" si="127"/>
        <v>87.65</v>
      </c>
      <c r="L494" s="34">
        <f t="shared" si="128"/>
        <v>83.75</v>
      </c>
      <c r="M494" s="3">
        <f t="shared" si="129"/>
        <v>-34</v>
      </c>
      <c r="N494" s="3">
        <f t="shared" si="130"/>
        <v>133</v>
      </c>
      <c r="O494" s="3"/>
      <c r="P494" s="3">
        <f t="shared" si="131"/>
        <v>48.182885039370078</v>
      </c>
      <c r="Q494" s="3">
        <f t="shared" si="132"/>
        <v>109.8176</v>
      </c>
      <c r="R494" s="3">
        <f>vd(DataTable[[#This Row],[Sentido]],DataTable[[#This Row],[Valor]])</f>
        <v>75.959230096237974</v>
      </c>
      <c r="S494" s="3">
        <f>IF(DataTable[[#This Row],[Valor]]&gt;1,1,1)</f>
        <v>1</v>
      </c>
      <c r="T494" s="3">
        <f>IF(DataTable[[#This Row],[Valor]]&gt;1,1,1)</f>
        <v>1</v>
      </c>
      <c r="U494" s="3">
        <f>angr(DataTable[[#This Row],[Sentido]],DataTable[[#This Row],[Valor]])</f>
        <v>58.205336832895888</v>
      </c>
      <c r="V494" s="3">
        <f>ANGI(DataTable[[#This Row],[Sentido]],DataTable[[#This Row],[Valor]])</f>
        <v>58.405336832895884</v>
      </c>
      <c r="W494" s="3">
        <f t="shared" si="133"/>
        <v>1</v>
      </c>
      <c r="X494" s="3">
        <f>IF(DataTable[[#This Row],[Valor]]&gt;1,1,1)</f>
        <v>1</v>
      </c>
      <c r="Y494" s="3">
        <f t="shared" si="134"/>
        <v>1</v>
      </c>
      <c r="Z494" s="3">
        <f>IF(AND(DataTable[[#This Row],[Sentido]]="URUGUAI para BRASIL",DataTable[[#This Row],[Valor]]&gt;350),1,0)</f>
        <v>0</v>
      </c>
      <c r="AA494" s="3">
        <f>IF(DataTable[[#This Row],[Valor]]&gt;1,0,0)</f>
        <v>0</v>
      </c>
    </row>
    <row r="495" spans="1:27" x14ac:dyDescent="0.25">
      <c r="A495" s="2" t="s">
        <v>18</v>
      </c>
      <c r="B495" s="2">
        <v>86</v>
      </c>
      <c r="C495" s="3">
        <f t="shared" si="120"/>
        <v>72.83</v>
      </c>
      <c r="D495" s="3">
        <f t="shared" si="121"/>
        <v>87.65</v>
      </c>
      <c r="E495" s="3">
        <f t="shared" si="122"/>
        <v>83.75</v>
      </c>
      <c r="F495" s="3">
        <f t="shared" si="123"/>
        <v>58.12</v>
      </c>
      <c r="G495" s="3">
        <f t="shared" si="124"/>
        <v>134.68</v>
      </c>
      <c r="H495" s="3">
        <f t="shared" si="125"/>
        <v>134.68</v>
      </c>
      <c r="I495" s="3"/>
      <c r="J495" s="3">
        <f t="shared" si="126"/>
        <v>79.849999999999994</v>
      </c>
      <c r="K495" s="3">
        <f t="shared" si="127"/>
        <v>87.65</v>
      </c>
      <c r="L495" s="34">
        <f t="shared" si="128"/>
        <v>83.75</v>
      </c>
      <c r="M495" s="3">
        <f t="shared" si="129"/>
        <v>-34.4</v>
      </c>
      <c r="N495" s="3">
        <f t="shared" si="130"/>
        <v>132.80000000000001</v>
      </c>
      <c r="O495" s="3"/>
      <c r="P495" s="3">
        <f t="shared" si="131"/>
        <v>48.305940157480322</v>
      </c>
      <c r="Q495" s="3">
        <f t="shared" si="132"/>
        <v>109.8176</v>
      </c>
      <c r="R495" s="3">
        <f>vd(DataTable[[#This Row],[Sentido]],DataTable[[#This Row],[Valor]])</f>
        <v>76.659142607174104</v>
      </c>
      <c r="S495" s="3">
        <f>IF(DataTable[[#This Row],[Valor]]&gt;1,1,1)</f>
        <v>1</v>
      </c>
      <c r="T495" s="3">
        <f>IF(DataTable[[#This Row],[Valor]]&gt;1,1,1)</f>
        <v>1</v>
      </c>
      <c r="U495" s="3">
        <f>angr(DataTable[[#This Row],[Sentido]],DataTable[[#This Row],[Valor]])</f>
        <v>57.899125109361336</v>
      </c>
      <c r="V495" s="3">
        <f>ANGI(DataTable[[#This Row],[Sentido]],DataTable[[#This Row],[Valor]])</f>
        <v>58.099125109361331</v>
      </c>
      <c r="W495" s="3">
        <f t="shared" si="133"/>
        <v>1</v>
      </c>
      <c r="X495" s="3">
        <f>IF(DataTable[[#This Row],[Valor]]&gt;1,1,1)</f>
        <v>1</v>
      </c>
      <c r="Y495" s="3">
        <f t="shared" si="134"/>
        <v>1</v>
      </c>
      <c r="Z495" s="3">
        <f>IF(AND(DataTable[[#This Row],[Sentido]]="URUGUAI para BRASIL",DataTable[[#This Row],[Valor]]&gt;350),1,0)</f>
        <v>0</v>
      </c>
      <c r="AA495" s="3">
        <f>IF(DataTable[[#This Row],[Valor]]&gt;1,0,0)</f>
        <v>0</v>
      </c>
    </row>
    <row r="496" spans="1:27" x14ac:dyDescent="0.25">
      <c r="A496" s="2" t="s">
        <v>18</v>
      </c>
      <c r="B496" s="2">
        <v>87</v>
      </c>
      <c r="C496" s="3">
        <f t="shared" si="120"/>
        <v>72.83</v>
      </c>
      <c r="D496" s="3">
        <f t="shared" si="121"/>
        <v>87.65</v>
      </c>
      <c r="E496" s="3">
        <f t="shared" si="122"/>
        <v>83.75</v>
      </c>
      <c r="F496" s="3">
        <f t="shared" si="123"/>
        <v>58.04</v>
      </c>
      <c r="G496" s="3">
        <f t="shared" si="124"/>
        <v>134.56</v>
      </c>
      <c r="H496" s="3">
        <f t="shared" si="125"/>
        <v>134.56</v>
      </c>
      <c r="I496" s="3"/>
      <c r="J496" s="3">
        <f t="shared" si="126"/>
        <v>79.849999999999994</v>
      </c>
      <c r="K496" s="3">
        <f t="shared" si="127"/>
        <v>87.65</v>
      </c>
      <c r="L496" s="34">
        <f t="shared" si="128"/>
        <v>83.75</v>
      </c>
      <c r="M496" s="3">
        <f t="shared" si="129"/>
        <v>-34.800000000000004</v>
      </c>
      <c r="N496" s="3">
        <f t="shared" si="130"/>
        <v>132.6</v>
      </c>
      <c r="O496" s="3"/>
      <c r="P496" s="3">
        <f t="shared" si="131"/>
        <v>48.428995275590552</v>
      </c>
      <c r="Q496" s="3">
        <f t="shared" si="132"/>
        <v>109.8176</v>
      </c>
      <c r="R496" s="3">
        <f>vd(DataTable[[#This Row],[Sentido]],DataTable[[#This Row],[Valor]])</f>
        <v>77.359055118110234</v>
      </c>
      <c r="S496" s="3">
        <f>IF(DataTable[[#This Row],[Valor]]&gt;1,1,1)</f>
        <v>1</v>
      </c>
      <c r="T496" s="3">
        <f>IF(DataTable[[#This Row],[Valor]]&gt;1,1,1)</f>
        <v>1</v>
      </c>
      <c r="U496" s="3">
        <f>angr(DataTable[[#This Row],[Sentido]],DataTable[[#This Row],[Valor]])</f>
        <v>57.592913385826776</v>
      </c>
      <c r="V496" s="3">
        <f>ANGI(DataTable[[#This Row],[Sentido]],DataTable[[#This Row],[Valor]])</f>
        <v>57.792913385826772</v>
      </c>
      <c r="W496" s="3">
        <f t="shared" si="133"/>
        <v>1</v>
      </c>
      <c r="X496" s="3">
        <f>IF(DataTable[[#This Row],[Valor]]&gt;1,1,1)</f>
        <v>1</v>
      </c>
      <c r="Y496" s="3">
        <f t="shared" si="134"/>
        <v>1</v>
      </c>
      <c r="Z496" s="3">
        <f>IF(AND(DataTable[[#This Row],[Sentido]]="URUGUAI para BRASIL",DataTable[[#This Row],[Valor]]&gt;350),1,0)</f>
        <v>0</v>
      </c>
      <c r="AA496" s="3">
        <f>IF(DataTable[[#This Row],[Valor]]&gt;1,0,0)</f>
        <v>0</v>
      </c>
    </row>
    <row r="497" spans="1:27" x14ac:dyDescent="0.25">
      <c r="A497" s="2" t="s">
        <v>18</v>
      </c>
      <c r="B497" s="2">
        <v>88</v>
      </c>
      <c r="C497" s="3">
        <f t="shared" si="120"/>
        <v>72.83</v>
      </c>
      <c r="D497" s="3">
        <f t="shared" si="121"/>
        <v>87.65</v>
      </c>
      <c r="E497" s="3">
        <f t="shared" si="122"/>
        <v>83.75</v>
      </c>
      <c r="F497" s="3">
        <f t="shared" si="123"/>
        <v>57.96</v>
      </c>
      <c r="G497" s="3">
        <f t="shared" si="124"/>
        <v>134.44</v>
      </c>
      <c r="H497" s="3">
        <f t="shared" si="125"/>
        <v>134.44</v>
      </c>
      <c r="I497" s="3"/>
      <c r="J497" s="3">
        <f t="shared" si="126"/>
        <v>79.849999999999994</v>
      </c>
      <c r="K497" s="3">
        <f t="shared" si="127"/>
        <v>87.65</v>
      </c>
      <c r="L497" s="34">
        <f t="shared" si="128"/>
        <v>83.75</v>
      </c>
      <c r="M497" s="3">
        <f t="shared" si="129"/>
        <v>-35.200000000000003</v>
      </c>
      <c r="N497" s="3">
        <f t="shared" si="130"/>
        <v>132.4</v>
      </c>
      <c r="O497" s="3"/>
      <c r="P497" s="3">
        <f t="shared" si="131"/>
        <v>48.552050393700789</v>
      </c>
      <c r="Q497" s="3">
        <f t="shared" si="132"/>
        <v>109.8176</v>
      </c>
      <c r="R497" s="3">
        <f>vd(DataTable[[#This Row],[Sentido]],DataTable[[#This Row],[Valor]])</f>
        <v>78.058967629046379</v>
      </c>
      <c r="S497" s="3">
        <f>IF(DataTable[[#This Row],[Valor]]&gt;1,1,1)</f>
        <v>1</v>
      </c>
      <c r="T497" s="3">
        <f>IF(DataTable[[#This Row],[Valor]]&gt;1,1,1)</f>
        <v>1</v>
      </c>
      <c r="U497" s="3">
        <f>angr(DataTable[[#This Row],[Sentido]],DataTable[[#This Row],[Valor]])</f>
        <v>57.286701662292216</v>
      </c>
      <c r="V497" s="3">
        <f>ANGI(DataTable[[#This Row],[Sentido]],DataTable[[#This Row],[Valor]])</f>
        <v>57.486701662292212</v>
      </c>
      <c r="W497" s="3">
        <f t="shared" si="133"/>
        <v>1</v>
      </c>
      <c r="X497" s="3">
        <f>IF(DataTable[[#This Row],[Valor]]&gt;1,1,1)</f>
        <v>1</v>
      </c>
      <c r="Y497" s="3">
        <f t="shared" si="134"/>
        <v>1</v>
      </c>
      <c r="Z497" s="3">
        <f>IF(AND(DataTable[[#This Row],[Sentido]]="URUGUAI para BRASIL",DataTable[[#This Row],[Valor]]&gt;350),1,0)</f>
        <v>0</v>
      </c>
      <c r="AA497" s="3">
        <f>IF(DataTable[[#This Row],[Valor]]&gt;1,0,0)</f>
        <v>0</v>
      </c>
    </row>
    <row r="498" spans="1:27" x14ac:dyDescent="0.25">
      <c r="A498" s="2" t="s">
        <v>18</v>
      </c>
      <c r="B498" s="2">
        <v>89</v>
      </c>
      <c r="C498" s="3">
        <f t="shared" si="120"/>
        <v>72.83</v>
      </c>
      <c r="D498" s="3">
        <f t="shared" si="121"/>
        <v>87.65</v>
      </c>
      <c r="E498" s="3">
        <f t="shared" si="122"/>
        <v>83.75</v>
      </c>
      <c r="F498" s="3">
        <f t="shared" si="123"/>
        <v>57.88</v>
      </c>
      <c r="G498" s="3">
        <f t="shared" si="124"/>
        <v>134.32</v>
      </c>
      <c r="H498" s="3">
        <f t="shared" si="125"/>
        <v>134.32</v>
      </c>
      <c r="I498" s="3"/>
      <c r="J498" s="3">
        <f t="shared" si="126"/>
        <v>79.849999999999994</v>
      </c>
      <c r="K498" s="3">
        <f t="shared" si="127"/>
        <v>87.65</v>
      </c>
      <c r="L498" s="34">
        <f t="shared" si="128"/>
        <v>83.75</v>
      </c>
      <c r="M498" s="3">
        <f t="shared" si="129"/>
        <v>-35.6</v>
      </c>
      <c r="N498" s="3">
        <f t="shared" si="130"/>
        <v>132.19999999999999</v>
      </c>
      <c r="O498" s="3"/>
      <c r="P498" s="3">
        <f t="shared" si="131"/>
        <v>48.675105511811026</v>
      </c>
      <c r="Q498" s="3">
        <f t="shared" si="132"/>
        <v>109.8176</v>
      </c>
      <c r="R498" s="3">
        <f>vd(DataTable[[#This Row],[Sentido]],DataTable[[#This Row],[Valor]])</f>
        <v>78.758880139982509</v>
      </c>
      <c r="S498" s="3">
        <f>IF(DataTable[[#This Row],[Valor]]&gt;1,1,1)</f>
        <v>1</v>
      </c>
      <c r="T498" s="3">
        <f>IF(DataTable[[#This Row],[Valor]]&gt;1,1,1)</f>
        <v>1</v>
      </c>
      <c r="U498" s="3">
        <f>angr(DataTable[[#This Row],[Sentido]],DataTable[[#This Row],[Valor]])</f>
        <v>56.980489938757657</v>
      </c>
      <c r="V498" s="3">
        <f>ANGI(DataTable[[#This Row],[Sentido]],DataTable[[#This Row],[Valor]])</f>
        <v>57.180489938757653</v>
      </c>
      <c r="W498" s="3">
        <f t="shared" si="133"/>
        <v>1</v>
      </c>
      <c r="X498" s="3">
        <f>IF(DataTable[[#This Row],[Valor]]&gt;1,1,1)</f>
        <v>1</v>
      </c>
      <c r="Y498" s="3">
        <f t="shared" si="134"/>
        <v>1</v>
      </c>
      <c r="Z498" s="3">
        <f>IF(AND(DataTable[[#This Row],[Sentido]]="URUGUAI para BRASIL",DataTable[[#This Row],[Valor]]&gt;350),1,0)</f>
        <v>0</v>
      </c>
      <c r="AA498" s="3">
        <f>IF(DataTable[[#This Row],[Valor]]&gt;1,0,0)</f>
        <v>0</v>
      </c>
    </row>
    <row r="499" spans="1:27" x14ac:dyDescent="0.25">
      <c r="A499" s="2" t="s">
        <v>18</v>
      </c>
      <c r="B499" s="2">
        <v>90</v>
      </c>
      <c r="C499" s="3">
        <f t="shared" si="120"/>
        <v>72.83</v>
      </c>
      <c r="D499" s="3">
        <f t="shared" si="121"/>
        <v>87.65</v>
      </c>
      <c r="E499" s="3">
        <f t="shared" si="122"/>
        <v>83.75</v>
      </c>
      <c r="F499" s="3">
        <f t="shared" si="123"/>
        <v>57.8</v>
      </c>
      <c r="G499" s="3">
        <f t="shared" si="124"/>
        <v>134.19999999999999</v>
      </c>
      <c r="H499" s="3">
        <f t="shared" si="125"/>
        <v>134.19999999999999</v>
      </c>
      <c r="I499" s="3"/>
      <c r="J499" s="3">
        <f t="shared" si="126"/>
        <v>79.849999999999994</v>
      </c>
      <c r="K499" s="3">
        <f t="shared" si="127"/>
        <v>87.65</v>
      </c>
      <c r="L499" s="34">
        <f t="shared" si="128"/>
        <v>83.75</v>
      </c>
      <c r="M499" s="3">
        <f t="shared" si="129"/>
        <v>-36</v>
      </c>
      <c r="N499" s="3">
        <f t="shared" si="130"/>
        <v>132</v>
      </c>
      <c r="O499" s="3"/>
      <c r="P499" s="3">
        <f t="shared" si="131"/>
        <v>47.998626771653548</v>
      </c>
      <c r="Q499" s="3">
        <f t="shared" si="132"/>
        <v>109.8176</v>
      </c>
      <c r="R499" s="3">
        <f>vd(DataTable[[#This Row],[Sentido]],DataTable[[#This Row],[Valor]])</f>
        <v>79.457514549811719</v>
      </c>
      <c r="S499" s="3">
        <f>IF(DataTable[[#This Row],[Valor]]&gt;1,1,1)</f>
        <v>1</v>
      </c>
      <c r="T499" s="3">
        <f>IF(DataTable[[#This Row],[Valor]]&gt;1,1,1)</f>
        <v>1</v>
      </c>
      <c r="U499" s="3">
        <f>angr(DataTable[[#This Row],[Sentido]],DataTable[[#This Row],[Valor]])</f>
        <v>56.674118452584729</v>
      </c>
      <c r="V499" s="3">
        <f>ANGI(DataTable[[#This Row],[Sentido]],DataTable[[#This Row],[Valor]])</f>
        <v>56.874118452584725</v>
      </c>
      <c r="W499" s="3">
        <f t="shared" si="133"/>
        <v>1</v>
      </c>
      <c r="X499" s="3">
        <f>IF(DataTable[[#This Row],[Valor]]&gt;1,1,1)</f>
        <v>1</v>
      </c>
      <c r="Y499" s="3">
        <f t="shared" si="134"/>
        <v>1</v>
      </c>
      <c r="Z499" s="3">
        <f>IF(AND(DataTable[[#This Row],[Sentido]]="URUGUAI para BRASIL",DataTable[[#This Row],[Valor]]&gt;350),1,0)</f>
        <v>0</v>
      </c>
      <c r="AA499" s="3">
        <f>IF(DataTable[[#This Row],[Valor]]&gt;1,0,0)</f>
        <v>0</v>
      </c>
    </row>
    <row r="500" spans="1:27" x14ac:dyDescent="0.25">
      <c r="A500" s="2" t="s">
        <v>18</v>
      </c>
      <c r="B500" s="2">
        <v>91</v>
      </c>
      <c r="C500" s="3">
        <f t="shared" si="120"/>
        <v>72.83</v>
      </c>
      <c r="D500" s="3">
        <f t="shared" si="121"/>
        <v>87.65</v>
      </c>
      <c r="E500" s="3">
        <f t="shared" si="122"/>
        <v>83.75</v>
      </c>
      <c r="F500" s="3">
        <f t="shared" si="123"/>
        <v>57.72</v>
      </c>
      <c r="G500" s="3">
        <f t="shared" si="124"/>
        <v>134.07999999999998</v>
      </c>
      <c r="H500" s="3">
        <f t="shared" si="125"/>
        <v>134.07999999999998</v>
      </c>
      <c r="I500" s="3"/>
      <c r="J500" s="3">
        <f t="shared" si="126"/>
        <v>79.849999999999994</v>
      </c>
      <c r="K500" s="3">
        <f t="shared" si="127"/>
        <v>87.65</v>
      </c>
      <c r="L500" s="34">
        <f t="shared" si="128"/>
        <v>83.75</v>
      </c>
      <c r="M500" s="3">
        <f t="shared" si="129"/>
        <v>-36.4</v>
      </c>
      <c r="N500" s="3">
        <f t="shared" si="130"/>
        <v>131.80000000000001</v>
      </c>
      <c r="O500" s="3"/>
      <c r="P500" s="3">
        <f t="shared" si="131"/>
        <v>49.558469291338568</v>
      </c>
      <c r="Q500" s="3">
        <f t="shared" si="132"/>
        <v>109.8176</v>
      </c>
      <c r="R500" s="3">
        <f>vd(DataTable[[#This Row],[Sentido]],DataTable[[#This Row],[Valor]])</f>
        <v>80.142211571379661</v>
      </c>
      <c r="S500" s="3">
        <f>IF(DataTable[[#This Row],[Valor]]&gt;1,1,1)</f>
        <v>1</v>
      </c>
      <c r="T500" s="3">
        <f>IF(DataTable[[#This Row],[Valor]]&gt;1,1,1)</f>
        <v>1</v>
      </c>
      <c r="U500" s="3">
        <f>angr(DataTable[[#This Row],[Sentido]],DataTable[[#This Row],[Valor]])</f>
        <v>56.366004792879153</v>
      </c>
      <c r="V500" s="3">
        <f>ANGI(DataTable[[#This Row],[Sentido]],DataTable[[#This Row],[Valor]])</f>
        <v>56.566004792879149</v>
      </c>
      <c r="W500" s="3">
        <f t="shared" si="133"/>
        <v>1</v>
      </c>
      <c r="X500" s="3">
        <f>IF(DataTable[[#This Row],[Valor]]&gt;1,1,1)</f>
        <v>1</v>
      </c>
      <c r="Y500" s="3">
        <f t="shared" si="134"/>
        <v>1</v>
      </c>
      <c r="Z500" s="3">
        <f>IF(AND(DataTable[[#This Row],[Sentido]]="URUGUAI para BRASIL",DataTable[[#This Row],[Valor]]&gt;350),1,0)</f>
        <v>0</v>
      </c>
      <c r="AA500" s="3">
        <f>IF(DataTable[[#This Row],[Valor]]&gt;1,0,0)</f>
        <v>0</v>
      </c>
    </row>
    <row r="501" spans="1:27" s="4" customFormat="1" x14ac:dyDescent="0.25">
      <c r="A501" s="2" t="s">
        <v>18</v>
      </c>
      <c r="B501" s="2">
        <v>92</v>
      </c>
      <c r="C501" s="3">
        <f t="shared" si="120"/>
        <v>72.83</v>
      </c>
      <c r="D501" s="3">
        <f t="shared" si="121"/>
        <v>87.65</v>
      </c>
      <c r="E501" s="3">
        <f t="shared" si="122"/>
        <v>83.75</v>
      </c>
      <c r="F501" s="3">
        <f t="shared" si="123"/>
        <v>57.64</v>
      </c>
      <c r="G501" s="3">
        <f t="shared" si="124"/>
        <v>133.95999999999998</v>
      </c>
      <c r="H501" s="3">
        <f t="shared" si="125"/>
        <v>133.95999999999998</v>
      </c>
      <c r="I501" s="3"/>
      <c r="J501" s="3">
        <f t="shared" si="126"/>
        <v>79.849999999999994</v>
      </c>
      <c r="K501" s="3">
        <f t="shared" si="127"/>
        <v>87.65</v>
      </c>
      <c r="L501" s="34">
        <f t="shared" si="128"/>
        <v>83.75</v>
      </c>
      <c r="M501" s="3">
        <f t="shared" si="129"/>
        <v>-36.800000000000004</v>
      </c>
      <c r="N501" s="3">
        <f t="shared" si="130"/>
        <v>131.6</v>
      </c>
      <c r="O501" s="3"/>
      <c r="P501" s="3">
        <f t="shared" si="131"/>
        <v>51.118311811023617</v>
      </c>
      <c r="Q501" s="3">
        <f t="shared" si="132"/>
        <v>109.8176</v>
      </c>
      <c r="R501" s="3">
        <f>vd(DataTable[[#This Row],[Sentido]],DataTable[[#This Row],[Valor]])</f>
        <v>80.826908592947632</v>
      </c>
      <c r="S501" s="3">
        <f>IF(DataTable[[#This Row],[Valor]]&gt;1,1,1)</f>
        <v>1</v>
      </c>
      <c r="T501" s="3">
        <f>IF(DataTable[[#This Row],[Valor]]&gt;1,1,1)</f>
        <v>1</v>
      </c>
      <c r="U501" s="3">
        <f>angr(DataTable[[#This Row],[Sentido]],DataTable[[#This Row],[Valor]])</f>
        <v>56.05789113317357</v>
      </c>
      <c r="V501" s="3">
        <f>ANGI(DataTable[[#This Row],[Sentido]],DataTable[[#This Row],[Valor]])</f>
        <v>56.257891133173565</v>
      </c>
      <c r="W501" s="3">
        <f t="shared" si="133"/>
        <v>1</v>
      </c>
      <c r="X501" s="3">
        <f>IF(DataTable[[#This Row],[Valor]]&gt;1,1,1)</f>
        <v>1</v>
      </c>
      <c r="Y501" s="3">
        <f t="shared" si="134"/>
        <v>1</v>
      </c>
      <c r="Z501" s="3">
        <f>IF(AND(DataTable[[#This Row],[Sentido]]="URUGUAI para BRASIL",DataTable[[#This Row],[Valor]]&gt;350),1,0)</f>
        <v>0</v>
      </c>
      <c r="AA501" s="3">
        <f>IF(DataTable[[#This Row],[Valor]]&gt;1,0,0)</f>
        <v>0</v>
      </c>
    </row>
    <row r="502" spans="1:27" x14ac:dyDescent="0.25">
      <c r="A502" s="2" t="s">
        <v>18</v>
      </c>
      <c r="B502" s="2">
        <v>93</v>
      </c>
      <c r="C502" s="3">
        <f t="shared" si="120"/>
        <v>72.83</v>
      </c>
      <c r="D502" s="3">
        <f t="shared" si="121"/>
        <v>87.65</v>
      </c>
      <c r="E502" s="3">
        <f t="shared" si="122"/>
        <v>83.75</v>
      </c>
      <c r="F502" s="3">
        <f t="shared" si="123"/>
        <v>57.56</v>
      </c>
      <c r="G502" s="3">
        <f t="shared" si="124"/>
        <v>133.84</v>
      </c>
      <c r="H502" s="3">
        <f t="shared" si="125"/>
        <v>133.84</v>
      </c>
      <c r="I502" s="3"/>
      <c r="J502" s="3">
        <f t="shared" si="126"/>
        <v>79.849999999999994</v>
      </c>
      <c r="K502" s="3">
        <f t="shared" si="127"/>
        <v>87.65</v>
      </c>
      <c r="L502" s="34">
        <f t="shared" si="128"/>
        <v>83.75</v>
      </c>
      <c r="M502" s="3">
        <f t="shared" si="129"/>
        <v>-37.200000000000003</v>
      </c>
      <c r="N502" s="3">
        <f t="shared" si="130"/>
        <v>131.4</v>
      </c>
      <c r="O502" s="3"/>
      <c r="P502" s="3">
        <f t="shared" si="131"/>
        <v>52.678154330708665</v>
      </c>
      <c r="Q502" s="3">
        <f t="shared" si="132"/>
        <v>109.8176</v>
      </c>
      <c r="R502" s="3">
        <f>vd(DataTable[[#This Row],[Sentido]],DataTable[[#This Row],[Valor]])</f>
        <v>81.511605614515588</v>
      </c>
      <c r="S502" s="3">
        <f>IF(DataTable[[#This Row],[Valor]]&gt;1,1,1)</f>
        <v>1</v>
      </c>
      <c r="T502" s="3">
        <f>IF(DataTable[[#This Row],[Valor]]&gt;1,1,1)</f>
        <v>1</v>
      </c>
      <c r="U502" s="3">
        <f>angr(DataTable[[#This Row],[Sentido]],DataTable[[#This Row],[Valor]])</f>
        <v>55.749777473467994</v>
      </c>
      <c r="V502" s="3">
        <f>ANGI(DataTable[[#This Row],[Sentido]],DataTable[[#This Row],[Valor]])</f>
        <v>55.949777473467989</v>
      </c>
      <c r="W502" s="3">
        <f t="shared" si="133"/>
        <v>1</v>
      </c>
      <c r="X502" s="3">
        <f>IF(DataTable[[#This Row],[Valor]]&gt;1,1,1)</f>
        <v>1</v>
      </c>
      <c r="Y502" s="3">
        <f t="shared" si="134"/>
        <v>1</v>
      </c>
      <c r="Z502" s="3">
        <f>IF(AND(DataTable[[#This Row],[Sentido]]="URUGUAI para BRASIL",DataTable[[#This Row],[Valor]]&gt;350),1,0)</f>
        <v>0</v>
      </c>
      <c r="AA502" s="3">
        <f>IF(DataTable[[#This Row],[Valor]]&gt;1,0,0)</f>
        <v>0</v>
      </c>
    </row>
    <row r="503" spans="1:27" x14ac:dyDescent="0.25">
      <c r="A503" s="2" t="s">
        <v>18</v>
      </c>
      <c r="B503" s="2">
        <v>94</v>
      </c>
      <c r="C503" s="3">
        <f t="shared" si="120"/>
        <v>72.83</v>
      </c>
      <c r="D503" s="3">
        <f t="shared" si="121"/>
        <v>87.65</v>
      </c>
      <c r="E503" s="3">
        <f t="shared" si="122"/>
        <v>83.75</v>
      </c>
      <c r="F503" s="3">
        <f t="shared" si="123"/>
        <v>57.48</v>
      </c>
      <c r="G503" s="3">
        <f t="shared" si="124"/>
        <v>133.72</v>
      </c>
      <c r="H503" s="3">
        <f t="shared" si="125"/>
        <v>133.72</v>
      </c>
      <c r="I503" s="3"/>
      <c r="J503" s="3">
        <f t="shared" si="126"/>
        <v>79.849999999999994</v>
      </c>
      <c r="K503" s="3">
        <f t="shared" si="127"/>
        <v>87.65</v>
      </c>
      <c r="L503" s="34">
        <f t="shared" si="128"/>
        <v>83.75</v>
      </c>
      <c r="M503" s="3">
        <f t="shared" si="129"/>
        <v>-37.6</v>
      </c>
      <c r="N503" s="3">
        <f t="shared" si="130"/>
        <v>131.19999999999999</v>
      </c>
      <c r="O503" s="3"/>
      <c r="P503" s="3">
        <f t="shared" si="131"/>
        <v>54.237996850393685</v>
      </c>
      <c r="Q503" s="3">
        <f t="shared" si="132"/>
        <v>109.8176</v>
      </c>
      <c r="R503" s="3">
        <f>vd(DataTable[[#This Row],[Sentido]],DataTable[[#This Row],[Valor]])</f>
        <v>82.196302636083544</v>
      </c>
      <c r="S503" s="3">
        <f>IF(DataTable[[#This Row],[Valor]]&gt;1,1,1)</f>
        <v>1</v>
      </c>
      <c r="T503" s="3">
        <f>IF(DataTable[[#This Row],[Valor]]&gt;1,1,1)</f>
        <v>1</v>
      </c>
      <c r="U503" s="3">
        <f>angr(DataTable[[#This Row],[Sentido]],DataTable[[#This Row],[Valor]])</f>
        <v>55.44166381376241</v>
      </c>
      <c r="V503" s="3">
        <f>ANGI(DataTable[[#This Row],[Sentido]],DataTable[[#This Row],[Valor]])</f>
        <v>55.641663813762406</v>
      </c>
      <c r="W503" s="3">
        <f t="shared" si="133"/>
        <v>1</v>
      </c>
      <c r="X503" s="3">
        <f>IF(DataTable[[#This Row],[Valor]]&gt;1,1,1)</f>
        <v>1</v>
      </c>
      <c r="Y503" s="3">
        <f t="shared" si="134"/>
        <v>1</v>
      </c>
      <c r="Z503" s="3">
        <f>IF(AND(DataTable[[#This Row],[Sentido]]="URUGUAI para BRASIL",DataTable[[#This Row],[Valor]]&gt;350),1,0)</f>
        <v>0</v>
      </c>
      <c r="AA503" s="3">
        <f>IF(DataTable[[#This Row],[Valor]]&gt;1,0,0)</f>
        <v>0</v>
      </c>
    </row>
    <row r="504" spans="1:27" x14ac:dyDescent="0.25">
      <c r="A504" s="2" t="s">
        <v>18</v>
      </c>
      <c r="B504" s="2">
        <v>95</v>
      </c>
      <c r="C504" s="3">
        <f t="shared" si="120"/>
        <v>72.83</v>
      </c>
      <c r="D504" s="3">
        <f t="shared" si="121"/>
        <v>87.65</v>
      </c>
      <c r="E504" s="3">
        <f t="shared" si="122"/>
        <v>83.75</v>
      </c>
      <c r="F504" s="3">
        <f t="shared" si="123"/>
        <v>57.4</v>
      </c>
      <c r="G504" s="3">
        <f t="shared" si="124"/>
        <v>133.6</v>
      </c>
      <c r="H504" s="3">
        <f t="shared" si="125"/>
        <v>133.6</v>
      </c>
      <c r="I504" s="3"/>
      <c r="J504" s="3">
        <f t="shared" si="126"/>
        <v>79.849999999999994</v>
      </c>
      <c r="K504" s="3">
        <f t="shared" si="127"/>
        <v>87.65</v>
      </c>
      <c r="L504" s="34">
        <f t="shared" si="128"/>
        <v>83.75</v>
      </c>
      <c r="M504" s="3">
        <f t="shared" si="129"/>
        <v>-38</v>
      </c>
      <c r="N504" s="3">
        <f t="shared" si="130"/>
        <v>131</v>
      </c>
      <c r="O504" s="3"/>
      <c r="P504" s="3">
        <f t="shared" si="131"/>
        <v>55.797839370078734</v>
      </c>
      <c r="Q504" s="3">
        <f t="shared" si="132"/>
        <v>109.8176</v>
      </c>
      <c r="R504" s="3">
        <f>vd(DataTable[[#This Row],[Sentido]],DataTable[[#This Row],[Valor]])</f>
        <v>82.8809996576515</v>
      </c>
      <c r="S504" s="3">
        <f>IF(DataTable[[#This Row],[Valor]]&gt;1,1,1)</f>
        <v>1</v>
      </c>
      <c r="T504" s="3">
        <f>IF(DataTable[[#This Row],[Valor]]&gt;1,1,1)</f>
        <v>1</v>
      </c>
      <c r="U504" s="3">
        <f>angr(DataTable[[#This Row],[Sentido]],DataTable[[#This Row],[Valor]])</f>
        <v>55.133550154056827</v>
      </c>
      <c r="V504" s="3">
        <f>ANGI(DataTable[[#This Row],[Sentido]],DataTable[[#This Row],[Valor]])</f>
        <v>55.333550154056823</v>
      </c>
      <c r="W504" s="3">
        <f t="shared" si="133"/>
        <v>1</v>
      </c>
      <c r="X504" s="3">
        <f>IF(DataTable[[#This Row],[Valor]]&gt;1,1,1)</f>
        <v>1</v>
      </c>
      <c r="Y504" s="3">
        <f t="shared" si="134"/>
        <v>1</v>
      </c>
      <c r="Z504" s="3">
        <f>IF(AND(DataTable[[#This Row],[Sentido]]="URUGUAI para BRASIL",DataTable[[#This Row],[Valor]]&gt;350),1,0)</f>
        <v>0</v>
      </c>
      <c r="AA504" s="3">
        <f>IF(DataTable[[#This Row],[Valor]]&gt;1,0,0)</f>
        <v>0</v>
      </c>
    </row>
    <row r="505" spans="1:27" x14ac:dyDescent="0.25">
      <c r="A505" s="2" t="s">
        <v>18</v>
      </c>
      <c r="B505" s="2">
        <v>96</v>
      </c>
      <c r="C505" s="3">
        <f t="shared" si="120"/>
        <v>72.83</v>
      </c>
      <c r="D505" s="3">
        <f t="shared" si="121"/>
        <v>87.65</v>
      </c>
      <c r="E505" s="3">
        <f t="shared" si="122"/>
        <v>83.75</v>
      </c>
      <c r="F505" s="3">
        <f t="shared" si="123"/>
        <v>57.32</v>
      </c>
      <c r="G505" s="3">
        <f t="shared" si="124"/>
        <v>133.48000000000002</v>
      </c>
      <c r="H505" s="3">
        <f t="shared" si="125"/>
        <v>133.48000000000002</v>
      </c>
      <c r="I505" s="3"/>
      <c r="J505" s="3">
        <f t="shared" si="126"/>
        <v>79.849999999999994</v>
      </c>
      <c r="K505" s="3">
        <f t="shared" si="127"/>
        <v>87.65</v>
      </c>
      <c r="L505" s="34">
        <f t="shared" si="128"/>
        <v>83.75</v>
      </c>
      <c r="M505" s="3">
        <f t="shared" si="129"/>
        <v>-38.400000000000006</v>
      </c>
      <c r="N505" s="3">
        <f t="shared" si="130"/>
        <v>130.80000000000001</v>
      </c>
      <c r="O505" s="3"/>
      <c r="P505" s="3">
        <f t="shared" si="131"/>
        <v>57.357681889763761</v>
      </c>
      <c r="Q505" s="3">
        <f t="shared" si="132"/>
        <v>109.8176</v>
      </c>
      <c r="R505" s="3">
        <f>vd(DataTable[[#This Row],[Sentido]],DataTable[[#This Row],[Valor]])</f>
        <v>83.565696679219442</v>
      </c>
      <c r="S505" s="3">
        <f>IF(DataTable[[#This Row],[Valor]]&gt;1,1,1)</f>
        <v>1</v>
      </c>
      <c r="T505" s="3">
        <f>IF(DataTable[[#This Row],[Valor]]&gt;1,1,1)</f>
        <v>1</v>
      </c>
      <c r="U505" s="3">
        <f>angr(DataTable[[#This Row],[Sentido]],DataTable[[#This Row],[Valor]])</f>
        <v>54.825436494351251</v>
      </c>
      <c r="V505" s="3">
        <f>ANGI(DataTable[[#This Row],[Sentido]],DataTable[[#This Row],[Valor]])</f>
        <v>55.025436494351247</v>
      </c>
      <c r="W505" s="3">
        <f t="shared" si="133"/>
        <v>1</v>
      </c>
      <c r="X505" s="3">
        <f>IF(DataTable[[#This Row],[Valor]]&gt;1,1,1)</f>
        <v>1</v>
      </c>
      <c r="Y505" s="3">
        <f t="shared" si="134"/>
        <v>1</v>
      </c>
      <c r="Z505" s="3">
        <f>IF(AND(DataTable[[#This Row],[Sentido]]="URUGUAI para BRASIL",DataTable[[#This Row],[Valor]]&gt;350),1,0)</f>
        <v>0</v>
      </c>
      <c r="AA505" s="3">
        <f>IF(DataTable[[#This Row],[Valor]]&gt;1,0,0)</f>
        <v>0</v>
      </c>
    </row>
    <row r="506" spans="1:27" x14ac:dyDescent="0.25">
      <c r="A506" s="2" t="s">
        <v>18</v>
      </c>
      <c r="B506" s="2">
        <v>97</v>
      </c>
      <c r="C506" s="3">
        <f t="shared" si="120"/>
        <v>72.83</v>
      </c>
      <c r="D506" s="3">
        <f t="shared" si="121"/>
        <v>87.65</v>
      </c>
      <c r="E506" s="3">
        <f t="shared" si="122"/>
        <v>83.75</v>
      </c>
      <c r="F506" s="3">
        <f t="shared" si="123"/>
        <v>57.24</v>
      </c>
      <c r="G506" s="3">
        <f t="shared" si="124"/>
        <v>133.36000000000001</v>
      </c>
      <c r="H506" s="3">
        <f t="shared" si="125"/>
        <v>133.36000000000001</v>
      </c>
      <c r="I506" s="3"/>
      <c r="J506" s="3">
        <f t="shared" si="126"/>
        <v>79.849999999999994</v>
      </c>
      <c r="K506" s="3">
        <f t="shared" si="127"/>
        <v>87.65</v>
      </c>
      <c r="L506" s="34">
        <f t="shared" si="128"/>
        <v>83.75</v>
      </c>
      <c r="M506" s="3">
        <f t="shared" si="129"/>
        <v>-38.800000000000004</v>
      </c>
      <c r="N506" s="3">
        <f t="shared" si="130"/>
        <v>130.6</v>
      </c>
      <c r="O506" s="3"/>
      <c r="P506" s="3">
        <f t="shared" si="131"/>
        <v>58.917524409448809</v>
      </c>
      <c r="Q506" s="3">
        <f t="shared" si="132"/>
        <v>109.8176</v>
      </c>
      <c r="R506" s="3">
        <f>vd(DataTable[[#This Row],[Sentido]],DataTable[[#This Row],[Valor]])</f>
        <v>84.250393700787413</v>
      </c>
      <c r="S506" s="3">
        <f>IF(DataTable[[#This Row],[Valor]]&gt;1,1,1)</f>
        <v>1</v>
      </c>
      <c r="T506" s="3">
        <f>IF(DataTable[[#This Row],[Valor]]&gt;1,1,1)</f>
        <v>1</v>
      </c>
      <c r="U506" s="3">
        <f>angr(DataTable[[#This Row],[Sentido]],DataTable[[#This Row],[Valor]])</f>
        <v>54.517322834645668</v>
      </c>
      <c r="V506" s="3">
        <f>ANGI(DataTable[[#This Row],[Sentido]],DataTable[[#This Row],[Valor]])</f>
        <v>54.717322834645664</v>
      </c>
      <c r="W506" s="3">
        <f t="shared" si="133"/>
        <v>1</v>
      </c>
      <c r="X506" s="3">
        <f>IF(DataTable[[#This Row],[Valor]]&gt;1,1,1)</f>
        <v>1</v>
      </c>
      <c r="Y506" s="3">
        <f t="shared" si="134"/>
        <v>1</v>
      </c>
      <c r="Z506" s="3">
        <f>IF(AND(DataTable[[#This Row],[Sentido]]="URUGUAI para BRASIL",DataTable[[#This Row],[Valor]]&gt;350),1,0)</f>
        <v>0</v>
      </c>
      <c r="AA506" s="3">
        <f>IF(DataTable[[#This Row],[Valor]]&gt;1,0,0)</f>
        <v>0</v>
      </c>
    </row>
    <row r="507" spans="1:27" x14ac:dyDescent="0.25">
      <c r="A507" s="2" t="s">
        <v>18</v>
      </c>
      <c r="B507" s="2">
        <v>98</v>
      </c>
      <c r="C507" s="3">
        <f t="shared" si="120"/>
        <v>72.83</v>
      </c>
      <c r="D507" s="3">
        <f t="shared" si="121"/>
        <v>87.65</v>
      </c>
      <c r="E507" s="3">
        <f t="shared" si="122"/>
        <v>83.75</v>
      </c>
      <c r="F507" s="3">
        <f t="shared" si="123"/>
        <v>57.16</v>
      </c>
      <c r="G507" s="3">
        <f t="shared" si="124"/>
        <v>133.24</v>
      </c>
      <c r="H507" s="3">
        <f t="shared" si="125"/>
        <v>133.24</v>
      </c>
      <c r="I507" s="3"/>
      <c r="J507" s="3">
        <f t="shared" si="126"/>
        <v>79.849999999999994</v>
      </c>
      <c r="K507" s="3">
        <f t="shared" si="127"/>
        <v>87.65</v>
      </c>
      <c r="L507" s="34">
        <f t="shared" si="128"/>
        <v>83.75</v>
      </c>
      <c r="M507" s="3">
        <f t="shared" si="129"/>
        <v>-39.200000000000003</v>
      </c>
      <c r="N507" s="3">
        <f t="shared" si="130"/>
        <v>130.4</v>
      </c>
      <c r="O507" s="3"/>
      <c r="P507" s="3">
        <f t="shared" si="131"/>
        <v>60.477366929133858</v>
      </c>
      <c r="Q507" s="3">
        <f t="shared" si="132"/>
        <v>109.8176</v>
      </c>
      <c r="R507" s="3">
        <f>vd(DataTable[[#This Row],[Sentido]],DataTable[[#This Row],[Valor]])</f>
        <v>84.935090722355369</v>
      </c>
      <c r="S507" s="3">
        <f>IF(DataTable[[#This Row],[Valor]]&gt;1,1,1)</f>
        <v>1</v>
      </c>
      <c r="T507" s="3">
        <f>IF(DataTable[[#This Row],[Valor]]&gt;1,1,1)</f>
        <v>1</v>
      </c>
      <c r="U507" s="3">
        <f>angr(DataTable[[#This Row],[Sentido]],DataTable[[#This Row],[Valor]])</f>
        <v>54.209209174940085</v>
      </c>
      <c r="V507" s="3">
        <f>ANGI(DataTable[[#This Row],[Sentido]],DataTable[[#This Row],[Valor]])</f>
        <v>54.409209174940088</v>
      </c>
      <c r="W507" s="3">
        <f t="shared" si="133"/>
        <v>1</v>
      </c>
      <c r="X507" s="3">
        <f>IF(DataTable[[#This Row],[Valor]]&gt;1,1,1)</f>
        <v>1</v>
      </c>
      <c r="Y507" s="3">
        <f t="shared" si="134"/>
        <v>1</v>
      </c>
      <c r="Z507" s="3">
        <f>IF(AND(DataTable[[#This Row],[Sentido]]="URUGUAI para BRASIL",DataTable[[#This Row],[Valor]]&gt;350),1,0)</f>
        <v>0</v>
      </c>
      <c r="AA507" s="3">
        <f>IF(DataTable[[#This Row],[Valor]]&gt;1,0,0)</f>
        <v>0</v>
      </c>
    </row>
    <row r="508" spans="1:27" x14ac:dyDescent="0.25">
      <c r="A508" s="2" t="s">
        <v>18</v>
      </c>
      <c r="B508" s="2">
        <v>99</v>
      </c>
      <c r="C508" s="3">
        <f t="shared" si="120"/>
        <v>72.83</v>
      </c>
      <c r="D508" s="3">
        <f t="shared" si="121"/>
        <v>87.65</v>
      </c>
      <c r="E508" s="3">
        <f t="shared" si="122"/>
        <v>83.75</v>
      </c>
      <c r="F508" s="3">
        <f t="shared" si="123"/>
        <v>57.08</v>
      </c>
      <c r="G508" s="3">
        <f t="shared" si="124"/>
        <v>133.12</v>
      </c>
      <c r="H508" s="3">
        <f t="shared" si="125"/>
        <v>133.12</v>
      </c>
      <c r="I508" s="3"/>
      <c r="J508" s="3">
        <f t="shared" si="126"/>
        <v>79.849999999999994</v>
      </c>
      <c r="K508" s="3">
        <f t="shared" si="127"/>
        <v>87.65</v>
      </c>
      <c r="L508" s="34">
        <f t="shared" si="128"/>
        <v>83.75</v>
      </c>
      <c r="M508" s="3">
        <f t="shared" si="129"/>
        <v>-39.6</v>
      </c>
      <c r="N508" s="3">
        <f t="shared" si="130"/>
        <v>130.19999999999999</v>
      </c>
      <c r="O508" s="3"/>
      <c r="P508" s="3">
        <f t="shared" si="131"/>
        <v>62.037209448818885</v>
      </c>
      <c r="Q508" s="3">
        <f t="shared" si="132"/>
        <v>109.8176</v>
      </c>
      <c r="R508" s="3">
        <f>vd(DataTable[[#This Row],[Sentido]],DataTable[[#This Row],[Valor]])</f>
        <v>85.619787743923311</v>
      </c>
      <c r="S508" s="3">
        <f>IF(DataTable[[#This Row],[Valor]]&gt;1,1,1)</f>
        <v>1</v>
      </c>
      <c r="T508" s="3">
        <f>IF(DataTable[[#This Row],[Valor]]&gt;1,1,1)</f>
        <v>1</v>
      </c>
      <c r="U508" s="3">
        <f>angr(DataTable[[#This Row],[Sentido]],DataTable[[#This Row],[Valor]])</f>
        <v>53.901095515234509</v>
      </c>
      <c r="V508" s="3">
        <f>ANGI(DataTable[[#This Row],[Sentido]],DataTable[[#This Row],[Valor]])</f>
        <v>54.101095515234505</v>
      </c>
      <c r="W508" s="3">
        <f t="shared" si="133"/>
        <v>1</v>
      </c>
      <c r="X508" s="3">
        <f>IF(DataTable[[#This Row],[Valor]]&gt;1,1,1)</f>
        <v>1</v>
      </c>
      <c r="Y508" s="3">
        <f t="shared" si="134"/>
        <v>1</v>
      </c>
      <c r="Z508" s="3">
        <f>IF(AND(DataTable[[#This Row],[Sentido]]="URUGUAI para BRASIL",DataTable[[#This Row],[Valor]]&gt;350),1,0)</f>
        <v>0</v>
      </c>
      <c r="AA508" s="3">
        <f>IF(DataTable[[#This Row],[Valor]]&gt;1,0,0)</f>
        <v>0</v>
      </c>
    </row>
    <row r="509" spans="1:27" x14ac:dyDescent="0.25">
      <c r="A509" s="2" t="s">
        <v>18</v>
      </c>
      <c r="B509" s="2">
        <v>100</v>
      </c>
      <c r="C509" s="3">
        <f t="shared" si="120"/>
        <v>72.83</v>
      </c>
      <c r="D509" s="3">
        <f t="shared" si="121"/>
        <v>87.65</v>
      </c>
      <c r="E509" s="3">
        <f t="shared" si="122"/>
        <v>83.75</v>
      </c>
      <c r="F509" s="3">
        <f t="shared" si="123"/>
        <v>57</v>
      </c>
      <c r="G509" s="3">
        <f t="shared" si="124"/>
        <v>133</v>
      </c>
      <c r="H509" s="3">
        <f t="shared" si="125"/>
        <v>133</v>
      </c>
      <c r="I509" s="3"/>
      <c r="J509" s="3">
        <f t="shared" si="126"/>
        <v>79.849999999999994</v>
      </c>
      <c r="K509" s="3">
        <f t="shared" si="127"/>
        <v>87.65</v>
      </c>
      <c r="L509" s="34">
        <f t="shared" si="128"/>
        <v>83.75</v>
      </c>
      <c r="M509" s="3">
        <f t="shared" si="129"/>
        <v>-40</v>
      </c>
      <c r="N509" s="3">
        <f t="shared" si="130"/>
        <v>130</v>
      </c>
      <c r="O509" s="3"/>
      <c r="P509" s="3">
        <f t="shared" si="131"/>
        <v>63.597051968503933</v>
      </c>
      <c r="Q509" s="3">
        <f t="shared" si="132"/>
        <v>109.8176</v>
      </c>
      <c r="R509" s="3">
        <f>vd(DataTable[[#This Row],[Sentido]],DataTable[[#This Row],[Valor]])</f>
        <v>86.304484765491281</v>
      </c>
      <c r="S509" s="3">
        <f>IF(DataTable[[#This Row],[Valor]]&gt;1,1,1)</f>
        <v>1</v>
      </c>
      <c r="T509" s="3">
        <f>IF(DataTable[[#This Row],[Valor]]&gt;1,1,1)</f>
        <v>1</v>
      </c>
      <c r="U509" s="3">
        <f>angr(DataTable[[#This Row],[Sentido]],DataTable[[#This Row],[Valor]])</f>
        <v>53.592981855528926</v>
      </c>
      <c r="V509" s="3">
        <f>ANGI(DataTable[[#This Row],[Sentido]],DataTable[[#This Row],[Valor]])</f>
        <v>53.792981855528922</v>
      </c>
      <c r="W509" s="3">
        <f t="shared" si="133"/>
        <v>1</v>
      </c>
      <c r="X509" s="3">
        <f>IF(DataTable[[#This Row],[Valor]]&gt;1,1,1)</f>
        <v>1</v>
      </c>
      <c r="Y509" s="3">
        <f t="shared" si="134"/>
        <v>1</v>
      </c>
      <c r="Z509" s="3">
        <f>IF(AND(DataTable[[#This Row],[Sentido]]="URUGUAI para BRASIL",DataTable[[#This Row],[Valor]]&gt;350),1,0)</f>
        <v>0</v>
      </c>
      <c r="AA509" s="3">
        <f>IF(DataTable[[#This Row],[Valor]]&gt;1,0,0)</f>
        <v>0</v>
      </c>
    </row>
    <row r="510" spans="1:27" x14ac:dyDescent="0.25">
      <c r="A510" s="2" t="s">
        <v>18</v>
      </c>
      <c r="B510" s="2">
        <v>101</v>
      </c>
      <c r="C510" s="3">
        <f t="shared" si="120"/>
        <v>72.83</v>
      </c>
      <c r="D510" s="3">
        <f t="shared" si="121"/>
        <v>87.65</v>
      </c>
      <c r="E510" s="3">
        <f t="shared" si="122"/>
        <v>83.75</v>
      </c>
      <c r="F510" s="3">
        <f t="shared" si="123"/>
        <v>56.92</v>
      </c>
      <c r="G510" s="3">
        <f t="shared" si="124"/>
        <v>132.88</v>
      </c>
      <c r="H510" s="3">
        <f t="shared" si="125"/>
        <v>132.88</v>
      </c>
      <c r="I510" s="3"/>
      <c r="J510" s="3">
        <f t="shared" si="126"/>
        <v>79.849999999999994</v>
      </c>
      <c r="K510" s="3">
        <f t="shared" si="127"/>
        <v>87.65</v>
      </c>
      <c r="L510" s="34">
        <f t="shared" si="128"/>
        <v>83.75</v>
      </c>
      <c r="M510" s="3">
        <f t="shared" si="129"/>
        <v>-40.400000000000006</v>
      </c>
      <c r="N510" s="3">
        <f t="shared" si="130"/>
        <v>129.80000000000001</v>
      </c>
      <c r="O510" s="3"/>
      <c r="P510" s="3">
        <f t="shared" si="131"/>
        <v>65.156894488188954</v>
      </c>
      <c r="Q510" s="3">
        <f t="shared" si="132"/>
        <v>109.8176</v>
      </c>
      <c r="R510" s="3">
        <f>vd(DataTable[[#This Row],[Sentido]],DataTable[[#This Row],[Valor]])</f>
        <v>86.989181787059223</v>
      </c>
      <c r="S510" s="3">
        <f>IF(DataTable[[#This Row],[Valor]]&gt;1,1,1)</f>
        <v>1</v>
      </c>
      <c r="T510" s="3">
        <f>IF(DataTable[[#This Row],[Valor]]&gt;1,1,1)</f>
        <v>1</v>
      </c>
      <c r="U510" s="3">
        <f>angr(DataTable[[#This Row],[Sentido]],DataTable[[#This Row],[Valor]])</f>
        <v>53.28486819582335</v>
      </c>
      <c r="V510" s="3">
        <f>ANGI(DataTable[[#This Row],[Sentido]],DataTable[[#This Row],[Valor]])</f>
        <v>53.484868195823346</v>
      </c>
      <c r="W510" s="3">
        <f t="shared" si="133"/>
        <v>1</v>
      </c>
      <c r="X510" s="3">
        <f>IF(DataTable[[#This Row],[Valor]]&gt;1,1,1)</f>
        <v>1</v>
      </c>
      <c r="Y510" s="3">
        <f t="shared" si="134"/>
        <v>1</v>
      </c>
      <c r="Z510" s="3">
        <f>IF(AND(DataTable[[#This Row],[Sentido]]="URUGUAI para BRASIL",DataTable[[#This Row],[Valor]]&gt;350),1,0)</f>
        <v>0</v>
      </c>
      <c r="AA510" s="3">
        <f>IF(DataTable[[#This Row],[Valor]]&gt;1,0,0)</f>
        <v>0</v>
      </c>
    </row>
    <row r="511" spans="1:27" x14ac:dyDescent="0.25">
      <c r="A511" s="2" t="s">
        <v>18</v>
      </c>
      <c r="B511" s="2">
        <v>102</v>
      </c>
      <c r="C511" s="3">
        <f t="shared" si="120"/>
        <v>72.83</v>
      </c>
      <c r="D511" s="3">
        <f t="shared" si="121"/>
        <v>87.65</v>
      </c>
      <c r="E511" s="3">
        <f t="shared" si="122"/>
        <v>83.75</v>
      </c>
      <c r="F511" s="3">
        <f t="shared" si="123"/>
        <v>56.84</v>
      </c>
      <c r="G511" s="3">
        <f t="shared" si="124"/>
        <v>132.76</v>
      </c>
      <c r="H511" s="3">
        <f t="shared" si="125"/>
        <v>132.76</v>
      </c>
      <c r="I511" s="3"/>
      <c r="J511" s="3">
        <f t="shared" si="126"/>
        <v>79.849999999999994</v>
      </c>
      <c r="K511" s="3">
        <f t="shared" si="127"/>
        <v>87.65</v>
      </c>
      <c r="L511" s="34">
        <f t="shared" si="128"/>
        <v>83.75</v>
      </c>
      <c r="M511" s="3">
        <f t="shared" si="129"/>
        <v>-40.800000000000004</v>
      </c>
      <c r="N511" s="3">
        <f t="shared" si="130"/>
        <v>129.6</v>
      </c>
      <c r="O511" s="3"/>
      <c r="P511" s="3">
        <f t="shared" si="131"/>
        <v>66.716737007874002</v>
      </c>
      <c r="Q511" s="3">
        <f t="shared" si="132"/>
        <v>109.8176</v>
      </c>
      <c r="R511" s="3">
        <f>vd(DataTable[[#This Row],[Sentido]],DataTable[[#This Row],[Valor]])</f>
        <v>87.627471566054254</v>
      </c>
      <c r="S511" s="3">
        <f>IF(DataTable[[#This Row],[Valor]]&gt;1,1,1)</f>
        <v>1</v>
      </c>
      <c r="T511" s="3">
        <f>IF(DataTable[[#This Row],[Valor]]&gt;1,1,1)</f>
        <v>1</v>
      </c>
      <c r="U511" s="3">
        <f>angr(DataTable[[#This Row],[Sentido]],DataTable[[#This Row],[Valor]])</f>
        <v>52.990638670166234</v>
      </c>
      <c r="V511" s="3">
        <f>ANGI(DataTable[[#This Row],[Sentido]],DataTable[[#This Row],[Valor]])</f>
        <v>53.19063867016623</v>
      </c>
      <c r="W511" s="3">
        <f t="shared" si="133"/>
        <v>1</v>
      </c>
      <c r="X511" s="3">
        <f>IF(DataTable[[#This Row],[Valor]]&gt;1,1,1)</f>
        <v>1</v>
      </c>
      <c r="Y511" s="3">
        <f t="shared" si="134"/>
        <v>1</v>
      </c>
      <c r="Z511" s="3">
        <f>IF(AND(DataTable[[#This Row],[Sentido]]="URUGUAI para BRASIL",DataTable[[#This Row],[Valor]]&gt;350),1,0)</f>
        <v>0</v>
      </c>
      <c r="AA511" s="3">
        <f>IF(DataTable[[#This Row],[Valor]]&gt;1,0,0)</f>
        <v>0</v>
      </c>
    </row>
    <row r="512" spans="1:27" x14ac:dyDescent="0.25">
      <c r="A512" s="2" t="s">
        <v>18</v>
      </c>
      <c r="B512" s="2">
        <v>103</v>
      </c>
      <c r="C512" s="3">
        <f t="shared" si="120"/>
        <v>72.83</v>
      </c>
      <c r="D512" s="3">
        <f t="shared" si="121"/>
        <v>87.65</v>
      </c>
      <c r="E512" s="3">
        <f t="shared" si="122"/>
        <v>83.75</v>
      </c>
      <c r="F512" s="3">
        <f t="shared" si="123"/>
        <v>56.76</v>
      </c>
      <c r="G512" s="3">
        <f t="shared" si="124"/>
        <v>132.63999999999999</v>
      </c>
      <c r="H512" s="3">
        <f t="shared" si="125"/>
        <v>132.63999999999999</v>
      </c>
      <c r="I512" s="3"/>
      <c r="J512" s="3">
        <f t="shared" si="126"/>
        <v>79.849999999999994</v>
      </c>
      <c r="K512" s="3">
        <f t="shared" si="127"/>
        <v>87.65</v>
      </c>
      <c r="L512" s="34">
        <f t="shared" si="128"/>
        <v>83.75</v>
      </c>
      <c r="M512" s="3">
        <f t="shared" si="129"/>
        <v>-41.2</v>
      </c>
      <c r="N512" s="3">
        <f t="shared" si="130"/>
        <v>129.4</v>
      </c>
      <c r="O512" s="3"/>
      <c r="P512" s="3">
        <f t="shared" si="131"/>
        <v>68.276579527559051</v>
      </c>
      <c r="Q512" s="3">
        <f t="shared" si="132"/>
        <v>109.8176</v>
      </c>
      <c r="R512" s="3">
        <f>vd(DataTable[[#This Row],[Sentido]],DataTable[[#This Row],[Valor]])</f>
        <v>88.196150481189861</v>
      </c>
      <c r="S512" s="3">
        <f>IF(DataTable[[#This Row],[Valor]]&gt;1,1,1)</f>
        <v>1</v>
      </c>
      <c r="T512" s="3">
        <f>IF(DataTable[[#This Row],[Valor]]&gt;1,1,1)</f>
        <v>1</v>
      </c>
      <c r="U512" s="3">
        <f>angr(DataTable[[#This Row],[Sentido]],DataTable[[#This Row],[Valor]])</f>
        <v>52.717235345581805</v>
      </c>
      <c r="V512" s="3">
        <f>ANGI(DataTable[[#This Row],[Sentido]],DataTable[[#This Row],[Valor]])</f>
        <v>52.917235345581801</v>
      </c>
      <c r="W512" s="3">
        <f t="shared" si="133"/>
        <v>1</v>
      </c>
      <c r="X512" s="3">
        <f>IF(DataTable[[#This Row],[Valor]]&gt;1,1,1)</f>
        <v>1</v>
      </c>
      <c r="Y512" s="3">
        <f t="shared" si="134"/>
        <v>1</v>
      </c>
      <c r="Z512" s="3">
        <f>IF(AND(DataTable[[#This Row],[Sentido]]="URUGUAI para BRASIL",DataTable[[#This Row],[Valor]]&gt;350),1,0)</f>
        <v>0</v>
      </c>
      <c r="AA512" s="3">
        <f>IF(DataTable[[#This Row],[Valor]]&gt;1,0,0)</f>
        <v>0</v>
      </c>
    </row>
    <row r="513" spans="1:27" x14ac:dyDescent="0.25">
      <c r="A513" s="2" t="s">
        <v>18</v>
      </c>
      <c r="B513" s="2">
        <v>104</v>
      </c>
      <c r="C513" s="3">
        <f t="shared" si="120"/>
        <v>72.83</v>
      </c>
      <c r="D513" s="3">
        <f t="shared" si="121"/>
        <v>87.65</v>
      </c>
      <c r="E513" s="3">
        <f t="shared" si="122"/>
        <v>83.75</v>
      </c>
      <c r="F513" s="3">
        <f t="shared" si="123"/>
        <v>56.68</v>
      </c>
      <c r="G513" s="3">
        <f t="shared" si="124"/>
        <v>132.51999999999998</v>
      </c>
      <c r="H513" s="3">
        <f t="shared" si="125"/>
        <v>132.51999999999998</v>
      </c>
      <c r="I513" s="3"/>
      <c r="J513" s="3">
        <f t="shared" si="126"/>
        <v>79.849999999999994</v>
      </c>
      <c r="K513" s="3">
        <f t="shared" si="127"/>
        <v>87.65</v>
      </c>
      <c r="L513" s="34">
        <f t="shared" si="128"/>
        <v>83.75</v>
      </c>
      <c r="M513" s="3">
        <f t="shared" si="129"/>
        <v>-41.6</v>
      </c>
      <c r="N513" s="3">
        <f t="shared" si="130"/>
        <v>129.19999999999999</v>
      </c>
      <c r="O513" s="3"/>
      <c r="P513" s="3">
        <f t="shared" si="131"/>
        <v>69.836422047244085</v>
      </c>
      <c r="Q513" s="3">
        <f t="shared" si="132"/>
        <v>109.8176</v>
      </c>
      <c r="R513" s="3">
        <f>vd(DataTable[[#This Row],[Sentido]],DataTable[[#This Row],[Valor]])</f>
        <v>88.764829396325467</v>
      </c>
      <c r="S513" s="3">
        <f>IF(DataTable[[#This Row],[Valor]]&gt;1,1,1)</f>
        <v>1</v>
      </c>
      <c r="T513" s="3">
        <f>IF(DataTable[[#This Row],[Valor]]&gt;1,1,1)</f>
        <v>1</v>
      </c>
      <c r="U513" s="3">
        <f>angr(DataTable[[#This Row],[Sentido]],DataTable[[#This Row],[Valor]])</f>
        <v>52.443832020997377</v>
      </c>
      <c r="V513" s="3">
        <f>ANGI(DataTable[[#This Row],[Sentido]],DataTable[[#This Row],[Valor]])</f>
        <v>52.643832020997372</v>
      </c>
      <c r="W513" s="3">
        <f t="shared" si="133"/>
        <v>1</v>
      </c>
      <c r="X513" s="3">
        <f>IF(DataTable[[#This Row],[Valor]]&gt;1,1,1)</f>
        <v>1</v>
      </c>
      <c r="Y513" s="3">
        <f t="shared" si="134"/>
        <v>1</v>
      </c>
      <c r="Z513" s="3">
        <f>IF(AND(DataTable[[#This Row],[Sentido]]="URUGUAI para BRASIL",DataTable[[#This Row],[Valor]]&gt;350),1,0)</f>
        <v>0</v>
      </c>
      <c r="AA513" s="3">
        <f>IF(DataTable[[#This Row],[Valor]]&gt;1,0,0)</f>
        <v>0</v>
      </c>
    </row>
    <row r="514" spans="1:27" x14ac:dyDescent="0.25">
      <c r="A514" s="2" t="s">
        <v>18</v>
      </c>
      <c r="B514" s="2">
        <v>105</v>
      </c>
      <c r="C514" s="3">
        <f t="shared" si="120"/>
        <v>72.83</v>
      </c>
      <c r="D514" s="3">
        <f t="shared" si="121"/>
        <v>87.65</v>
      </c>
      <c r="E514" s="3">
        <f t="shared" si="122"/>
        <v>83.75</v>
      </c>
      <c r="F514" s="3">
        <f t="shared" si="123"/>
        <v>56.6</v>
      </c>
      <c r="G514" s="3">
        <f t="shared" si="124"/>
        <v>132.4</v>
      </c>
      <c r="H514" s="3">
        <f t="shared" si="125"/>
        <v>132.4</v>
      </c>
      <c r="I514" s="3"/>
      <c r="J514" s="3">
        <f t="shared" si="126"/>
        <v>79.849999999999994</v>
      </c>
      <c r="K514" s="3">
        <f t="shared" si="127"/>
        <v>87.65</v>
      </c>
      <c r="L514" s="34">
        <f t="shared" si="128"/>
        <v>83.75</v>
      </c>
      <c r="M514" s="3">
        <f t="shared" si="129"/>
        <v>-42</v>
      </c>
      <c r="N514" s="3">
        <f t="shared" si="130"/>
        <v>129</v>
      </c>
      <c r="O514" s="3"/>
      <c r="P514" s="3">
        <f t="shared" si="131"/>
        <v>71.396264566929133</v>
      </c>
      <c r="Q514" s="3">
        <f t="shared" si="132"/>
        <v>109.8176</v>
      </c>
      <c r="R514" s="3">
        <f>vd(DataTable[[#This Row],[Sentido]],DataTable[[#This Row],[Valor]])</f>
        <v>89.333508311461074</v>
      </c>
      <c r="S514" s="3">
        <f>IF(DataTable[[#This Row],[Valor]]&gt;1,1,1)</f>
        <v>1</v>
      </c>
      <c r="T514" s="3">
        <f>IF(DataTable[[#This Row],[Valor]]&gt;1,1,1)</f>
        <v>1</v>
      </c>
      <c r="U514" s="3">
        <f>angr(DataTable[[#This Row],[Sentido]],DataTable[[#This Row],[Valor]])</f>
        <v>52.170428696412948</v>
      </c>
      <c r="V514" s="3">
        <f>ANGI(DataTable[[#This Row],[Sentido]],DataTable[[#This Row],[Valor]])</f>
        <v>52.370428696412944</v>
      </c>
      <c r="W514" s="3">
        <f t="shared" si="133"/>
        <v>1</v>
      </c>
      <c r="X514" s="3">
        <f>IF(DataTable[[#This Row],[Valor]]&gt;1,1,1)</f>
        <v>1</v>
      </c>
      <c r="Y514" s="3">
        <f t="shared" si="134"/>
        <v>1</v>
      </c>
      <c r="Z514" s="3">
        <f>IF(AND(DataTable[[#This Row],[Sentido]]="URUGUAI para BRASIL",DataTable[[#This Row],[Valor]]&gt;350),1,0)</f>
        <v>0</v>
      </c>
      <c r="AA514" s="3">
        <f>IF(DataTable[[#This Row],[Valor]]&gt;1,0,0)</f>
        <v>0</v>
      </c>
    </row>
    <row r="515" spans="1:27" x14ac:dyDescent="0.25">
      <c r="A515" s="2" t="s">
        <v>18</v>
      </c>
      <c r="B515" s="2">
        <v>106</v>
      </c>
      <c r="C515" s="3">
        <f t="shared" si="120"/>
        <v>72.83</v>
      </c>
      <c r="D515" s="3">
        <f t="shared" si="121"/>
        <v>87.65</v>
      </c>
      <c r="E515" s="3">
        <f t="shared" si="122"/>
        <v>83.75</v>
      </c>
      <c r="F515" s="3">
        <f t="shared" si="123"/>
        <v>56.519999999999996</v>
      </c>
      <c r="G515" s="3">
        <f t="shared" si="124"/>
        <v>132.28</v>
      </c>
      <c r="H515" s="3">
        <f t="shared" si="125"/>
        <v>132.28</v>
      </c>
      <c r="I515" s="3"/>
      <c r="J515" s="3">
        <f t="shared" si="126"/>
        <v>79.849999999999994</v>
      </c>
      <c r="K515" s="3">
        <f t="shared" si="127"/>
        <v>87.65</v>
      </c>
      <c r="L515" s="34">
        <f t="shared" si="128"/>
        <v>83.75</v>
      </c>
      <c r="M515" s="3">
        <f t="shared" si="129"/>
        <v>-42.400000000000006</v>
      </c>
      <c r="N515" s="3">
        <f t="shared" si="130"/>
        <v>128.80000000000001</v>
      </c>
      <c r="O515" s="3"/>
      <c r="P515" s="3">
        <f t="shared" si="131"/>
        <v>72.956107086614153</v>
      </c>
      <c r="Q515" s="3">
        <f t="shared" si="132"/>
        <v>109.8176</v>
      </c>
      <c r="R515" s="3">
        <f>vd(DataTable[[#This Row],[Sentido]],DataTable[[#This Row],[Valor]])</f>
        <v>89.902187226596681</v>
      </c>
      <c r="S515" s="3">
        <f>IF(DataTable[[#This Row],[Valor]]&gt;1,1,1)</f>
        <v>1</v>
      </c>
      <c r="T515" s="3">
        <f>IF(DataTable[[#This Row],[Valor]]&gt;1,1,1)</f>
        <v>1</v>
      </c>
      <c r="U515" s="3">
        <f>angr(DataTable[[#This Row],[Sentido]],DataTable[[#This Row],[Valor]])</f>
        <v>51.897025371828526</v>
      </c>
      <c r="V515" s="3">
        <f>ANGI(DataTable[[#This Row],[Sentido]],DataTable[[#This Row],[Valor]])</f>
        <v>52.097025371828522</v>
      </c>
      <c r="W515" s="3">
        <f t="shared" si="133"/>
        <v>1</v>
      </c>
      <c r="X515" s="3">
        <f>IF(DataTable[[#This Row],[Valor]]&gt;1,1,1)</f>
        <v>1</v>
      </c>
      <c r="Y515" s="3">
        <f t="shared" si="134"/>
        <v>1</v>
      </c>
      <c r="Z515" s="3">
        <f>IF(AND(DataTable[[#This Row],[Sentido]]="URUGUAI para BRASIL",DataTable[[#This Row],[Valor]]&gt;350),1,0)</f>
        <v>0</v>
      </c>
      <c r="AA515" s="3">
        <f>IF(DataTable[[#This Row],[Valor]]&gt;1,0,0)</f>
        <v>0</v>
      </c>
    </row>
    <row r="516" spans="1:27" x14ac:dyDescent="0.25">
      <c r="A516" s="2" t="s">
        <v>18</v>
      </c>
      <c r="B516" s="2">
        <v>107</v>
      </c>
      <c r="C516" s="3">
        <f t="shared" si="120"/>
        <v>72.83</v>
      </c>
      <c r="D516" s="3">
        <f t="shared" si="121"/>
        <v>87.65</v>
      </c>
      <c r="E516" s="3">
        <f t="shared" si="122"/>
        <v>83.75</v>
      </c>
      <c r="F516" s="3">
        <f t="shared" si="123"/>
        <v>56.44</v>
      </c>
      <c r="G516" s="3">
        <f t="shared" si="124"/>
        <v>132.16</v>
      </c>
      <c r="H516" s="3">
        <f t="shared" si="125"/>
        <v>132.16</v>
      </c>
      <c r="I516" s="3"/>
      <c r="J516" s="3">
        <f t="shared" si="126"/>
        <v>79.849999999999994</v>
      </c>
      <c r="K516" s="3">
        <f t="shared" si="127"/>
        <v>87.65</v>
      </c>
      <c r="L516" s="34">
        <f t="shared" si="128"/>
        <v>83.75</v>
      </c>
      <c r="M516" s="3">
        <f t="shared" si="129"/>
        <v>-42.800000000000004</v>
      </c>
      <c r="N516" s="3">
        <f t="shared" si="130"/>
        <v>128.6</v>
      </c>
      <c r="O516" s="3"/>
      <c r="P516" s="3">
        <f t="shared" si="131"/>
        <v>74.515949606299202</v>
      </c>
      <c r="Q516" s="3">
        <f t="shared" si="132"/>
        <v>109.8176</v>
      </c>
      <c r="R516" s="3">
        <f>vd(DataTable[[#This Row],[Sentido]],DataTable[[#This Row],[Valor]])</f>
        <v>90.470866141732287</v>
      </c>
      <c r="S516" s="3">
        <f>IF(DataTable[[#This Row],[Valor]]&gt;1,1,1)</f>
        <v>1</v>
      </c>
      <c r="T516" s="3">
        <f>IF(DataTable[[#This Row],[Valor]]&gt;1,1,1)</f>
        <v>1</v>
      </c>
      <c r="U516" s="3">
        <f>angr(DataTable[[#This Row],[Sentido]],DataTable[[#This Row],[Valor]])</f>
        <v>51.623622047244098</v>
      </c>
      <c r="V516" s="3">
        <f>ANGI(DataTable[[#This Row],[Sentido]],DataTable[[#This Row],[Valor]])</f>
        <v>51.823622047244093</v>
      </c>
      <c r="W516" s="3">
        <f t="shared" si="133"/>
        <v>1</v>
      </c>
      <c r="X516" s="3">
        <f>IF(DataTable[[#This Row],[Valor]]&gt;1,1,1)</f>
        <v>1</v>
      </c>
      <c r="Y516" s="3">
        <f t="shared" si="134"/>
        <v>1</v>
      </c>
      <c r="Z516" s="3">
        <f>IF(AND(DataTable[[#This Row],[Sentido]]="URUGUAI para BRASIL",DataTable[[#This Row],[Valor]]&gt;350),1,0)</f>
        <v>0</v>
      </c>
      <c r="AA516" s="3">
        <f>IF(DataTable[[#This Row],[Valor]]&gt;1,0,0)</f>
        <v>0</v>
      </c>
    </row>
    <row r="517" spans="1:27" x14ac:dyDescent="0.25">
      <c r="A517" s="2" t="s">
        <v>18</v>
      </c>
      <c r="B517" s="2">
        <v>108</v>
      </c>
      <c r="C517" s="3">
        <f t="shared" ref="C517:C580" si="135">MiniVWVB(A517,B517,E517)</f>
        <v>72.83</v>
      </c>
      <c r="D517" s="3">
        <f t="shared" ref="D517:D580" si="136">MaxVWV(A517,B517)</f>
        <v>87.65</v>
      </c>
      <c r="E517" s="3">
        <f t="shared" ref="E517:E580" si="137">RatedVWV(B517)</f>
        <v>83.75</v>
      </c>
      <c r="F517" s="3">
        <f t="shared" ref="F517:F580" si="138">MinQB(A517,B517)</f>
        <v>56.36</v>
      </c>
      <c r="G517" s="3">
        <f t="shared" ref="G517:G580" si="139">MaxQB3F(A517,B517)</f>
        <v>132.04000000000002</v>
      </c>
      <c r="H517" s="3">
        <f t="shared" ref="H517:H580" si="140">MaxQB4F(A517,B517)</f>
        <v>132.04000000000002</v>
      </c>
      <c r="I517" s="3"/>
      <c r="J517" s="3">
        <f t="shared" ref="J517:J580" si="141">MiniVWVU(A517,B517,L517)</f>
        <v>79.849999999999994</v>
      </c>
      <c r="K517" s="3">
        <f t="shared" ref="K517:K580" si="142">MaxVWV(A517,B517)</f>
        <v>87.65</v>
      </c>
      <c r="L517" s="34">
        <f t="shared" ref="L517:L580" si="143">RatedVWV(B517)</f>
        <v>83.75</v>
      </c>
      <c r="M517" s="3">
        <f t="shared" ref="M517:M580" si="144">MinQU(A517,B517)</f>
        <v>-43.2</v>
      </c>
      <c r="N517" s="3">
        <f t="shared" ref="N517:N580" si="145">MaxQU(A517,B517)</f>
        <v>128.4</v>
      </c>
      <c r="O517" s="3"/>
      <c r="P517" s="3">
        <f t="shared" ref="P517:P580" si="146">MiniUpper(A517,B517)</f>
        <v>76.07579212598425</v>
      </c>
      <c r="Q517" s="3">
        <f t="shared" ref="Q517:Q580" si="147">MaxUpper(A517,B517)</f>
        <v>109.8176</v>
      </c>
      <c r="R517" s="3">
        <f>vd(DataTable[[#This Row],[Sentido]],DataTable[[#This Row],[Valor]])</f>
        <v>91.039545056867894</v>
      </c>
      <c r="S517" s="3">
        <f>IF(DataTable[[#This Row],[Valor]]&gt;1,1,1)</f>
        <v>1</v>
      </c>
      <c r="T517" s="3">
        <f>IF(DataTable[[#This Row],[Valor]]&gt;1,1,1)</f>
        <v>1</v>
      </c>
      <c r="U517" s="3">
        <f>angr(DataTable[[#This Row],[Sentido]],DataTable[[#This Row],[Valor]])</f>
        <v>51.350218722659669</v>
      </c>
      <c r="V517" s="3">
        <f>ANGI(DataTable[[#This Row],[Sentido]],DataTable[[#This Row],[Valor]])</f>
        <v>51.550218722659665</v>
      </c>
      <c r="W517" s="3">
        <f t="shared" ref="W517:W580" si="148">IF(A518="URUGUAI para BRASIL",IF(B517&gt;119,IF(B517&gt;240,3,2),1),IF(B517&gt;120,IF(B517&gt;240,3,2),1))</f>
        <v>1</v>
      </c>
      <c r="X517" s="3">
        <f>IF(DataTable[[#This Row],[Valor]]&gt;1,1,1)</f>
        <v>1</v>
      </c>
      <c r="Y517" s="3">
        <f t="shared" ref="Y517:Y580" si="149">IF(A518="URUGUAI para BRASIL",IF(B517&gt;119,IF(B517&gt;240,3,2),1),IF(B517&gt;120,IF(B517&gt;240,3,2),1))</f>
        <v>1</v>
      </c>
      <c r="Z517" s="3">
        <f>IF(AND(DataTable[[#This Row],[Sentido]]="URUGUAI para BRASIL",DataTable[[#This Row],[Valor]]&gt;350),1,0)</f>
        <v>0</v>
      </c>
      <c r="AA517" s="3">
        <f>IF(DataTable[[#This Row],[Valor]]&gt;1,0,0)</f>
        <v>0</v>
      </c>
    </row>
    <row r="518" spans="1:27" x14ac:dyDescent="0.25">
      <c r="A518" s="2" t="s">
        <v>18</v>
      </c>
      <c r="B518" s="2">
        <v>109</v>
      </c>
      <c r="C518" s="3">
        <f t="shared" si="135"/>
        <v>72.83</v>
      </c>
      <c r="D518" s="3">
        <f t="shared" si="136"/>
        <v>87.65</v>
      </c>
      <c r="E518" s="3">
        <f t="shared" si="137"/>
        <v>83.75</v>
      </c>
      <c r="F518" s="3">
        <f t="shared" si="138"/>
        <v>56.28</v>
      </c>
      <c r="G518" s="3">
        <f t="shared" si="139"/>
        <v>131.92000000000002</v>
      </c>
      <c r="H518" s="3">
        <f t="shared" si="140"/>
        <v>131.92000000000002</v>
      </c>
      <c r="I518" s="3"/>
      <c r="J518" s="3">
        <f t="shared" si="141"/>
        <v>79.849999999999994</v>
      </c>
      <c r="K518" s="3">
        <f t="shared" si="142"/>
        <v>87.65</v>
      </c>
      <c r="L518" s="34">
        <f t="shared" si="143"/>
        <v>83.75</v>
      </c>
      <c r="M518" s="3">
        <f t="shared" si="144"/>
        <v>-43.6</v>
      </c>
      <c r="N518" s="3">
        <f t="shared" si="145"/>
        <v>128.19999999999999</v>
      </c>
      <c r="O518" s="3"/>
      <c r="P518" s="3">
        <f t="shared" si="146"/>
        <v>77.635634645669285</v>
      </c>
      <c r="Q518" s="3">
        <f t="shared" si="147"/>
        <v>109.8176</v>
      </c>
      <c r="R518" s="3">
        <f>vd(DataTable[[#This Row],[Sentido]],DataTable[[#This Row],[Valor]])</f>
        <v>91.608223972003501</v>
      </c>
      <c r="S518" s="3">
        <f>IF(DataTable[[#This Row],[Valor]]&gt;1,1,1)</f>
        <v>1</v>
      </c>
      <c r="T518" s="3">
        <f>IF(DataTable[[#This Row],[Valor]]&gt;1,1,1)</f>
        <v>1</v>
      </c>
      <c r="U518" s="3">
        <f>angr(DataTable[[#This Row],[Sentido]],DataTable[[#This Row],[Valor]])</f>
        <v>51.076815398075247</v>
      </c>
      <c r="V518" s="3">
        <f>ANGI(DataTable[[#This Row],[Sentido]],DataTable[[#This Row],[Valor]])</f>
        <v>51.276815398075243</v>
      </c>
      <c r="W518" s="3">
        <f t="shared" si="148"/>
        <v>1</v>
      </c>
      <c r="X518" s="3">
        <f>IF(DataTable[[#This Row],[Valor]]&gt;1,1,1)</f>
        <v>1</v>
      </c>
      <c r="Y518" s="3">
        <f t="shared" si="149"/>
        <v>1</v>
      </c>
      <c r="Z518" s="3">
        <f>IF(AND(DataTable[[#This Row],[Sentido]]="URUGUAI para BRASIL",DataTable[[#This Row],[Valor]]&gt;350),1,0)</f>
        <v>0</v>
      </c>
      <c r="AA518" s="3">
        <f>IF(DataTable[[#This Row],[Valor]]&gt;1,0,0)</f>
        <v>0</v>
      </c>
    </row>
    <row r="519" spans="1:27" x14ac:dyDescent="0.25">
      <c r="A519" s="2" t="s">
        <v>18</v>
      </c>
      <c r="B519" s="2">
        <v>110</v>
      </c>
      <c r="C519" s="3">
        <f t="shared" si="135"/>
        <v>72.83</v>
      </c>
      <c r="D519" s="3">
        <f t="shared" si="136"/>
        <v>87.65</v>
      </c>
      <c r="E519" s="3">
        <f t="shared" si="137"/>
        <v>83.75</v>
      </c>
      <c r="F519" s="3">
        <f t="shared" si="138"/>
        <v>56.2</v>
      </c>
      <c r="G519" s="3">
        <f t="shared" si="139"/>
        <v>131.80000000000001</v>
      </c>
      <c r="H519" s="3">
        <f t="shared" si="140"/>
        <v>131.80000000000001</v>
      </c>
      <c r="I519" s="3"/>
      <c r="J519" s="3">
        <f t="shared" si="141"/>
        <v>79.849999999999994</v>
      </c>
      <c r="K519" s="3">
        <f t="shared" si="142"/>
        <v>87.65</v>
      </c>
      <c r="L519" s="34">
        <f t="shared" si="143"/>
        <v>83.75</v>
      </c>
      <c r="M519" s="3">
        <f t="shared" si="144"/>
        <v>-44</v>
      </c>
      <c r="N519" s="3">
        <f t="shared" si="145"/>
        <v>128</v>
      </c>
      <c r="O519" s="3"/>
      <c r="P519" s="3">
        <f t="shared" si="146"/>
        <v>79.195477165354333</v>
      </c>
      <c r="Q519" s="3">
        <f t="shared" si="147"/>
        <v>109.8176</v>
      </c>
      <c r="R519" s="3">
        <f>vd(DataTable[[#This Row],[Sentido]],DataTable[[#This Row],[Valor]])</f>
        <v>92.176902887139107</v>
      </c>
      <c r="S519" s="3">
        <f>IF(DataTable[[#This Row],[Valor]]&gt;1,1,1)</f>
        <v>1</v>
      </c>
      <c r="T519" s="3">
        <f>IF(DataTable[[#This Row],[Valor]]&gt;1,1,1)</f>
        <v>1</v>
      </c>
      <c r="U519" s="3">
        <f>angr(DataTable[[#This Row],[Sentido]],DataTable[[#This Row],[Valor]])</f>
        <v>50.803412073490819</v>
      </c>
      <c r="V519" s="3">
        <f>ANGI(DataTable[[#This Row],[Sentido]],DataTable[[#This Row],[Valor]])</f>
        <v>51.003412073490807</v>
      </c>
      <c r="W519" s="3">
        <f t="shared" si="148"/>
        <v>1</v>
      </c>
      <c r="X519" s="3">
        <f>IF(DataTable[[#This Row],[Valor]]&gt;1,1,1)</f>
        <v>1</v>
      </c>
      <c r="Y519" s="3">
        <f t="shared" si="149"/>
        <v>1</v>
      </c>
      <c r="Z519" s="3">
        <f>IF(AND(DataTable[[#This Row],[Sentido]]="URUGUAI para BRASIL",DataTable[[#This Row],[Valor]]&gt;350),1,0)</f>
        <v>0</v>
      </c>
      <c r="AA519" s="3">
        <f>IF(DataTable[[#This Row],[Valor]]&gt;1,0,0)</f>
        <v>0</v>
      </c>
    </row>
    <row r="520" spans="1:27" x14ac:dyDescent="0.25">
      <c r="A520" s="2" t="s">
        <v>18</v>
      </c>
      <c r="B520" s="2">
        <v>111</v>
      </c>
      <c r="C520" s="3">
        <f t="shared" si="135"/>
        <v>72.83</v>
      </c>
      <c r="D520" s="3">
        <f t="shared" si="136"/>
        <v>87.65</v>
      </c>
      <c r="E520" s="3">
        <f t="shared" si="137"/>
        <v>83.75</v>
      </c>
      <c r="F520" s="3">
        <f t="shared" si="138"/>
        <v>56.12</v>
      </c>
      <c r="G520" s="3">
        <f t="shared" si="139"/>
        <v>131.68</v>
      </c>
      <c r="H520" s="3">
        <f t="shared" si="140"/>
        <v>131.68</v>
      </c>
      <c r="I520" s="3"/>
      <c r="J520" s="3">
        <f t="shared" si="141"/>
        <v>79.849999999999994</v>
      </c>
      <c r="K520" s="3">
        <f t="shared" si="142"/>
        <v>87.65</v>
      </c>
      <c r="L520" s="34">
        <f t="shared" si="143"/>
        <v>83.75</v>
      </c>
      <c r="M520" s="3">
        <f t="shared" si="144"/>
        <v>-44.400000000000006</v>
      </c>
      <c r="N520" s="3">
        <f t="shared" si="145"/>
        <v>127.8</v>
      </c>
      <c r="O520" s="3"/>
      <c r="P520" s="3">
        <f t="shared" si="146"/>
        <v>80.755319685039353</v>
      </c>
      <c r="Q520" s="3">
        <f t="shared" si="147"/>
        <v>109.8176</v>
      </c>
      <c r="R520" s="3">
        <f>vd(DataTable[[#This Row],[Sentido]],DataTable[[#This Row],[Valor]])</f>
        <v>92.745581802274714</v>
      </c>
      <c r="S520" s="3">
        <f>IF(DataTable[[#This Row],[Valor]]&gt;1,1,1)</f>
        <v>1</v>
      </c>
      <c r="T520" s="3">
        <f>IF(DataTable[[#This Row],[Valor]]&gt;1,1,1)</f>
        <v>1</v>
      </c>
      <c r="U520" s="3">
        <f>angr(DataTable[[#This Row],[Sentido]],DataTable[[#This Row],[Valor]])</f>
        <v>50.53000874890639</v>
      </c>
      <c r="V520" s="3">
        <f>ANGI(DataTable[[#This Row],[Sentido]],DataTable[[#This Row],[Valor]])</f>
        <v>50.730008748906386</v>
      </c>
      <c r="W520" s="3">
        <f t="shared" si="148"/>
        <v>1</v>
      </c>
      <c r="X520" s="3">
        <f>IF(DataTable[[#This Row],[Valor]]&gt;1,1,1)</f>
        <v>1</v>
      </c>
      <c r="Y520" s="3">
        <f t="shared" si="149"/>
        <v>1</v>
      </c>
      <c r="Z520" s="3">
        <f>IF(AND(DataTable[[#This Row],[Sentido]]="URUGUAI para BRASIL",DataTable[[#This Row],[Valor]]&gt;350),1,0)</f>
        <v>0</v>
      </c>
      <c r="AA520" s="3">
        <f>IF(DataTable[[#This Row],[Valor]]&gt;1,0,0)</f>
        <v>0</v>
      </c>
    </row>
    <row r="521" spans="1:27" x14ac:dyDescent="0.25">
      <c r="A521" s="2" t="s">
        <v>18</v>
      </c>
      <c r="B521" s="2">
        <v>112</v>
      </c>
      <c r="C521" s="3">
        <f t="shared" si="135"/>
        <v>72.83</v>
      </c>
      <c r="D521" s="3">
        <f t="shared" si="136"/>
        <v>87.65</v>
      </c>
      <c r="E521" s="3">
        <f t="shared" si="137"/>
        <v>83.75</v>
      </c>
      <c r="F521" s="3">
        <f t="shared" si="138"/>
        <v>56.04</v>
      </c>
      <c r="G521" s="3">
        <f t="shared" si="139"/>
        <v>131.56</v>
      </c>
      <c r="H521" s="3">
        <f t="shared" si="140"/>
        <v>131.56</v>
      </c>
      <c r="I521" s="3"/>
      <c r="J521" s="3">
        <f t="shared" si="141"/>
        <v>79.849999999999994</v>
      </c>
      <c r="K521" s="3">
        <f t="shared" si="142"/>
        <v>87.65</v>
      </c>
      <c r="L521" s="34">
        <f t="shared" si="143"/>
        <v>83.75</v>
      </c>
      <c r="M521" s="3">
        <f t="shared" si="144"/>
        <v>-44.800000000000004</v>
      </c>
      <c r="N521" s="3">
        <f t="shared" si="145"/>
        <v>127.6</v>
      </c>
      <c r="O521" s="3"/>
      <c r="P521" s="3">
        <f t="shared" si="146"/>
        <v>82.315162204724402</v>
      </c>
      <c r="Q521" s="3">
        <f t="shared" si="147"/>
        <v>109.8176</v>
      </c>
      <c r="R521" s="3">
        <f>vd(DataTable[[#This Row],[Sentido]],DataTable[[#This Row],[Valor]])</f>
        <v>93.31426071741032</v>
      </c>
      <c r="S521" s="3">
        <f>IF(DataTable[[#This Row],[Valor]]&gt;1,1,1)</f>
        <v>1</v>
      </c>
      <c r="T521" s="3">
        <f>IF(DataTable[[#This Row],[Valor]]&gt;1,1,1)</f>
        <v>1</v>
      </c>
      <c r="U521" s="3">
        <f>angr(DataTable[[#This Row],[Sentido]],DataTable[[#This Row],[Valor]])</f>
        <v>50.256605424321961</v>
      </c>
      <c r="V521" s="3">
        <f>ANGI(DataTable[[#This Row],[Sentido]],DataTable[[#This Row],[Valor]])</f>
        <v>50.456605424321957</v>
      </c>
      <c r="W521" s="3">
        <f t="shared" si="148"/>
        <v>1</v>
      </c>
      <c r="X521" s="3">
        <f>IF(DataTable[[#This Row],[Valor]]&gt;1,1,1)</f>
        <v>1</v>
      </c>
      <c r="Y521" s="3">
        <f t="shared" si="149"/>
        <v>1</v>
      </c>
      <c r="Z521" s="3">
        <f>IF(AND(DataTable[[#This Row],[Sentido]]="URUGUAI para BRASIL",DataTable[[#This Row],[Valor]]&gt;350),1,0)</f>
        <v>0</v>
      </c>
      <c r="AA521" s="3">
        <f>IF(DataTable[[#This Row],[Valor]]&gt;1,0,0)</f>
        <v>0</v>
      </c>
    </row>
    <row r="522" spans="1:27" x14ac:dyDescent="0.25">
      <c r="A522" s="2" t="s">
        <v>18</v>
      </c>
      <c r="B522" s="2">
        <v>113</v>
      </c>
      <c r="C522" s="3">
        <f t="shared" si="135"/>
        <v>72.83</v>
      </c>
      <c r="D522" s="3">
        <f t="shared" si="136"/>
        <v>87.65</v>
      </c>
      <c r="E522" s="3">
        <f t="shared" si="137"/>
        <v>83.75</v>
      </c>
      <c r="F522" s="3">
        <f t="shared" si="138"/>
        <v>55.96</v>
      </c>
      <c r="G522" s="3">
        <f t="shared" si="139"/>
        <v>131.44</v>
      </c>
      <c r="H522" s="3">
        <f t="shared" si="140"/>
        <v>131.44</v>
      </c>
      <c r="I522" s="3"/>
      <c r="J522" s="3">
        <f t="shared" si="141"/>
        <v>79.849999999999994</v>
      </c>
      <c r="K522" s="3">
        <f t="shared" si="142"/>
        <v>87.65</v>
      </c>
      <c r="L522" s="34">
        <f t="shared" si="143"/>
        <v>83.75</v>
      </c>
      <c r="M522" s="3">
        <f t="shared" si="144"/>
        <v>-45.2</v>
      </c>
      <c r="N522" s="3">
        <f t="shared" si="145"/>
        <v>127.4</v>
      </c>
      <c r="O522" s="3"/>
      <c r="P522" s="3">
        <f t="shared" si="146"/>
        <v>83.87500472440945</v>
      </c>
      <c r="Q522" s="3">
        <f t="shared" si="147"/>
        <v>109.8176</v>
      </c>
      <c r="R522" s="3">
        <f>vd(DataTable[[#This Row],[Sentido]],DataTable[[#This Row],[Valor]])</f>
        <v>93.882939632545927</v>
      </c>
      <c r="S522" s="3">
        <f>IF(DataTable[[#This Row],[Valor]]&gt;1,1,1)</f>
        <v>1</v>
      </c>
      <c r="T522" s="3">
        <f>IF(DataTable[[#This Row],[Valor]]&gt;1,1,1)</f>
        <v>1</v>
      </c>
      <c r="U522" s="3">
        <f>angr(DataTable[[#This Row],[Sentido]],DataTable[[#This Row],[Valor]])</f>
        <v>49.983202099737532</v>
      </c>
      <c r="V522" s="3">
        <f>ANGI(DataTable[[#This Row],[Sentido]],DataTable[[#This Row],[Valor]])</f>
        <v>50.183202099737528</v>
      </c>
      <c r="W522" s="3">
        <f t="shared" si="148"/>
        <v>1</v>
      </c>
      <c r="X522" s="3">
        <f>IF(DataTable[[#This Row],[Valor]]&gt;1,1,1)</f>
        <v>1</v>
      </c>
      <c r="Y522" s="3">
        <f t="shared" si="149"/>
        <v>1</v>
      </c>
      <c r="Z522" s="3">
        <f>IF(AND(DataTable[[#This Row],[Sentido]]="URUGUAI para BRASIL",DataTable[[#This Row],[Valor]]&gt;350),1,0)</f>
        <v>0</v>
      </c>
      <c r="AA522" s="3">
        <f>IF(DataTable[[#This Row],[Valor]]&gt;1,0,0)</f>
        <v>0</v>
      </c>
    </row>
    <row r="523" spans="1:27" x14ac:dyDescent="0.25">
      <c r="A523" s="2" t="s">
        <v>18</v>
      </c>
      <c r="B523" s="2">
        <v>114</v>
      </c>
      <c r="C523" s="3">
        <f t="shared" si="135"/>
        <v>72.83</v>
      </c>
      <c r="D523" s="3">
        <f t="shared" si="136"/>
        <v>87.65</v>
      </c>
      <c r="E523" s="3">
        <f t="shared" si="137"/>
        <v>83.75</v>
      </c>
      <c r="F523" s="3">
        <f t="shared" si="138"/>
        <v>55.879999999999995</v>
      </c>
      <c r="G523" s="3">
        <f t="shared" si="139"/>
        <v>131.32</v>
      </c>
      <c r="H523" s="3">
        <f t="shared" si="140"/>
        <v>131.32</v>
      </c>
      <c r="I523" s="3"/>
      <c r="J523" s="3">
        <f t="shared" si="141"/>
        <v>79.849999999999994</v>
      </c>
      <c r="K523" s="3">
        <f t="shared" si="142"/>
        <v>87.65</v>
      </c>
      <c r="L523" s="34">
        <f t="shared" si="143"/>
        <v>83.75</v>
      </c>
      <c r="M523" s="3">
        <f t="shared" si="144"/>
        <v>-45.6</v>
      </c>
      <c r="N523" s="3">
        <f t="shared" si="145"/>
        <v>127.2</v>
      </c>
      <c r="O523" s="3"/>
      <c r="P523" s="3">
        <f t="shared" si="146"/>
        <v>85.43484724409447</v>
      </c>
      <c r="Q523" s="3">
        <f t="shared" si="147"/>
        <v>109.8176</v>
      </c>
      <c r="R523" s="3">
        <f>vd(DataTable[[#This Row],[Sentido]],DataTable[[#This Row],[Valor]])</f>
        <v>94.451618547681534</v>
      </c>
      <c r="S523" s="3">
        <f>IF(DataTable[[#This Row],[Valor]]&gt;1,1,1)</f>
        <v>1</v>
      </c>
      <c r="T523" s="3">
        <f>IF(DataTable[[#This Row],[Valor]]&gt;1,1,1)</f>
        <v>1</v>
      </c>
      <c r="U523" s="3">
        <f>angr(DataTable[[#This Row],[Sentido]],DataTable[[#This Row],[Valor]])</f>
        <v>49.709798775153111</v>
      </c>
      <c r="V523" s="3">
        <f>ANGI(DataTable[[#This Row],[Sentido]],DataTable[[#This Row],[Valor]])</f>
        <v>49.909798775153106</v>
      </c>
      <c r="W523" s="3">
        <f t="shared" si="148"/>
        <v>1</v>
      </c>
      <c r="X523" s="3">
        <f>IF(DataTable[[#This Row],[Valor]]&gt;1,1,1)</f>
        <v>1</v>
      </c>
      <c r="Y523" s="3">
        <f t="shared" si="149"/>
        <v>1</v>
      </c>
      <c r="Z523" s="3">
        <f>IF(AND(DataTable[[#This Row],[Sentido]]="URUGUAI para BRASIL",DataTable[[#This Row],[Valor]]&gt;350),1,0)</f>
        <v>0</v>
      </c>
      <c r="AA523" s="3">
        <f>IF(DataTable[[#This Row],[Valor]]&gt;1,0,0)</f>
        <v>0</v>
      </c>
    </row>
    <row r="524" spans="1:27" x14ac:dyDescent="0.25">
      <c r="A524" s="2" t="s">
        <v>18</v>
      </c>
      <c r="B524" s="2">
        <v>115</v>
      </c>
      <c r="C524" s="3">
        <f t="shared" si="135"/>
        <v>72.83</v>
      </c>
      <c r="D524" s="3">
        <f t="shared" si="136"/>
        <v>87.65</v>
      </c>
      <c r="E524" s="3">
        <f t="shared" si="137"/>
        <v>83.75</v>
      </c>
      <c r="F524" s="3">
        <f t="shared" si="138"/>
        <v>55.8</v>
      </c>
      <c r="G524" s="3">
        <f t="shared" si="139"/>
        <v>131.19999999999999</v>
      </c>
      <c r="H524" s="3">
        <f t="shared" si="140"/>
        <v>131.19999999999999</v>
      </c>
      <c r="I524" s="3"/>
      <c r="J524" s="3">
        <f t="shared" si="141"/>
        <v>79.849999999999994</v>
      </c>
      <c r="K524" s="3">
        <f t="shared" si="142"/>
        <v>87.65</v>
      </c>
      <c r="L524" s="34">
        <f t="shared" si="143"/>
        <v>83.75</v>
      </c>
      <c r="M524" s="3">
        <f t="shared" si="144"/>
        <v>-46</v>
      </c>
      <c r="N524" s="3">
        <f t="shared" si="145"/>
        <v>127</v>
      </c>
      <c r="O524" s="3"/>
      <c r="P524" s="3">
        <f t="shared" si="146"/>
        <v>86.994689763779519</v>
      </c>
      <c r="Q524" s="3">
        <f t="shared" si="147"/>
        <v>109.8176</v>
      </c>
      <c r="R524" s="3">
        <f>vd(DataTable[[#This Row],[Sentido]],DataTable[[#This Row],[Valor]])</f>
        <v>95.02029746281714</v>
      </c>
      <c r="S524" s="3">
        <f>IF(DataTable[[#This Row],[Valor]]&gt;1,1,1)</f>
        <v>1</v>
      </c>
      <c r="T524" s="3">
        <f>IF(DataTable[[#This Row],[Valor]]&gt;1,1,1)</f>
        <v>1</v>
      </c>
      <c r="U524" s="3">
        <f>angr(DataTable[[#This Row],[Sentido]],DataTable[[#This Row],[Valor]])</f>
        <v>49.436395450568682</v>
      </c>
      <c r="V524" s="3">
        <f>ANGI(DataTable[[#This Row],[Sentido]],DataTable[[#This Row],[Valor]])</f>
        <v>49.636395450568678</v>
      </c>
      <c r="W524" s="3">
        <f t="shared" si="148"/>
        <v>1</v>
      </c>
      <c r="X524" s="3">
        <f>IF(DataTable[[#This Row],[Valor]]&gt;1,1,1)</f>
        <v>1</v>
      </c>
      <c r="Y524" s="3">
        <f t="shared" si="149"/>
        <v>1</v>
      </c>
      <c r="Z524" s="3">
        <f>IF(AND(DataTable[[#This Row],[Sentido]]="URUGUAI para BRASIL",DataTable[[#This Row],[Valor]]&gt;350),1,0)</f>
        <v>0</v>
      </c>
      <c r="AA524" s="3">
        <f>IF(DataTable[[#This Row],[Valor]]&gt;1,0,0)</f>
        <v>0</v>
      </c>
    </row>
    <row r="525" spans="1:27" x14ac:dyDescent="0.25">
      <c r="A525" s="2" t="s">
        <v>18</v>
      </c>
      <c r="B525" s="2">
        <v>116</v>
      </c>
      <c r="C525" s="3">
        <f t="shared" si="135"/>
        <v>72.83</v>
      </c>
      <c r="D525" s="3">
        <f t="shared" si="136"/>
        <v>87.65</v>
      </c>
      <c r="E525" s="3">
        <f t="shared" si="137"/>
        <v>83.75</v>
      </c>
      <c r="F525" s="3">
        <f t="shared" si="138"/>
        <v>55.72</v>
      </c>
      <c r="G525" s="3">
        <f t="shared" si="139"/>
        <v>131.07999999999998</v>
      </c>
      <c r="H525" s="3">
        <f t="shared" si="140"/>
        <v>131.07999999999998</v>
      </c>
      <c r="I525" s="3"/>
      <c r="J525" s="3">
        <f t="shared" si="141"/>
        <v>79.849999999999994</v>
      </c>
      <c r="K525" s="3">
        <f t="shared" si="142"/>
        <v>87.65</v>
      </c>
      <c r="L525" s="34">
        <f t="shared" si="143"/>
        <v>83.75</v>
      </c>
      <c r="M525" s="3">
        <f t="shared" si="144"/>
        <v>-46.400000000000006</v>
      </c>
      <c r="N525" s="3">
        <f t="shared" si="145"/>
        <v>126.8</v>
      </c>
      <c r="O525" s="3"/>
      <c r="P525" s="3">
        <f t="shared" si="146"/>
        <v>88.554532283464553</v>
      </c>
      <c r="Q525" s="3">
        <f t="shared" si="147"/>
        <v>109.8176</v>
      </c>
      <c r="R525" s="3">
        <f>vd(DataTable[[#This Row],[Sentido]],DataTable[[#This Row],[Valor]])</f>
        <v>95.588976377952747</v>
      </c>
      <c r="S525" s="3">
        <f>IF(DataTable[[#This Row],[Valor]]&gt;1,1,1)</f>
        <v>1</v>
      </c>
      <c r="T525" s="3">
        <f>IF(DataTable[[#This Row],[Valor]]&gt;1,1,1)</f>
        <v>1</v>
      </c>
      <c r="U525" s="3">
        <f>angr(DataTable[[#This Row],[Sentido]],DataTable[[#This Row],[Valor]])</f>
        <v>49.16299212598426</v>
      </c>
      <c r="V525" s="3">
        <f>ANGI(DataTable[[#This Row],[Sentido]],DataTable[[#This Row],[Valor]])</f>
        <v>49.362992125984249</v>
      </c>
      <c r="W525" s="3">
        <f t="shared" si="148"/>
        <v>1</v>
      </c>
      <c r="X525" s="3">
        <f>IF(DataTable[[#This Row],[Valor]]&gt;1,1,1)</f>
        <v>1</v>
      </c>
      <c r="Y525" s="3">
        <f t="shared" si="149"/>
        <v>1</v>
      </c>
      <c r="Z525" s="3">
        <f>IF(AND(DataTable[[#This Row],[Sentido]]="URUGUAI para BRASIL",DataTable[[#This Row],[Valor]]&gt;350),1,0)</f>
        <v>0</v>
      </c>
      <c r="AA525" s="3">
        <f>IF(DataTable[[#This Row],[Valor]]&gt;1,0,0)</f>
        <v>0</v>
      </c>
    </row>
    <row r="526" spans="1:27" x14ac:dyDescent="0.25">
      <c r="A526" s="2" t="s">
        <v>18</v>
      </c>
      <c r="B526" s="2">
        <v>117</v>
      </c>
      <c r="C526" s="3">
        <f t="shared" si="135"/>
        <v>72.83</v>
      </c>
      <c r="D526" s="3">
        <f t="shared" si="136"/>
        <v>87.65</v>
      </c>
      <c r="E526" s="3">
        <f t="shared" si="137"/>
        <v>83.75</v>
      </c>
      <c r="F526" s="3">
        <f t="shared" si="138"/>
        <v>55.64</v>
      </c>
      <c r="G526" s="3">
        <f t="shared" si="139"/>
        <v>130.95999999999998</v>
      </c>
      <c r="H526" s="3">
        <f t="shared" si="140"/>
        <v>130.95999999999998</v>
      </c>
      <c r="I526" s="3"/>
      <c r="J526" s="3">
        <f t="shared" si="141"/>
        <v>79.849999999999994</v>
      </c>
      <c r="K526" s="3">
        <f t="shared" si="142"/>
        <v>87.65</v>
      </c>
      <c r="L526" s="34">
        <f t="shared" si="143"/>
        <v>83.75</v>
      </c>
      <c r="M526" s="3">
        <f t="shared" si="144"/>
        <v>-46.800000000000004</v>
      </c>
      <c r="N526" s="3">
        <f t="shared" si="145"/>
        <v>126.6</v>
      </c>
      <c r="O526" s="3"/>
      <c r="P526" s="3">
        <f t="shared" si="146"/>
        <v>90.114374803149602</v>
      </c>
      <c r="Q526" s="3">
        <f t="shared" si="147"/>
        <v>109.8176</v>
      </c>
      <c r="R526" s="3">
        <f>vd(DataTable[[#This Row],[Sentido]],DataTable[[#This Row],[Valor]])</f>
        <v>96.157655293088354</v>
      </c>
      <c r="S526" s="3">
        <f>IF(DataTable[[#This Row],[Valor]]&gt;1,1,1)</f>
        <v>1</v>
      </c>
      <c r="T526" s="3">
        <f>IF(DataTable[[#This Row],[Valor]]&gt;1,1,1)</f>
        <v>1</v>
      </c>
      <c r="U526" s="3">
        <f>angr(DataTable[[#This Row],[Sentido]],DataTable[[#This Row],[Valor]])</f>
        <v>48.889588801399825</v>
      </c>
      <c r="V526" s="3">
        <f>ANGI(DataTable[[#This Row],[Sentido]],DataTable[[#This Row],[Valor]])</f>
        <v>49.089588801399827</v>
      </c>
      <c r="W526" s="3">
        <f t="shared" si="148"/>
        <v>1</v>
      </c>
      <c r="X526" s="3">
        <f>IF(DataTable[[#This Row],[Valor]]&gt;1,1,1)</f>
        <v>1</v>
      </c>
      <c r="Y526" s="3">
        <f t="shared" si="149"/>
        <v>1</v>
      </c>
      <c r="Z526" s="3">
        <f>IF(AND(DataTable[[#This Row],[Sentido]]="URUGUAI para BRASIL",DataTable[[#This Row],[Valor]]&gt;350),1,0)</f>
        <v>0</v>
      </c>
      <c r="AA526" s="3">
        <f>IF(DataTable[[#This Row],[Valor]]&gt;1,0,0)</f>
        <v>0</v>
      </c>
    </row>
    <row r="527" spans="1:27" x14ac:dyDescent="0.25">
      <c r="A527" s="2" t="s">
        <v>18</v>
      </c>
      <c r="B527" s="2">
        <v>118</v>
      </c>
      <c r="C527" s="3">
        <f t="shared" si="135"/>
        <v>72.83</v>
      </c>
      <c r="D527" s="3">
        <f t="shared" si="136"/>
        <v>87.65</v>
      </c>
      <c r="E527" s="3">
        <f t="shared" si="137"/>
        <v>83.75</v>
      </c>
      <c r="F527" s="3">
        <f t="shared" si="138"/>
        <v>55.56</v>
      </c>
      <c r="G527" s="3">
        <f t="shared" si="139"/>
        <v>130.84</v>
      </c>
      <c r="H527" s="3">
        <f t="shared" si="140"/>
        <v>130.84</v>
      </c>
      <c r="I527" s="3"/>
      <c r="J527" s="3">
        <f t="shared" si="141"/>
        <v>79.849999999999994</v>
      </c>
      <c r="K527" s="3">
        <f t="shared" si="142"/>
        <v>87.65</v>
      </c>
      <c r="L527" s="34">
        <f t="shared" si="143"/>
        <v>83.75</v>
      </c>
      <c r="M527" s="3">
        <f t="shared" si="144"/>
        <v>-47.2</v>
      </c>
      <c r="N527" s="3">
        <f t="shared" si="145"/>
        <v>126.4</v>
      </c>
      <c r="O527" s="3"/>
      <c r="P527" s="3">
        <f t="shared" si="146"/>
        <v>91.67421732283465</v>
      </c>
      <c r="Q527" s="3">
        <f t="shared" si="147"/>
        <v>109.8176</v>
      </c>
      <c r="R527" s="3">
        <f>vd(DataTable[[#This Row],[Sentido]],DataTable[[#This Row],[Valor]])</f>
        <v>96.726334208223975</v>
      </c>
      <c r="S527" s="3">
        <f>IF(DataTable[[#This Row],[Valor]]&gt;1,1,1)</f>
        <v>1</v>
      </c>
      <c r="T527" s="3">
        <f>IF(DataTable[[#This Row],[Valor]]&gt;1,1,1)</f>
        <v>1</v>
      </c>
      <c r="U527" s="3">
        <f>angr(DataTable[[#This Row],[Sentido]],DataTable[[#This Row],[Valor]])</f>
        <v>48.616185476815403</v>
      </c>
      <c r="V527" s="3">
        <f>ANGI(DataTable[[#This Row],[Sentido]],DataTable[[#This Row],[Valor]])</f>
        <v>48.816185476815392</v>
      </c>
      <c r="W527" s="3">
        <f t="shared" si="148"/>
        <v>1</v>
      </c>
      <c r="X527" s="3">
        <f>IF(DataTable[[#This Row],[Valor]]&gt;1,1,1)</f>
        <v>1</v>
      </c>
      <c r="Y527" s="3">
        <f t="shared" si="149"/>
        <v>1</v>
      </c>
      <c r="Z527" s="3">
        <f>IF(AND(DataTable[[#This Row],[Sentido]]="URUGUAI para BRASIL",DataTable[[#This Row],[Valor]]&gt;350),1,0)</f>
        <v>0</v>
      </c>
      <c r="AA527" s="3">
        <f>IF(DataTable[[#This Row],[Valor]]&gt;1,0,0)</f>
        <v>0</v>
      </c>
    </row>
    <row r="528" spans="1:27" x14ac:dyDescent="0.25">
      <c r="A528" s="2" t="s">
        <v>18</v>
      </c>
      <c r="B528" s="2">
        <v>119</v>
      </c>
      <c r="C528" s="3">
        <f t="shared" si="135"/>
        <v>72.83</v>
      </c>
      <c r="D528" s="3">
        <f t="shared" si="136"/>
        <v>87.65</v>
      </c>
      <c r="E528" s="3">
        <f t="shared" si="137"/>
        <v>83.75</v>
      </c>
      <c r="F528" s="3">
        <f t="shared" si="138"/>
        <v>55.480000000000004</v>
      </c>
      <c r="G528" s="3">
        <f t="shared" si="139"/>
        <v>130.72</v>
      </c>
      <c r="H528" s="3">
        <f t="shared" si="140"/>
        <v>130.72</v>
      </c>
      <c r="I528" s="3"/>
      <c r="J528" s="3">
        <f t="shared" si="141"/>
        <v>79.849999999999994</v>
      </c>
      <c r="K528" s="3">
        <f t="shared" si="142"/>
        <v>87.65</v>
      </c>
      <c r="L528" s="34">
        <f t="shared" si="143"/>
        <v>83.75</v>
      </c>
      <c r="M528" s="3">
        <f t="shared" si="144"/>
        <v>-47.6</v>
      </c>
      <c r="N528" s="3">
        <f t="shared" si="145"/>
        <v>126.2</v>
      </c>
      <c r="O528" s="3"/>
      <c r="P528" s="3">
        <f t="shared" si="146"/>
        <v>93.23405984251967</v>
      </c>
      <c r="Q528" s="3">
        <f t="shared" si="147"/>
        <v>109.8176</v>
      </c>
      <c r="R528" s="3">
        <f>vd(DataTable[[#This Row],[Sentido]],DataTable[[#This Row],[Valor]])</f>
        <v>97.295013123359567</v>
      </c>
      <c r="S528" s="3">
        <f>IF(DataTable[[#This Row],[Valor]]&gt;1,1,1)</f>
        <v>1</v>
      </c>
      <c r="T528" s="3">
        <f>IF(DataTable[[#This Row],[Valor]]&gt;1,1,1)</f>
        <v>1</v>
      </c>
      <c r="U528" s="3">
        <f>angr(DataTable[[#This Row],[Sentido]],DataTable[[#This Row],[Valor]])</f>
        <v>48.342782152230974</v>
      </c>
      <c r="V528" s="3">
        <f>ANGI(DataTable[[#This Row],[Sentido]],DataTable[[#This Row],[Valor]])</f>
        <v>48.54278215223097</v>
      </c>
      <c r="W528" s="3">
        <f t="shared" si="148"/>
        <v>1</v>
      </c>
      <c r="X528" s="3">
        <f>IF(DataTable[[#This Row],[Valor]]&gt;1,1,1)</f>
        <v>1</v>
      </c>
      <c r="Y528" s="3">
        <f t="shared" si="149"/>
        <v>1</v>
      </c>
      <c r="Z528" s="3">
        <f>IF(AND(DataTable[[#This Row],[Sentido]]="URUGUAI para BRASIL",DataTable[[#This Row],[Valor]]&gt;350),1,0)</f>
        <v>0</v>
      </c>
      <c r="AA528" s="3">
        <f>IF(DataTable[[#This Row],[Valor]]&gt;1,0,0)</f>
        <v>0</v>
      </c>
    </row>
    <row r="529" spans="1:27" x14ac:dyDescent="0.25">
      <c r="A529" s="26" t="s">
        <v>18</v>
      </c>
      <c r="B529" s="2">
        <v>120</v>
      </c>
      <c r="C529" s="3">
        <f t="shared" si="135"/>
        <v>72.83</v>
      </c>
      <c r="D529" s="3">
        <f t="shared" si="136"/>
        <v>87.65</v>
      </c>
      <c r="E529" s="3">
        <f t="shared" si="137"/>
        <v>83.75</v>
      </c>
      <c r="F529" s="3">
        <f t="shared" si="138"/>
        <v>55.4</v>
      </c>
      <c r="G529" s="3">
        <f t="shared" si="139"/>
        <v>130.6</v>
      </c>
      <c r="H529" s="3">
        <f t="shared" si="140"/>
        <v>130.6</v>
      </c>
      <c r="I529" s="3"/>
      <c r="J529" s="3">
        <f t="shared" si="141"/>
        <v>79.849999999999994</v>
      </c>
      <c r="K529" s="3">
        <f t="shared" si="142"/>
        <v>87.65</v>
      </c>
      <c r="L529" s="34">
        <f t="shared" si="143"/>
        <v>83.75</v>
      </c>
      <c r="M529" s="3">
        <f t="shared" si="144"/>
        <v>-48</v>
      </c>
      <c r="N529" s="3">
        <f t="shared" si="145"/>
        <v>126</v>
      </c>
      <c r="O529" s="3"/>
      <c r="P529" s="3">
        <f t="shared" si="146"/>
        <v>63.193977952755915</v>
      </c>
      <c r="Q529" s="3">
        <f t="shared" si="147"/>
        <v>109.8176</v>
      </c>
      <c r="R529" s="3">
        <f>vd(DataTable[[#This Row],[Sentido]],DataTable[[#This Row],[Valor]])</f>
        <v>69.050393700787396</v>
      </c>
      <c r="S529" s="3">
        <f>IF(DataTable[[#This Row],[Valor]]&gt;1,1,1)</f>
        <v>1</v>
      </c>
      <c r="T529" s="3">
        <f>IF(DataTable[[#This Row],[Valor]]&gt;1,1,1)</f>
        <v>1</v>
      </c>
      <c r="U529" s="3">
        <f>angr(DataTable[[#This Row],[Sentido]],DataTable[[#This Row],[Valor]])</f>
        <v>59.579527559055123</v>
      </c>
      <c r="V529" s="3">
        <f>ANGI(DataTable[[#This Row],[Sentido]],DataTable[[#This Row],[Valor]])</f>
        <v>59.77795275590551</v>
      </c>
      <c r="W529" s="3">
        <f t="shared" si="148"/>
        <v>2</v>
      </c>
      <c r="X529" s="3">
        <f>IF(DataTable[[#This Row],[Valor]]&gt;1,1,1)</f>
        <v>1</v>
      </c>
      <c r="Y529" s="3">
        <f t="shared" si="149"/>
        <v>2</v>
      </c>
      <c r="Z529" s="3">
        <f>IF(AND(DataTable[[#This Row],[Sentido]]="URUGUAI para BRASIL",DataTable[[#This Row],[Valor]]&gt;350),1,0)</f>
        <v>0</v>
      </c>
      <c r="AA529" s="3">
        <f>IF(DataTable[[#This Row],[Valor]]&gt;1,0,0)</f>
        <v>0</v>
      </c>
    </row>
    <row r="530" spans="1:27" x14ac:dyDescent="0.25">
      <c r="A530" s="2" t="s">
        <v>18</v>
      </c>
      <c r="B530" s="2">
        <v>121</v>
      </c>
      <c r="C530" s="3">
        <f t="shared" si="135"/>
        <v>72.83</v>
      </c>
      <c r="D530" s="3">
        <f t="shared" si="136"/>
        <v>87.65</v>
      </c>
      <c r="E530" s="3">
        <f t="shared" si="137"/>
        <v>83.75</v>
      </c>
      <c r="F530" s="3">
        <f t="shared" si="138"/>
        <v>55.32</v>
      </c>
      <c r="G530" s="3">
        <f t="shared" si="139"/>
        <v>130.48000000000002</v>
      </c>
      <c r="H530" s="3">
        <f t="shared" si="140"/>
        <v>130.48000000000002</v>
      </c>
      <c r="I530" s="3"/>
      <c r="J530" s="3">
        <f t="shared" si="141"/>
        <v>79.849999999999994</v>
      </c>
      <c r="K530" s="3">
        <f t="shared" si="142"/>
        <v>87.65</v>
      </c>
      <c r="L530" s="34">
        <f t="shared" si="143"/>
        <v>83.75</v>
      </c>
      <c r="M530" s="3">
        <f t="shared" si="144"/>
        <v>-48.400000000000006</v>
      </c>
      <c r="N530" s="3">
        <f t="shared" si="145"/>
        <v>125.8</v>
      </c>
      <c r="O530" s="3"/>
      <c r="P530" s="3">
        <f t="shared" si="146"/>
        <v>63.532781102362208</v>
      </c>
      <c r="Q530" s="3">
        <f t="shared" si="147"/>
        <v>109.8176</v>
      </c>
      <c r="R530" s="3">
        <f>vd(DataTable[[#This Row],[Sentido]],DataTable[[#This Row],[Valor]])</f>
        <v>69.500337457817764</v>
      </c>
      <c r="S530" s="3">
        <f>IF(DataTable[[#This Row],[Valor]]&gt;1,1,1)</f>
        <v>1</v>
      </c>
      <c r="T530" s="3">
        <f>IF(DataTable[[#This Row],[Valor]]&gt;1,1,1)</f>
        <v>1</v>
      </c>
      <c r="U530" s="3">
        <f>angr(DataTable[[#This Row],[Sentido]],DataTable[[#This Row],[Valor]])</f>
        <v>59.396737907761533</v>
      </c>
      <c r="V530" s="3">
        <f>ANGI(DataTable[[#This Row],[Sentido]],DataTable[[#This Row],[Valor]])</f>
        <v>59.581102362204724</v>
      </c>
      <c r="W530" s="3">
        <f t="shared" si="148"/>
        <v>2</v>
      </c>
      <c r="X530" s="3">
        <f>IF(DataTable[[#This Row],[Valor]]&gt;1,1,1)</f>
        <v>1</v>
      </c>
      <c r="Y530" s="3">
        <f t="shared" si="149"/>
        <v>2</v>
      </c>
      <c r="Z530" s="3">
        <f>IF(AND(DataTable[[#This Row],[Sentido]]="URUGUAI para BRASIL",DataTable[[#This Row],[Valor]]&gt;350),1,0)</f>
        <v>0</v>
      </c>
      <c r="AA530" s="3">
        <f>IF(DataTable[[#This Row],[Valor]]&gt;1,0,0)</f>
        <v>0</v>
      </c>
    </row>
    <row r="531" spans="1:27" x14ac:dyDescent="0.25">
      <c r="A531" s="2" t="s">
        <v>18</v>
      </c>
      <c r="B531" s="2">
        <v>122</v>
      </c>
      <c r="C531" s="3">
        <f t="shared" si="135"/>
        <v>72.83</v>
      </c>
      <c r="D531" s="3">
        <f t="shared" si="136"/>
        <v>87.65</v>
      </c>
      <c r="E531" s="3">
        <f t="shared" si="137"/>
        <v>83.75</v>
      </c>
      <c r="F531" s="3">
        <f t="shared" si="138"/>
        <v>55.24</v>
      </c>
      <c r="G531" s="3">
        <f t="shared" si="139"/>
        <v>130.36000000000001</v>
      </c>
      <c r="H531" s="3">
        <f t="shared" si="140"/>
        <v>130.36000000000001</v>
      </c>
      <c r="I531" s="3"/>
      <c r="J531" s="3">
        <f t="shared" si="141"/>
        <v>79.849999999999994</v>
      </c>
      <c r="K531" s="3">
        <f t="shared" si="142"/>
        <v>87.65</v>
      </c>
      <c r="L531" s="34">
        <f t="shared" si="143"/>
        <v>83.75</v>
      </c>
      <c r="M531" s="3">
        <f t="shared" si="144"/>
        <v>-48.800000000000004</v>
      </c>
      <c r="N531" s="3">
        <f t="shared" si="145"/>
        <v>125.6</v>
      </c>
      <c r="O531" s="3"/>
      <c r="P531" s="3">
        <f t="shared" si="146"/>
        <v>63.871584251968514</v>
      </c>
      <c r="Q531" s="3">
        <f t="shared" si="147"/>
        <v>109.8176</v>
      </c>
      <c r="R531" s="3">
        <f>vd(DataTable[[#This Row],[Sentido]],DataTable[[#This Row],[Valor]])</f>
        <v>69.950281214848147</v>
      </c>
      <c r="S531" s="3">
        <f>IF(DataTable[[#This Row],[Valor]]&gt;1,1,1)</f>
        <v>1</v>
      </c>
      <c r="T531" s="3">
        <f>IF(DataTable[[#This Row],[Valor]]&gt;1,1,1)</f>
        <v>1</v>
      </c>
      <c r="U531" s="3">
        <f>angr(DataTable[[#This Row],[Sentido]],DataTable[[#This Row],[Valor]])</f>
        <v>59.213948256467944</v>
      </c>
      <c r="V531" s="3">
        <f>ANGI(DataTable[[#This Row],[Sentido]],DataTable[[#This Row],[Valor]])</f>
        <v>59.384251968503932</v>
      </c>
      <c r="W531" s="3">
        <f t="shared" si="148"/>
        <v>2</v>
      </c>
      <c r="X531" s="3">
        <f>IF(DataTable[[#This Row],[Valor]]&gt;1,1,1)</f>
        <v>1</v>
      </c>
      <c r="Y531" s="3">
        <f t="shared" si="149"/>
        <v>2</v>
      </c>
      <c r="Z531" s="3">
        <f>IF(AND(DataTable[[#This Row],[Sentido]]="URUGUAI para BRASIL",DataTable[[#This Row],[Valor]]&gt;350),1,0)</f>
        <v>0</v>
      </c>
      <c r="AA531" s="3">
        <f>IF(DataTable[[#This Row],[Valor]]&gt;1,0,0)</f>
        <v>0</v>
      </c>
    </row>
    <row r="532" spans="1:27" x14ac:dyDescent="0.25">
      <c r="A532" s="2" t="s">
        <v>18</v>
      </c>
      <c r="B532" s="2">
        <v>123</v>
      </c>
      <c r="C532" s="3">
        <f t="shared" si="135"/>
        <v>72.83</v>
      </c>
      <c r="D532" s="3">
        <f t="shared" si="136"/>
        <v>87.65</v>
      </c>
      <c r="E532" s="3">
        <f t="shared" si="137"/>
        <v>83.75</v>
      </c>
      <c r="F532" s="3">
        <f t="shared" si="138"/>
        <v>55.16</v>
      </c>
      <c r="G532" s="3">
        <f t="shared" si="139"/>
        <v>130.24</v>
      </c>
      <c r="H532" s="3">
        <f t="shared" si="140"/>
        <v>130.24</v>
      </c>
      <c r="I532" s="3"/>
      <c r="J532" s="3">
        <f t="shared" si="141"/>
        <v>79.849999999999994</v>
      </c>
      <c r="K532" s="3">
        <f t="shared" si="142"/>
        <v>87.65</v>
      </c>
      <c r="L532" s="34">
        <f t="shared" si="143"/>
        <v>83.75</v>
      </c>
      <c r="M532" s="3">
        <f t="shared" si="144"/>
        <v>-49.2</v>
      </c>
      <c r="N532" s="3">
        <f t="shared" si="145"/>
        <v>125.4</v>
      </c>
      <c r="O532" s="3"/>
      <c r="P532" s="3">
        <f t="shared" si="146"/>
        <v>64.21038740157482</v>
      </c>
      <c r="Q532" s="3">
        <f t="shared" si="147"/>
        <v>109.8176</v>
      </c>
      <c r="R532" s="3">
        <f>vd(DataTable[[#This Row],[Sentido]],DataTable[[#This Row],[Valor]])</f>
        <v>70.400224971878515</v>
      </c>
      <c r="S532" s="3">
        <f>IF(DataTable[[#This Row],[Valor]]&gt;1,1,1)</f>
        <v>1</v>
      </c>
      <c r="T532" s="3">
        <f>IF(DataTable[[#This Row],[Valor]]&gt;1,1,1)</f>
        <v>1</v>
      </c>
      <c r="U532" s="3">
        <f>angr(DataTable[[#This Row],[Sentido]],DataTable[[#This Row],[Valor]])</f>
        <v>59.031158605174355</v>
      </c>
      <c r="V532" s="3">
        <f>ANGI(DataTable[[#This Row],[Sentido]],DataTable[[#This Row],[Valor]])</f>
        <v>59.187401574803147</v>
      </c>
      <c r="W532" s="3">
        <f t="shared" si="148"/>
        <v>2</v>
      </c>
      <c r="X532" s="3">
        <f>IF(DataTable[[#This Row],[Valor]]&gt;1,1,1)</f>
        <v>1</v>
      </c>
      <c r="Y532" s="3">
        <f t="shared" si="149"/>
        <v>2</v>
      </c>
      <c r="Z532" s="3">
        <f>IF(AND(DataTable[[#This Row],[Sentido]]="URUGUAI para BRASIL",DataTable[[#This Row],[Valor]]&gt;350),1,0)</f>
        <v>0</v>
      </c>
      <c r="AA532" s="3">
        <f>IF(DataTable[[#This Row],[Valor]]&gt;1,0,0)</f>
        <v>0</v>
      </c>
    </row>
    <row r="533" spans="1:27" x14ac:dyDescent="0.25">
      <c r="A533" s="2" t="s">
        <v>18</v>
      </c>
      <c r="B533" s="2">
        <v>124</v>
      </c>
      <c r="C533" s="3">
        <f t="shared" si="135"/>
        <v>72.83</v>
      </c>
      <c r="D533" s="3">
        <f t="shared" si="136"/>
        <v>87.65</v>
      </c>
      <c r="E533" s="3">
        <f t="shared" si="137"/>
        <v>83.75</v>
      </c>
      <c r="F533" s="3">
        <f t="shared" si="138"/>
        <v>55.08</v>
      </c>
      <c r="G533" s="3">
        <f t="shared" si="139"/>
        <v>130.12</v>
      </c>
      <c r="H533" s="3">
        <f t="shared" si="140"/>
        <v>130.12</v>
      </c>
      <c r="I533" s="3"/>
      <c r="J533" s="3">
        <f t="shared" si="141"/>
        <v>79.849999999999994</v>
      </c>
      <c r="K533" s="3">
        <f t="shared" si="142"/>
        <v>87.65</v>
      </c>
      <c r="L533" s="34">
        <f t="shared" si="143"/>
        <v>83.75</v>
      </c>
      <c r="M533" s="3">
        <f t="shared" si="144"/>
        <v>-49.6</v>
      </c>
      <c r="N533" s="3">
        <f t="shared" si="145"/>
        <v>125.2</v>
      </c>
      <c r="O533" s="3"/>
      <c r="P533" s="3">
        <f t="shared" si="146"/>
        <v>64.549190551181113</v>
      </c>
      <c r="Q533" s="3">
        <f t="shared" si="147"/>
        <v>109.8176</v>
      </c>
      <c r="R533" s="3">
        <f>vd(DataTable[[#This Row],[Sentido]],DataTable[[#This Row],[Valor]])</f>
        <v>70.850168728908884</v>
      </c>
      <c r="S533" s="3">
        <f>IF(DataTable[[#This Row],[Valor]]&gt;1,1,1)</f>
        <v>1</v>
      </c>
      <c r="T533" s="3">
        <f>IF(DataTable[[#This Row],[Valor]]&gt;1,1,1)</f>
        <v>1</v>
      </c>
      <c r="U533" s="3">
        <f>angr(DataTable[[#This Row],[Sentido]],DataTable[[#This Row],[Valor]])</f>
        <v>58.848368953880765</v>
      </c>
      <c r="V533" s="3">
        <f>ANGI(DataTable[[#This Row],[Sentido]],DataTable[[#This Row],[Valor]])</f>
        <v>58.990551181102362</v>
      </c>
      <c r="W533" s="3">
        <f t="shared" si="148"/>
        <v>2</v>
      </c>
      <c r="X533" s="3">
        <f>IF(DataTable[[#This Row],[Valor]]&gt;1,1,1)</f>
        <v>1</v>
      </c>
      <c r="Y533" s="3">
        <f t="shared" si="149"/>
        <v>2</v>
      </c>
      <c r="Z533" s="3">
        <f>IF(AND(DataTable[[#This Row],[Sentido]]="URUGUAI para BRASIL",DataTable[[#This Row],[Valor]]&gt;350),1,0)</f>
        <v>0</v>
      </c>
      <c r="AA533" s="3">
        <f>IF(DataTable[[#This Row],[Valor]]&gt;1,0,0)</f>
        <v>0</v>
      </c>
    </row>
    <row r="534" spans="1:27" x14ac:dyDescent="0.25">
      <c r="A534" s="2" t="s">
        <v>18</v>
      </c>
      <c r="B534" s="2">
        <v>125</v>
      </c>
      <c r="C534" s="3">
        <f t="shared" si="135"/>
        <v>72.83</v>
      </c>
      <c r="D534" s="3">
        <f t="shared" si="136"/>
        <v>87.65</v>
      </c>
      <c r="E534" s="3">
        <f t="shared" si="137"/>
        <v>83.75</v>
      </c>
      <c r="F534" s="3">
        <f t="shared" si="138"/>
        <v>55</v>
      </c>
      <c r="G534" s="3">
        <f t="shared" si="139"/>
        <v>130</v>
      </c>
      <c r="H534" s="3">
        <f t="shared" si="140"/>
        <v>130</v>
      </c>
      <c r="I534" s="3"/>
      <c r="J534" s="3">
        <f t="shared" si="141"/>
        <v>79.849999999999994</v>
      </c>
      <c r="K534" s="3">
        <f t="shared" si="142"/>
        <v>87.65</v>
      </c>
      <c r="L534" s="34">
        <f t="shared" si="143"/>
        <v>83.75</v>
      </c>
      <c r="M534" s="3">
        <f t="shared" si="144"/>
        <v>-50</v>
      </c>
      <c r="N534" s="3">
        <f t="shared" si="145"/>
        <v>125</v>
      </c>
      <c r="O534" s="3"/>
      <c r="P534" s="3">
        <f t="shared" si="146"/>
        <v>64.887993700787405</v>
      </c>
      <c r="Q534" s="3">
        <f t="shared" si="147"/>
        <v>109.8176</v>
      </c>
      <c r="R534" s="3">
        <f>vd(DataTable[[#This Row],[Sentido]],DataTable[[#This Row],[Valor]])</f>
        <v>71.300112485939266</v>
      </c>
      <c r="S534" s="3">
        <f>IF(DataTable[[#This Row],[Valor]]&gt;1,1,1)</f>
        <v>1</v>
      </c>
      <c r="T534" s="3">
        <f>IF(DataTable[[#This Row],[Valor]]&gt;1,1,1)</f>
        <v>1</v>
      </c>
      <c r="U534" s="3">
        <f>angr(DataTable[[#This Row],[Sentido]],DataTable[[#This Row],[Valor]])</f>
        <v>58.665579302587176</v>
      </c>
      <c r="V534" s="3">
        <f>ANGI(DataTable[[#This Row],[Sentido]],DataTable[[#This Row],[Valor]])</f>
        <v>58.793700787401576</v>
      </c>
      <c r="W534" s="3">
        <f t="shared" si="148"/>
        <v>2</v>
      </c>
      <c r="X534" s="3">
        <f>IF(DataTable[[#This Row],[Valor]]&gt;1,1,1)</f>
        <v>1</v>
      </c>
      <c r="Y534" s="3">
        <f t="shared" si="149"/>
        <v>2</v>
      </c>
      <c r="Z534" s="3">
        <f>IF(AND(DataTable[[#This Row],[Sentido]]="URUGUAI para BRASIL",DataTable[[#This Row],[Valor]]&gt;350),1,0)</f>
        <v>0</v>
      </c>
      <c r="AA534" s="3">
        <f>IF(DataTable[[#This Row],[Valor]]&gt;1,0,0)</f>
        <v>0</v>
      </c>
    </row>
    <row r="535" spans="1:27" x14ac:dyDescent="0.25">
      <c r="A535" s="2" t="s">
        <v>18</v>
      </c>
      <c r="B535" s="2">
        <v>126</v>
      </c>
      <c r="C535" s="3">
        <f t="shared" si="135"/>
        <v>72.83</v>
      </c>
      <c r="D535" s="3">
        <f t="shared" si="136"/>
        <v>87.65</v>
      </c>
      <c r="E535" s="3">
        <f t="shared" si="137"/>
        <v>83.75</v>
      </c>
      <c r="F535" s="3">
        <f t="shared" si="138"/>
        <v>54.92</v>
      </c>
      <c r="G535" s="3">
        <f t="shared" si="139"/>
        <v>129.88</v>
      </c>
      <c r="H535" s="3">
        <f t="shared" si="140"/>
        <v>129.88</v>
      </c>
      <c r="I535" s="3"/>
      <c r="J535" s="3">
        <f t="shared" si="141"/>
        <v>79.849999999999994</v>
      </c>
      <c r="K535" s="3">
        <f t="shared" si="142"/>
        <v>87.65</v>
      </c>
      <c r="L535" s="34">
        <f t="shared" si="143"/>
        <v>83.75</v>
      </c>
      <c r="M535" s="3">
        <f t="shared" si="144"/>
        <v>-50.400000000000006</v>
      </c>
      <c r="N535" s="3">
        <f t="shared" si="145"/>
        <v>124.8</v>
      </c>
      <c r="O535" s="3"/>
      <c r="P535" s="3">
        <f t="shared" si="146"/>
        <v>65.226796850393697</v>
      </c>
      <c r="Q535" s="3">
        <f t="shared" si="147"/>
        <v>109.8176</v>
      </c>
      <c r="R535" s="3">
        <f>vd(DataTable[[#This Row],[Sentido]],DataTable[[#This Row],[Valor]])</f>
        <v>71.750056242969634</v>
      </c>
      <c r="S535" s="3">
        <f>IF(DataTable[[#This Row],[Valor]]&gt;1,1,1)</f>
        <v>1</v>
      </c>
      <c r="T535" s="3">
        <f>IF(DataTable[[#This Row],[Valor]]&gt;1,1,1)</f>
        <v>1</v>
      </c>
      <c r="U535" s="3">
        <f>angr(DataTable[[#This Row],[Sentido]],DataTable[[#This Row],[Valor]])</f>
        <v>58.482789651293587</v>
      </c>
      <c r="V535" s="3">
        <f>ANGI(DataTable[[#This Row],[Sentido]],DataTable[[#This Row],[Valor]])</f>
        <v>58.596850393700791</v>
      </c>
      <c r="W535" s="3">
        <f t="shared" si="148"/>
        <v>2</v>
      </c>
      <c r="X535" s="3">
        <f>IF(DataTable[[#This Row],[Valor]]&gt;1,1,1)</f>
        <v>1</v>
      </c>
      <c r="Y535" s="3">
        <f t="shared" si="149"/>
        <v>2</v>
      </c>
      <c r="Z535" s="3">
        <f>IF(AND(DataTable[[#This Row],[Sentido]]="URUGUAI para BRASIL",DataTable[[#This Row],[Valor]]&gt;350),1,0)</f>
        <v>0</v>
      </c>
      <c r="AA535" s="3">
        <f>IF(DataTable[[#This Row],[Valor]]&gt;1,0,0)</f>
        <v>0</v>
      </c>
    </row>
    <row r="536" spans="1:27" x14ac:dyDescent="0.25">
      <c r="A536" s="2" t="s">
        <v>18</v>
      </c>
      <c r="B536" s="2">
        <v>127</v>
      </c>
      <c r="C536" s="3">
        <f t="shared" si="135"/>
        <v>72.83</v>
      </c>
      <c r="D536" s="3">
        <f t="shared" si="136"/>
        <v>87.65</v>
      </c>
      <c r="E536" s="3">
        <f t="shared" si="137"/>
        <v>83.75</v>
      </c>
      <c r="F536" s="3">
        <f t="shared" si="138"/>
        <v>54.84</v>
      </c>
      <c r="G536" s="3">
        <f t="shared" si="139"/>
        <v>129.76</v>
      </c>
      <c r="H536" s="3">
        <f t="shared" si="140"/>
        <v>129.76</v>
      </c>
      <c r="I536" s="3"/>
      <c r="J536" s="3">
        <f t="shared" si="141"/>
        <v>79.849999999999994</v>
      </c>
      <c r="K536" s="3">
        <f t="shared" si="142"/>
        <v>87.65</v>
      </c>
      <c r="L536" s="34">
        <f t="shared" si="143"/>
        <v>83.75</v>
      </c>
      <c r="M536" s="3">
        <f t="shared" si="144"/>
        <v>-50.800000000000004</v>
      </c>
      <c r="N536" s="3">
        <f t="shared" si="145"/>
        <v>124.6</v>
      </c>
      <c r="O536" s="3"/>
      <c r="P536" s="3">
        <f t="shared" si="146"/>
        <v>65.565600000000003</v>
      </c>
      <c r="Q536" s="3">
        <f t="shared" si="147"/>
        <v>109.8176</v>
      </c>
      <c r="R536" s="3">
        <f>vd(DataTable[[#This Row],[Sentido]],DataTable[[#This Row],[Valor]])</f>
        <v>72.2</v>
      </c>
      <c r="S536" s="3">
        <f>IF(DataTable[[#This Row],[Valor]]&gt;1,1,1)</f>
        <v>1</v>
      </c>
      <c r="T536" s="3">
        <f>IF(DataTable[[#This Row],[Valor]]&gt;1,1,1)</f>
        <v>1</v>
      </c>
      <c r="U536" s="3">
        <f>angr(DataTable[[#This Row],[Sentido]],DataTable[[#This Row],[Valor]])</f>
        <v>58.3</v>
      </c>
      <c r="V536" s="3">
        <f>ANGI(DataTable[[#This Row],[Sentido]],DataTable[[#This Row],[Valor]])</f>
        <v>58.4</v>
      </c>
      <c r="W536" s="3">
        <f t="shared" si="148"/>
        <v>2</v>
      </c>
      <c r="X536" s="3">
        <f>IF(DataTable[[#This Row],[Valor]]&gt;1,1,1)</f>
        <v>1</v>
      </c>
      <c r="Y536" s="3">
        <f t="shared" si="149"/>
        <v>2</v>
      </c>
      <c r="Z536" s="3">
        <f>IF(AND(DataTable[[#This Row],[Sentido]]="URUGUAI para BRASIL",DataTable[[#This Row],[Valor]]&gt;350),1,0)</f>
        <v>0</v>
      </c>
      <c r="AA536" s="3">
        <f>IF(DataTable[[#This Row],[Valor]]&gt;1,0,0)</f>
        <v>0</v>
      </c>
    </row>
    <row r="537" spans="1:27" x14ac:dyDescent="0.25">
      <c r="A537" s="2" t="s">
        <v>18</v>
      </c>
      <c r="B537" s="2">
        <v>128</v>
      </c>
      <c r="C537" s="3">
        <f t="shared" si="135"/>
        <v>72.83</v>
      </c>
      <c r="D537" s="3">
        <f t="shared" si="136"/>
        <v>87.65</v>
      </c>
      <c r="E537" s="3">
        <f t="shared" si="137"/>
        <v>83.75</v>
      </c>
      <c r="F537" s="3">
        <f t="shared" si="138"/>
        <v>54.76</v>
      </c>
      <c r="G537" s="3">
        <f t="shared" si="139"/>
        <v>129.63999999999999</v>
      </c>
      <c r="H537" s="3">
        <f t="shared" si="140"/>
        <v>129.63999999999999</v>
      </c>
      <c r="I537" s="3"/>
      <c r="J537" s="3">
        <f t="shared" si="141"/>
        <v>79.849999999999994</v>
      </c>
      <c r="K537" s="3">
        <f t="shared" si="142"/>
        <v>87.65</v>
      </c>
      <c r="L537" s="34">
        <f t="shared" si="143"/>
        <v>83.75</v>
      </c>
      <c r="M537" s="3">
        <f t="shared" si="144"/>
        <v>-51.2</v>
      </c>
      <c r="N537" s="3">
        <f t="shared" si="145"/>
        <v>124.4</v>
      </c>
      <c r="O537" s="3"/>
      <c r="P537" s="3">
        <f t="shared" si="146"/>
        <v>65.90440314960631</v>
      </c>
      <c r="Q537" s="3">
        <f t="shared" si="147"/>
        <v>109.8176</v>
      </c>
      <c r="R537" s="3">
        <f>vd(DataTable[[#This Row],[Sentido]],DataTable[[#This Row],[Valor]])</f>
        <v>72.640944881889766</v>
      </c>
      <c r="S537" s="3">
        <f>IF(DataTable[[#This Row],[Valor]]&gt;1,1,1)</f>
        <v>1</v>
      </c>
      <c r="T537" s="3">
        <f>IF(DataTable[[#This Row],[Valor]]&gt;1,1,1)</f>
        <v>1</v>
      </c>
      <c r="U537" s="3">
        <f>angr(DataTable[[#This Row],[Sentido]],DataTable[[#This Row],[Valor]])</f>
        <v>58.09921259842519</v>
      </c>
      <c r="V537" s="3">
        <f>ANGI(DataTable[[#This Row],[Sentido]],DataTable[[#This Row],[Valor]])</f>
        <v>58.203149606299206</v>
      </c>
      <c r="W537" s="3">
        <f t="shared" si="148"/>
        <v>2</v>
      </c>
      <c r="X537" s="3">
        <f>IF(DataTable[[#This Row],[Valor]]&gt;1,1,1)</f>
        <v>1</v>
      </c>
      <c r="Y537" s="3">
        <f t="shared" si="149"/>
        <v>2</v>
      </c>
      <c r="Z537" s="3">
        <f>IF(AND(DataTable[[#This Row],[Sentido]]="URUGUAI para BRASIL",DataTable[[#This Row],[Valor]]&gt;350),1,0)</f>
        <v>0</v>
      </c>
      <c r="AA537" s="3">
        <f>IF(DataTable[[#This Row],[Valor]]&gt;1,0,0)</f>
        <v>0</v>
      </c>
    </row>
    <row r="538" spans="1:27" x14ac:dyDescent="0.25">
      <c r="A538" s="2" t="s">
        <v>18</v>
      </c>
      <c r="B538" s="2">
        <v>129</v>
      </c>
      <c r="C538" s="3">
        <f t="shared" si="135"/>
        <v>72.83</v>
      </c>
      <c r="D538" s="3">
        <f t="shared" si="136"/>
        <v>87.65</v>
      </c>
      <c r="E538" s="3">
        <f t="shared" si="137"/>
        <v>83.75</v>
      </c>
      <c r="F538" s="3">
        <f t="shared" si="138"/>
        <v>54.68</v>
      </c>
      <c r="G538" s="3">
        <f t="shared" si="139"/>
        <v>129.51999999999998</v>
      </c>
      <c r="H538" s="3">
        <f t="shared" si="140"/>
        <v>129.51999999999998</v>
      </c>
      <c r="I538" s="3"/>
      <c r="J538" s="3">
        <f t="shared" si="141"/>
        <v>79.849999999999994</v>
      </c>
      <c r="K538" s="3">
        <f t="shared" si="142"/>
        <v>87.65</v>
      </c>
      <c r="L538" s="34">
        <f t="shared" si="143"/>
        <v>83.75</v>
      </c>
      <c r="M538" s="3">
        <f t="shared" si="144"/>
        <v>-51.6</v>
      </c>
      <c r="N538" s="3">
        <f t="shared" si="145"/>
        <v>124.2</v>
      </c>
      <c r="O538" s="3"/>
      <c r="P538" s="3">
        <f t="shared" si="146"/>
        <v>66.243206299212602</v>
      </c>
      <c r="Q538" s="3">
        <f t="shared" si="147"/>
        <v>109.8176</v>
      </c>
      <c r="R538" s="3">
        <f>vd(DataTable[[#This Row],[Sentido]],DataTable[[#This Row],[Valor]])</f>
        <v>73.081889763779529</v>
      </c>
      <c r="S538" s="3">
        <f>IF(DataTable[[#This Row],[Valor]]&gt;1,1,1)</f>
        <v>1</v>
      </c>
      <c r="T538" s="3">
        <f>IF(DataTable[[#This Row],[Valor]]&gt;1,1,1)</f>
        <v>1</v>
      </c>
      <c r="U538" s="3">
        <f>angr(DataTable[[#This Row],[Sentido]],DataTable[[#This Row],[Valor]])</f>
        <v>57.89842519685039</v>
      </c>
      <c r="V538" s="3">
        <f>ANGI(DataTable[[#This Row],[Sentido]],DataTable[[#This Row],[Valor]])</f>
        <v>58.006299212598421</v>
      </c>
      <c r="W538" s="3">
        <f t="shared" si="148"/>
        <v>2</v>
      </c>
      <c r="X538" s="3">
        <f>IF(DataTable[[#This Row],[Valor]]&gt;1,1,1)</f>
        <v>1</v>
      </c>
      <c r="Y538" s="3">
        <f t="shared" si="149"/>
        <v>2</v>
      </c>
      <c r="Z538" s="3">
        <f>IF(AND(DataTable[[#This Row],[Sentido]]="URUGUAI para BRASIL",DataTable[[#This Row],[Valor]]&gt;350),1,0)</f>
        <v>0</v>
      </c>
      <c r="AA538" s="3">
        <f>IF(DataTable[[#This Row],[Valor]]&gt;1,0,0)</f>
        <v>0</v>
      </c>
    </row>
    <row r="539" spans="1:27" x14ac:dyDescent="0.25">
      <c r="A539" s="2" t="s">
        <v>18</v>
      </c>
      <c r="B539" s="2">
        <v>130</v>
      </c>
      <c r="C539" s="3">
        <f t="shared" si="135"/>
        <v>72.83</v>
      </c>
      <c r="D539" s="3">
        <f t="shared" si="136"/>
        <v>87.65</v>
      </c>
      <c r="E539" s="3">
        <f t="shared" si="137"/>
        <v>83.75</v>
      </c>
      <c r="F539" s="3">
        <f t="shared" si="138"/>
        <v>54.6</v>
      </c>
      <c r="G539" s="3">
        <f t="shared" si="139"/>
        <v>129.4</v>
      </c>
      <c r="H539" s="3">
        <f t="shared" si="140"/>
        <v>129.4</v>
      </c>
      <c r="I539" s="3"/>
      <c r="J539" s="3">
        <f t="shared" si="141"/>
        <v>79.849999999999994</v>
      </c>
      <c r="K539" s="3">
        <f t="shared" si="142"/>
        <v>87.65</v>
      </c>
      <c r="L539" s="34">
        <f t="shared" si="143"/>
        <v>83.75</v>
      </c>
      <c r="M539" s="3">
        <f t="shared" si="144"/>
        <v>-52</v>
      </c>
      <c r="N539" s="3">
        <f t="shared" si="145"/>
        <v>124</v>
      </c>
      <c r="O539" s="3"/>
      <c r="P539" s="3">
        <f t="shared" si="146"/>
        <v>66.582009448818908</v>
      </c>
      <c r="Q539" s="3">
        <f t="shared" si="147"/>
        <v>109.8176</v>
      </c>
      <c r="R539" s="3">
        <f>vd(DataTable[[#This Row],[Sentido]],DataTable[[#This Row],[Valor]])</f>
        <v>73.522834645669292</v>
      </c>
      <c r="S539" s="3">
        <f>IF(DataTable[[#This Row],[Valor]]&gt;1,1,1)</f>
        <v>1</v>
      </c>
      <c r="T539" s="3">
        <f>IF(DataTable[[#This Row],[Valor]]&gt;1,1,1)</f>
        <v>1</v>
      </c>
      <c r="U539" s="3">
        <f>angr(DataTable[[#This Row],[Sentido]],DataTable[[#This Row],[Valor]])</f>
        <v>57.69763779527559</v>
      </c>
      <c r="V539" s="3">
        <f>ANGI(DataTable[[#This Row],[Sentido]],DataTable[[#This Row],[Valor]])</f>
        <v>57.809448818897636</v>
      </c>
      <c r="W539" s="3">
        <f t="shared" si="148"/>
        <v>2</v>
      </c>
      <c r="X539" s="3">
        <f>IF(DataTable[[#This Row],[Valor]]&gt;1,1,1)</f>
        <v>1</v>
      </c>
      <c r="Y539" s="3">
        <f t="shared" si="149"/>
        <v>2</v>
      </c>
      <c r="Z539" s="3">
        <f>IF(AND(DataTable[[#This Row],[Sentido]]="URUGUAI para BRASIL",DataTable[[#This Row],[Valor]]&gt;350),1,0)</f>
        <v>0</v>
      </c>
      <c r="AA539" s="3">
        <f>IF(DataTable[[#This Row],[Valor]]&gt;1,0,0)</f>
        <v>0</v>
      </c>
    </row>
    <row r="540" spans="1:27" x14ac:dyDescent="0.25">
      <c r="A540" s="2" t="s">
        <v>18</v>
      </c>
      <c r="B540" s="2">
        <v>131</v>
      </c>
      <c r="C540" s="3">
        <f t="shared" si="135"/>
        <v>72.83</v>
      </c>
      <c r="D540" s="3">
        <f t="shared" si="136"/>
        <v>87.65</v>
      </c>
      <c r="E540" s="3">
        <f t="shared" si="137"/>
        <v>83.75</v>
      </c>
      <c r="F540" s="3">
        <f t="shared" si="138"/>
        <v>54.519999999999996</v>
      </c>
      <c r="G540" s="3">
        <f t="shared" si="139"/>
        <v>129.28</v>
      </c>
      <c r="H540" s="3">
        <f t="shared" si="140"/>
        <v>129.28</v>
      </c>
      <c r="I540" s="3"/>
      <c r="J540" s="3">
        <f t="shared" si="141"/>
        <v>79.849999999999994</v>
      </c>
      <c r="K540" s="3">
        <f t="shared" si="142"/>
        <v>87.65</v>
      </c>
      <c r="L540" s="34">
        <f t="shared" si="143"/>
        <v>83.75</v>
      </c>
      <c r="M540" s="3">
        <f t="shared" si="144"/>
        <v>-52.400000000000006</v>
      </c>
      <c r="N540" s="3">
        <f t="shared" si="145"/>
        <v>123.8</v>
      </c>
      <c r="O540" s="3"/>
      <c r="P540" s="3">
        <f t="shared" si="146"/>
        <v>66.920812598425201</v>
      </c>
      <c r="Q540" s="3">
        <f t="shared" si="147"/>
        <v>109.8176</v>
      </c>
      <c r="R540" s="3">
        <f>vd(DataTable[[#This Row],[Sentido]],DataTable[[#This Row],[Valor]])</f>
        <v>73.963779527559055</v>
      </c>
      <c r="S540" s="3">
        <f>IF(DataTable[[#This Row],[Valor]]&gt;1,1,1)</f>
        <v>1</v>
      </c>
      <c r="T540" s="3">
        <f>IF(DataTable[[#This Row],[Valor]]&gt;1,1,1)</f>
        <v>1</v>
      </c>
      <c r="U540" s="3">
        <f>angr(DataTable[[#This Row],[Sentido]],DataTable[[#This Row],[Valor]])</f>
        <v>57.49685039370079</v>
      </c>
      <c r="V540" s="3">
        <f>ANGI(DataTable[[#This Row],[Sentido]],DataTable[[#This Row],[Valor]])</f>
        <v>57.61259842519685</v>
      </c>
      <c r="W540" s="3">
        <f t="shared" si="148"/>
        <v>2</v>
      </c>
      <c r="X540" s="3">
        <f>IF(DataTable[[#This Row],[Valor]]&gt;1,1,1)</f>
        <v>1</v>
      </c>
      <c r="Y540" s="3">
        <f t="shared" si="149"/>
        <v>2</v>
      </c>
      <c r="Z540" s="3">
        <f>IF(AND(DataTable[[#This Row],[Sentido]]="URUGUAI para BRASIL",DataTable[[#This Row],[Valor]]&gt;350),1,0)</f>
        <v>0</v>
      </c>
      <c r="AA540" s="3">
        <f>IF(DataTable[[#This Row],[Valor]]&gt;1,0,0)</f>
        <v>0</v>
      </c>
    </row>
    <row r="541" spans="1:27" x14ac:dyDescent="0.25">
      <c r="A541" s="2" t="s">
        <v>18</v>
      </c>
      <c r="B541" s="2">
        <v>132</v>
      </c>
      <c r="C541" s="3">
        <f t="shared" si="135"/>
        <v>72.83</v>
      </c>
      <c r="D541" s="3">
        <f t="shared" si="136"/>
        <v>87.65</v>
      </c>
      <c r="E541" s="3">
        <f t="shared" si="137"/>
        <v>83.75</v>
      </c>
      <c r="F541" s="3">
        <f t="shared" si="138"/>
        <v>54.44</v>
      </c>
      <c r="G541" s="3">
        <f t="shared" si="139"/>
        <v>129.16</v>
      </c>
      <c r="H541" s="3">
        <f t="shared" si="140"/>
        <v>129.16</v>
      </c>
      <c r="I541" s="3"/>
      <c r="J541" s="3">
        <f t="shared" si="141"/>
        <v>79.849999999999994</v>
      </c>
      <c r="K541" s="3">
        <f t="shared" si="142"/>
        <v>87.65</v>
      </c>
      <c r="L541" s="34">
        <f t="shared" si="143"/>
        <v>83.75</v>
      </c>
      <c r="M541" s="3">
        <f t="shared" si="144"/>
        <v>-52.800000000000004</v>
      </c>
      <c r="N541" s="3">
        <f t="shared" si="145"/>
        <v>123.6</v>
      </c>
      <c r="O541" s="3"/>
      <c r="P541" s="3">
        <f t="shared" si="146"/>
        <v>67.259615748031507</v>
      </c>
      <c r="Q541" s="3">
        <f t="shared" si="147"/>
        <v>109.8176</v>
      </c>
      <c r="R541" s="3">
        <f>vd(DataTable[[#This Row],[Sentido]],DataTable[[#This Row],[Valor]])</f>
        <v>74.404724409448818</v>
      </c>
      <c r="S541" s="3">
        <f>IF(DataTable[[#This Row],[Valor]]&gt;1,1,1)</f>
        <v>1</v>
      </c>
      <c r="T541" s="3">
        <f>IF(DataTable[[#This Row],[Valor]]&gt;1,1,1)</f>
        <v>1</v>
      </c>
      <c r="U541" s="3">
        <f>angr(DataTable[[#This Row],[Sentido]],DataTable[[#This Row],[Valor]])</f>
        <v>57.296062992125982</v>
      </c>
      <c r="V541" s="3">
        <f>ANGI(DataTable[[#This Row],[Sentido]],DataTable[[#This Row],[Valor]])</f>
        <v>57.415748031496065</v>
      </c>
      <c r="W541" s="3">
        <f t="shared" si="148"/>
        <v>2</v>
      </c>
      <c r="X541" s="3">
        <f>IF(DataTable[[#This Row],[Valor]]&gt;1,1,1)</f>
        <v>1</v>
      </c>
      <c r="Y541" s="3">
        <f t="shared" si="149"/>
        <v>2</v>
      </c>
      <c r="Z541" s="3">
        <f>IF(AND(DataTable[[#This Row],[Sentido]]="URUGUAI para BRASIL",DataTable[[#This Row],[Valor]]&gt;350),1,0)</f>
        <v>0</v>
      </c>
      <c r="AA541" s="3">
        <f>IF(DataTable[[#This Row],[Valor]]&gt;1,0,0)</f>
        <v>0</v>
      </c>
    </row>
    <row r="542" spans="1:27" x14ac:dyDescent="0.25">
      <c r="A542" s="2" t="s">
        <v>18</v>
      </c>
      <c r="B542" s="2">
        <v>133</v>
      </c>
      <c r="C542" s="3">
        <f t="shared" si="135"/>
        <v>72.83</v>
      </c>
      <c r="D542" s="3">
        <f t="shared" si="136"/>
        <v>87.65</v>
      </c>
      <c r="E542" s="3">
        <f t="shared" si="137"/>
        <v>83.75</v>
      </c>
      <c r="F542" s="3">
        <f t="shared" si="138"/>
        <v>54.36</v>
      </c>
      <c r="G542" s="3">
        <f t="shared" si="139"/>
        <v>129.04000000000002</v>
      </c>
      <c r="H542" s="3">
        <f t="shared" si="140"/>
        <v>129.04000000000002</v>
      </c>
      <c r="I542" s="3"/>
      <c r="J542" s="3">
        <f t="shared" si="141"/>
        <v>79.849999999999994</v>
      </c>
      <c r="K542" s="3">
        <f t="shared" si="142"/>
        <v>87.65</v>
      </c>
      <c r="L542" s="34">
        <f t="shared" si="143"/>
        <v>83.75</v>
      </c>
      <c r="M542" s="3">
        <f t="shared" si="144"/>
        <v>-53.2</v>
      </c>
      <c r="N542" s="3">
        <f t="shared" si="145"/>
        <v>123.39999999999999</v>
      </c>
      <c r="O542" s="3"/>
      <c r="P542" s="3">
        <f t="shared" si="146"/>
        <v>67.598418897637799</v>
      </c>
      <c r="Q542" s="3">
        <f t="shared" si="147"/>
        <v>109.8176</v>
      </c>
      <c r="R542" s="3">
        <f>vd(DataTable[[#This Row],[Sentido]],DataTable[[#This Row],[Valor]])</f>
        <v>74.845669291338595</v>
      </c>
      <c r="S542" s="3">
        <f>IF(DataTable[[#This Row],[Valor]]&gt;1,1,1)</f>
        <v>1</v>
      </c>
      <c r="T542" s="3">
        <f>IF(DataTable[[#This Row],[Valor]]&gt;1,1,1)</f>
        <v>1</v>
      </c>
      <c r="U542" s="3">
        <f>angr(DataTable[[#This Row],[Sentido]],DataTable[[#This Row],[Valor]])</f>
        <v>57.095275590551175</v>
      </c>
      <c r="V542" s="3">
        <f>ANGI(DataTable[[#This Row],[Sentido]],DataTable[[#This Row],[Valor]])</f>
        <v>57.218897637795273</v>
      </c>
      <c r="W542" s="3">
        <f t="shared" si="148"/>
        <v>2</v>
      </c>
      <c r="X542" s="3">
        <f>IF(DataTable[[#This Row],[Valor]]&gt;1,1,1)</f>
        <v>1</v>
      </c>
      <c r="Y542" s="3">
        <f t="shared" si="149"/>
        <v>2</v>
      </c>
      <c r="Z542" s="3">
        <f>IF(AND(DataTable[[#This Row],[Sentido]]="URUGUAI para BRASIL",DataTable[[#This Row],[Valor]]&gt;350),1,0)</f>
        <v>0</v>
      </c>
      <c r="AA542" s="3">
        <f>IF(DataTable[[#This Row],[Valor]]&gt;1,0,0)</f>
        <v>0</v>
      </c>
    </row>
    <row r="543" spans="1:27" x14ac:dyDescent="0.25">
      <c r="A543" s="2" t="s">
        <v>18</v>
      </c>
      <c r="B543" s="2">
        <v>134</v>
      </c>
      <c r="C543" s="3">
        <f t="shared" si="135"/>
        <v>72.83</v>
      </c>
      <c r="D543" s="3">
        <f t="shared" si="136"/>
        <v>87.65</v>
      </c>
      <c r="E543" s="3">
        <f t="shared" si="137"/>
        <v>83.75</v>
      </c>
      <c r="F543" s="3">
        <f t="shared" si="138"/>
        <v>54.28</v>
      </c>
      <c r="G543" s="3">
        <f t="shared" si="139"/>
        <v>128.92000000000002</v>
      </c>
      <c r="H543" s="3">
        <f t="shared" si="140"/>
        <v>128.92000000000002</v>
      </c>
      <c r="I543" s="3"/>
      <c r="J543" s="3">
        <f t="shared" si="141"/>
        <v>79.849999999999994</v>
      </c>
      <c r="K543" s="3">
        <f t="shared" si="142"/>
        <v>87.65</v>
      </c>
      <c r="L543" s="34">
        <f t="shared" si="143"/>
        <v>83.75</v>
      </c>
      <c r="M543" s="3">
        <f t="shared" si="144"/>
        <v>-53.6</v>
      </c>
      <c r="N543" s="3">
        <f t="shared" si="145"/>
        <v>123.2</v>
      </c>
      <c r="O543" s="3"/>
      <c r="P543" s="3">
        <f t="shared" si="146"/>
        <v>67.937222047244092</v>
      </c>
      <c r="Q543" s="3">
        <f t="shared" si="147"/>
        <v>109.8176</v>
      </c>
      <c r="R543" s="3">
        <f>vd(DataTable[[#This Row],[Sentido]],DataTable[[#This Row],[Valor]])</f>
        <v>75.286614173228344</v>
      </c>
      <c r="S543" s="3">
        <f>IF(DataTable[[#This Row],[Valor]]&gt;1,1,1)</f>
        <v>1</v>
      </c>
      <c r="T543" s="3">
        <f>IF(DataTable[[#This Row],[Valor]]&gt;1,1,1)</f>
        <v>1</v>
      </c>
      <c r="U543" s="3">
        <f>angr(DataTable[[#This Row],[Sentido]],DataTable[[#This Row],[Valor]])</f>
        <v>56.894488188976375</v>
      </c>
      <c r="V543" s="3">
        <f>ANGI(DataTable[[#This Row],[Sentido]],DataTable[[#This Row],[Valor]])</f>
        <v>57.022047244094487</v>
      </c>
      <c r="W543" s="3">
        <f t="shared" si="148"/>
        <v>2</v>
      </c>
      <c r="X543" s="3">
        <f>IF(DataTable[[#This Row],[Valor]]&gt;1,1,1)</f>
        <v>1</v>
      </c>
      <c r="Y543" s="3">
        <f t="shared" si="149"/>
        <v>2</v>
      </c>
      <c r="Z543" s="3">
        <f>IF(AND(DataTable[[#This Row],[Sentido]]="URUGUAI para BRASIL",DataTable[[#This Row],[Valor]]&gt;350),1,0)</f>
        <v>0</v>
      </c>
      <c r="AA543" s="3">
        <f>IF(DataTable[[#This Row],[Valor]]&gt;1,0,0)</f>
        <v>0</v>
      </c>
    </row>
    <row r="544" spans="1:27" x14ac:dyDescent="0.25">
      <c r="A544" s="2" t="s">
        <v>18</v>
      </c>
      <c r="B544" s="2">
        <v>135</v>
      </c>
      <c r="C544" s="3">
        <f t="shared" si="135"/>
        <v>72.83</v>
      </c>
      <c r="D544" s="3">
        <f t="shared" si="136"/>
        <v>87.65</v>
      </c>
      <c r="E544" s="3">
        <f t="shared" si="137"/>
        <v>83.75</v>
      </c>
      <c r="F544" s="3">
        <f t="shared" si="138"/>
        <v>54.2</v>
      </c>
      <c r="G544" s="3">
        <f t="shared" si="139"/>
        <v>128.80000000000001</v>
      </c>
      <c r="H544" s="3">
        <f t="shared" si="140"/>
        <v>128.80000000000001</v>
      </c>
      <c r="I544" s="3"/>
      <c r="J544" s="3">
        <f t="shared" si="141"/>
        <v>79.849999999999994</v>
      </c>
      <c r="K544" s="3">
        <f t="shared" si="142"/>
        <v>87.65</v>
      </c>
      <c r="L544" s="34">
        <f t="shared" si="143"/>
        <v>83.75</v>
      </c>
      <c r="M544" s="3">
        <f t="shared" si="144"/>
        <v>-54</v>
      </c>
      <c r="N544" s="3">
        <f t="shared" si="145"/>
        <v>123</v>
      </c>
      <c r="O544" s="3"/>
      <c r="P544" s="3">
        <f t="shared" si="146"/>
        <v>68.276025196850398</v>
      </c>
      <c r="Q544" s="3">
        <f t="shared" si="147"/>
        <v>109.8176</v>
      </c>
      <c r="R544" s="3">
        <f>vd(DataTable[[#This Row],[Sentido]],DataTable[[#This Row],[Valor]])</f>
        <v>75.727559055118121</v>
      </c>
      <c r="S544" s="3">
        <f>IF(DataTable[[#This Row],[Valor]]&gt;1,1,1)</f>
        <v>1</v>
      </c>
      <c r="T544" s="3">
        <f>IF(DataTable[[#This Row],[Valor]]&gt;1,1,1)</f>
        <v>1</v>
      </c>
      <c r="U544" s="3">
        <f>angr(DataTable[[#This Row],[Sentido]],DataTable[[#This Row],[Valor]])</f>
        <v>56.693700787401575</v>
      </c>
      <c r="V544" s="3">
        <f>ANGI(DataTable[[#This Row],[Sentido]],DataTable[[#This Row],[Valor]])</f>
        <v>56.825196850393695</v>
      </c>
      <c r="W544" s="3">
        <f t="shared" si="148"/>
        <v>2</v>
      </c>
      <c r="X544" s="3">
        <f>IF(DataTable[[#This Row],[Valor]]&gt;1,1,1)</f>
        <v>1</v>
      </c>
      <c r="Y544" s="3">
        <f t="shared" si="149"/>
        <v>2</v>
      </c>
      <c r="Z544" s="3">
        <f>IF(AND(DataTable[[#This Row],[Sentido]]="URUGUAI para BRASIL",DataTable[[#This Row],[Valor]]&gt;350),1,0)</f>
        <v>0</v>
      </c>
      <c r="AA544" s="3">
        <f>IF(DataTable[[#This Row],[Valor]]&gt;1,0,0)</f>
        <v>0</v>
      </c>
    </row>
    <row r="545" spans="1:27" x14ac:dyDescent="0.25">
      <c r="A545" s="2" t="s">
        <v>18</v>
      </c>
      <c r="B545" s="2">
        <v>136</v>
      </c>
      <c r="C545" s="3">
        <f t="shared" si="135"/>
        <v>72.83</v>
      </c>
      <c r="D545" s="3">
        <f t="shared" si="136"/>
        <v>87.65</v>
      </c>
      <c r="E545" s="3">
        <f t="shared" si="137"/>
        <v>83.75</v>
      </c>
      <c r="F545" s="3">
        <f t="shared" si="138"/>
        <v>54.12</v>
      </c>
      <c r="G545" s="3">
        <f t="shared" si="139"/>
        <v>128.68</v>
      </c>
      <c r="H545" s="3">
        <f t="shared" si="140"/>
        <v>128.68</v>
      </c>
      <c r="I545" s="3"/>
      <c r="J545" s="3">
        <f t="shared" si="141"/>
        <v>79.849999999999994</v>
      </c>
      <c r="K545" s="3">
        <f t="shared" si="142"/>
        <v>87.65</v>
      </c>
      <c r="L545" s="34">
        <f t="shared" si="143"/>
        <v>83.75</v>
      </c>
      <c r="M545" s="3">
        <f t="shared" si="144"/>
        <v>-54.400000000000006</v>
      </c>
      <c r="N545" s="3">
        <f t="shared" si="145"/>
        <v>122.8</v>
      </c>
      <c r="O545" s="3"/>
      <c r="P545" s="3">
        <f t="shared" si="146"/>
        <v>68.61482834645669</v>
      </c>
      <c r="Q545" s="3">
        <f t="shared" si="147"/>
        <v>109.8176</v>
      </c>
      <c r="R545" s="3">
        <f>vd(DataTable[[#This Row],[Sentido]],DataTable[[#This Row],[Valor]])</f>
        <v>76.16850393700787</v>
      </c>
      <c r="S545" s="3">
        <f>IF(DataTable[[#This Row],[Valor]]&gt;1,1,1)</f>
        <v>1</v>
      </c>
      <c r="T545" s="3">
        <f>IF(DataTable[[#This Row],[Valor]]&gt;1,1,1)</f>
        <v>1</v>
      </c>
      <c r="U545" s="3">
        <f>angr(DataTable[[#This Row],[Sentido]],DataTable[[#This Row],[Valor]])</f>
        <v>56.492913385826775</v>
      </c>
      <c r="V545" s="3">
        <f>ANGI(DataTable[[#This Row],[Sentido]],DataTable[[#This Row],[Valor]])</f>
        <v>56.62834645669291</v>
      </c>
      <c r="W545" s="3">
        <f t="shared" si="148"/>
        <v>2</v>
      </c>
      <c r="X545" s="3">
        <f>IF(DataTable[[#This Row],[Valor]]&gt;1,1,1)</f>
        <v>1</v>
      </c>
      <c r="Y545" s="3">
        <f t="shared" si="149"/>
        <v>2</v>
      </c>
      <c r="Z545" s="3">
        <f>IF(AND(DataTable[[#This Row],[Sentido]]="URUGUAI para BRASIL",DataTable[[#This Row],[Valor]]&gt;350),1,0)</f>
        <v>0</v>
      </c>
      <c r="AA545" s="3">
        <f>IF(DataTable[[#This Row],[Valor]]&gt;1,0,0)</f>
        <v>0</v>
      </c>
    </row>
    <row r="546" spans="1:27" x14ac:dyDescent="0.25">
      <c r="A546" s="2" t="s">
        <v>18</v>
      </c>
      <c r="B546" s="2">
        <v>137</v>
      </c>
      <c r="C546" s="3">
        <f t="shared" si="135"/>
        <v>72.83</v>
      </c>
      <c r="D546" s="3">
        <f t="shared" si="136"/>
        <v>87.65</v>
      </c>
      <c r="E546" s="3">
        <f t="shared" si="137"/>
        <v>83.75</v>
      </c>
      <c r="F546" s="3">
        <f t="shared" si="138"/>
        <v>54.04</v>
      </c>
      <c r="G546" s="3">
        <f t="shared" si="139"/>
        <v>128.56</v>
      </c>
      <c r="H546" s="3">
        <f t="shared" si="140"/>
        <v>128.56</v>
      </c>
      <c r="I546" s="3"/>
      <c r="J546" s="3">
        <f t="shared" si="141"/>
        <v>79.849999999999994</v>
      </c>
      <c r="K546" s="3">
        <f t="shared" si="142"/>
        <v>87.65</v>
      </c>
      <c r="L546" s="34">
        <f t="shared" si="143"/>
        <v>83.75</v>
      </c>
      <c r="M546" s="3">
        <f t="shared" si="144"/>
        <v>-54.800000000000004</v>
      </c>
      <c r="N546" s="3">
        <f t="shared" si="145"/>
        <v>122.6</v>
      </c>
      <c r="O546" s="3"/>
      <c r="P546" s="3">
        <f t="shared" si="146"/>
        <v>68.953631496062997</v>
      </c>
      <c r="Q546" s="3">
        <f t="shared" si="147"/>
        <v>109.8176</v>
      </c>
      <c r="R546" s="3">
        <f>vd(DataTable[[#This Row],[Sentido]],DataTable[[#This Row],[Valor]])</f>
        <v>76.609448818897647</v>
      </c>
      <c r="S546" s="3">
        <f>IF(DataTable[[#This Row],[Valor]]&gt;1,1,1)</f>
        <v>1</v>
      </c>
      <c r="T546" s="3">
        <f>IF(DataTable[[#This Row],[Valor]]&gt;1,1,1)</f>
        <v>1</v>
      </c>
      <c r="U546" s="3">
        <f>angr(DataTable[[#This Row],[Sentido]],DataTable[[#This Row],[Valor]])</f>
        <v>56.292125984251967</v>
      </c>
      <c r="V546" s="3">
        <f>ANGI(DataTable[[#This Row],[Sentido]],DataTable[[#This Row],[Valor]])</f>
        <v>56.431496062992125</v>
      </c>
      <c r="W546" s="3">
        <f t="shared" si="148"/>
        <v>2</v>
      </c>
      <c r="X546" s="3">
        <f>IF(DataTable[[#This Row],[Valor]]&gt;1,1,1)</f>
        <v>1</v>
      </c>
      <c r="Y546" s="3">
        <f t="shared" si="149"/>
        <v>2</v>
      </c>
      <c r="Z546" s="3">
        <f>IF(AND(DataTable[[#This Row],[Sentido]]="URUGUAI para BRASIL",DataTable[[#This Row],[Valor]]&gt;350),1,0)</f>
        <v>0</v>
      </c>
      <c r="AA546" s="3">
        <f>IF(DataTable[[#This Row],[Valor]]&gt;1,0,0)</f>
        <v>0</v>
      </c>
    </row>
    <row r="547" spans="1:27" x14ac:dyDescent="0.25">
      <c r="A547" s="2" t="s">
        <v>18</v>
      </c>
      <c r="B547" s="2">
        <v>138</v>
      </c>
      <c r="C547" s="3">
        <f t="shared" si="135"/>
        <v>72.83</v>
      </c>
      <c r="D547" s="3">
        <f t="shared" si="136"/>
        <v>87.65</v>
      </c>
      <c r="E547" s="3">
        <f t="shared" si="137"/>
        <v>83.75</v>
      </c>
      <c r="F547" s="3">
        <f t="shared" si="138"/>
        <v>53.96</v>
      </c>
      <c r="G547" s="3">
        <f t="shared" si="139"/>
        <v>128.44</v>
      </c>
      <c r="H547" s="3">
        <f t="shared" si="140"/>
        <v>128.44</v>
      </c>
      <c r="I547" s="3"/>
      <c r="J547" s="3">
        <f t="shared" si="141"/>
        <v>79.849999999999994</v>
      </c>
      <c r="K547" s="3">
        <f t="shared" si="142"/>
        <v>87.65</v>
      </c>
      <c r="L547" s="34">
        <f t="shared" si="143"/>
        <v>83.75</v>
      </c>
      <c r="M547" s="3">
        <f t="shared" si="144"/>
        <v>-55.2</v>
      </c>
      <c r="N547" s="3">
        <f t="shared" si="145"/>
        <v>122.39999999999999</v>
      </c>
      <c r="O547" s="3"/>
      <c r="P547" s="3">
        <f t="shared" si="146"/>
        <v>69.292434645669303</v>
      </c>
      <c r="Q547" s="3">
        <f t="shared" si="147"/>
        <v>109.8176</v>
      </c>
      <c r="R547" s="3">
        <f>vd(DataTable[[#This Row],[Sentido]],DataTable[[#This Row],[Valor]])</f>
        <v>77.05039370078741</v>
      </c>
      <c r="S547" s="3">
        <f>IF(DataTable[[#This Row],[Valor]]&gt;1,1,1)</f>
        <v>1</v>
      </c>
      <c r="T547" s="3">
        <f>IF(DataTable[[#This Row],[Valor]]&gt;1,1,1)</f>
        <v>1</v>
      </c>
      <c r="U547" s="3">
        <f>angr(DataTable[[#This Row],[Sentido]],DataTable[[#This Row],[Valor]])</f>
        <v>56.09133858267716</v>
      </c>
      <c r="V547" s="3">
        <f>ANGI(DataTable[[#This Row],[Sentido]],DataTable[[#This Row],[Valor]])</f>
        <v>56.234645669291339</v>
      </c>
      <c r="W547" s="3">
        <f t="shared" si="148"/>
        <v>2</v>
      </c>
      <c r="X547" s="3">
        <f>IF(DataTable[[#This Row],[Valor]]&gt;1,1,1)</f>
        <v>1</v>
      </c>
      <c r="Y547" s="3">
        <f t="shared" si="149"/>
        <v>2</v>
      </c>
      <c r="Z547" s="3">
        <f>IF(AND(DataTable[[#This Row],[Sentido]]="URUGUAI para BRASIL",DataTable[[#This Row],[Valor]]&gt;350),1,0)</f>
        <v>0</v>
      </c>
      <c r="AA547" s="3">
        <f>IF(DataTable[[#This Row],[Valor]]&gt;1,0,0)</f>
        <v>0</v>
      </c>
    </row>
    <row r="548" spans="1:27" x14ac:dyDescent="0.25">
      <c r="A548" s="2" t="s">
        <v>18</v>
      </c>
      <c r="B548" s="2">
        <v>139</v>
      </c>
      <c r="C548" s="3">
        <f t="shared" si="135"/>
        <v>72.83</v>
      </c>
      <c r="D548" s="3">
        <f t="shared" si="136"/>
        <v>87.65</v>
      </c>
      <c r="E548" s="3">
        <f t="shared" si="137"/>
        <v>83.75</v>
      </c>
      <c r="F548" s="3">
        <f t="shared" si="138"/>
        <v>53.879999999999995</v>
      </c>
      <c r="G548" s="3">
        <f t="shared" si="139"/>
        <v>128.32</v>
      </c>
      <c r="H548" s="3">
        <f t="shared" si="140"/>
        <v>128.32</v>
      </c>
      <c r="I548" s="3"/>
      <c r="J548" s="3">
        <f t="shared" si="141"/>
        <v>79.849999999999994</v>
      </c>
      <c r="K548" s="3">
        <f t="shared" si="142"/>
        <v>87.65</v>
      </c>
      <c r="L548" s="34">
        <f t="shared" si="143"/>
        <v>83.75</v>
      </c>
      <c r="M548" s="3">
        <f t="shared" si="144"/>
        <v>-55.6</v>
      </c>
      <c r="N548" s="3">
        <f t="shared" si="145"/>
        <v>122.2</v>
      </c>
      <c r="O548" s="3"/>
      <c r="P548" s="3">
        <f t="shared" si="146"/>
        <v>69.631237795275595</v>
      </c>
      <c r="Q548" s="3">
        <f t="shared" si="147"/>
        <v>109.8176</v>
      </c>
      <c r="R548" s="3">
        <f>vd(DataTable[[#This Row],[Sentido]],DataTable[[#This Row],[Valor]])</f>
        <v>77.491338582677173</v>
      </c>
      <c r="S548" s="3">
        <f>IF(DataTable[[#This Row],[Valor]]&gt;1,1,1)</f>
        <v>1</v>
      </c>
      <c r="T548" s="3">
        <f>IF(DataTable[[#This Row],[Valor]]&gt;1,1,1)</f>
        <v>1</v>
      </c>
      <c r="U548" s="3">
        <f>angr(DataTable[[#This Row],[Sentido]],DataTable[[#This Row],[Valor]])</f>
        <v>55.89055118110236</v>
      </c>
      <c r="V548" s="3">
        <f>ANGI(DataTable[[#This Row],[Sentido]],DataTable[[#This Row],[Valor]])</f>
        <v>56.037795275590554</v>
      </c>
      <c r="W548" s="3">
        <f t="shared" si="148"/>
        <v>2</v>
      </c>
      <c r="X548" s="3">
        <f>IF(DataTable[[#This Row],[Valor]]&gt;1,1,1)</f>
        <v>1</v>
      </c>
      <c r="Y548" s="3">
        <f t="shared" si="149"/>
        <v>2</v>
      </c>
      <c r="Z548" s="3">
        <f>IF(AND(DataTable[[#This Row],[Sentido]]="URUGUAI para BRASIL",DataTable[[#This Row],[Valor]]&gt;350),1,0)</f>
        <v>0</v>
      </c>
      <c r="AA548" s="3">
        <f>IF(DataTable[[#This Row],[Valor]]&gt;1,0,0)</f>
        <v>0</v>
      </c>
    </row>
    <row r="549" spans="1:27" x14ac:dyDescent="0.25">
      <c r="A549" s="2" t="s">
        <v>18</v>
      </c>
      <c r="B549" s="2">
        <v>140</v>
      </c>
      <c r="C549" s="3">
        <f t="shared" si="135"/>
        <v>72.83</v>
      </c>
      <c r="D549" s="3">
        <f t="shared" si="136"/>
        <v>87.65</v>
      </c>
      <c r="E549" s="3">
        <f t="shared" si="137"/>
        <v>83.75</v>
      </c>
      <c r="F549" s="3">
        <f t="shared" si="138"/>
        <v>53.8</v>
      </c>
      <c r="G549" s="3">
        <f t="shared" si="139"/>
        <v>128.19999999999999</v>
      </c>
      <c r="H549" s="3">
        <f t="shared" si="140"/>
        <v>128.19999999999999</v>
      </c>
      <c r="I549" s="3"/>
      <c r="J549" s="3">
        <f t="shared" si="141"/>
        <v>79.849999999999994</v>
      </c>
      <c r="K549" s="3">
        <f t="shared" si="142"/>
        <v>87.65</v>
      </c>
      <c r="L549" s="34">
        <f t="shared" si="143"/>
        <v>83.75</v>
      </c>
      <c r="M549" s="3">
        <f t="shared" si="144"/>
        <v>-56</v>
      </c>
      <c r="N549" s="3">
        <f t="shared" si="145"/>
        <v>122</v>
      </c>
      <c r="O549" s="3"/>
      <c r="P549" s="3">
        <f t="shared" si="146"/>
        <v>69.970040944881902</v>
      </c>
      <c r="Q549" s="3">
        <f t="shared" si="147"/>
        <v>109.8176</v>
      </c>
      <c r="R549" s="3">
        <f>vd(DataTable[[#This Row],[Sentido]],DataTable[[#This Row],[Valor]])</f>
        <v>77.932283464566936</v>
      </c>
      <c r="S549" s="3">
        <f>IF(DataTable[[#This Row],[Valor]]&gt;1,1,1)</f>
        <v>1</v>
      </c>
      <c r="T549" s="3">
        <f>IF(DataTable[[#This Row],[Valor]]&gt;1,1,1)</f>
        <v>1</v>
      </c>
      <c r="U549" s="3">
        <f>angr(DataTable[[#This Row],[Sentido]],DataTable[[#This Row],[Valor]])</f>
        <v>55.68976377952756</v>
      </c>
      <c r="V549" s="3">
        <f>ANGI(DataTable[[#This Row],[Sentido]],DataTable[[#This Row],[Valor]])</f>
        <v>55.840944881889762</v>
      </c>
      <c r="W549" s="3">
        <f t="shared" si="148"/>
        <v>2</v>
      </c>
      <c r="X549" s="3">
        <f>IF(DataTable[[#This Row],[Valor]]&gt;1,1,1)</f>
        <v>1</v>
      </c>
      <c r="Y549" s="3">
        <f t="shared" si="149"/>
        <v>2</v>
      </c>
      <c r="Z549" s="3">
        <f>IF(AND(DataTable[[#This Row],[Sentido]]="URUGUAI para BRASIL",DataTable[[#This Row],[Valor]]&gt;350),1,0)</f>
        <v>0</v>
      </c>
      <c r="AA549" s="3">
        <f>IF(DataTable[[#This Row],[Valor]]&gt;1,0,0)</f>
        <v>0</v>
      </c>
    </row>
    <row r="550" spans="1:27" x14ac:dyDescent="0.25">
      <c r="A550" s="2" t="s">
        <v>18</v>
      </c>
      <c r="B550" s="2">
        <v>141</v>
      </c>
      <c r="C550" s="3">
        <f t="shared" si="135"/>
        <v>72.83</v>
      </c>
      <c r="D550" s="3">
        <f t="shared" si="136"/>
        <v>87.65</v>
      </c>
      <c r="E550" s="3">
        <f t="shared" si="137"/>
        <v>83.75</v>
      </c>
      <c r="F550" s="3">
        <f t="shared" si="138"/>
        <v>53.72</v>
      </c>
      <c r="G550" s="3">
        <f t="shared" si="139"/>
        <v>128.07999999999998</v>
      </c>
      <c r="H550" s="3">
        <f t="shared" si="140"/>
        <v>128.07999999999998</v>
      </c>
      <c r="I550" s="3"/>
      <c r="J550" s="3">
        <f t="shared" si="141"/>
        <v>79.849999999999994</v>
      </c>
      <c r="K550" s="3">
        <f t="shared" si="142"/>
        <v>87.65</v>
      </c>
      <c r="L550" s="34">
        <f t="shared" si="143"/>
        <v>83.75</v>
      </c>
      <c r="M550" s="3">
        <f t="shared" si="144"/>
        <v>-56.400000000000006</v>
      </c>
      <c r="N550" s="3">
        <f t="shared" si="145"/>
        <v>121.8</v>
      </c>
      <c r="O550" s="3"/>
      <c r="P550" s="3">
        <f t="shared" si="146"/>
        <v>70.308844094488194</v>
      </c>
      <c r="Q550" s="3">
        <f t="shared" si="147"/>
        <v>109.8176</v>
      </c>
      <c r="R550" s="3">
        <f>vd(DataTable[[#This Row],[Sentido]],DataTable[[#This Row],[Valor]])</f>
        <v>78.373228346456699</v>
      </c>
      <c r="S550" s="3">
        <f>IF(DataTable[[#This Row],[Valor]]&gt;1,1,1)</f>
        <v>1</v>
      </c>
      <c r="T550" s="3">
        <f>IF(DataTable[[#This Row],[Valor]]&gt;1,1,1)</f>
        <v>1</v>
      </c>
      <c r="U550" s="3">
        <f>angr(DataTable[[#This Row],[Sentido]],DataTable[[#This Row],[Valor]])</f>
        <v>55.48897637795276</v>
      </c>
      <c r="V550" s="3">
        <f>ANGI(DataTable[[#This Row],[Sentido]],DataTable[[#This Row],[Valor]])</f>
        <v>55.644094488188976</v>
      </c>
      <c r="W550" s="3">
        <f t="shared" si="148"/>
        <v>2</v>
      </c>
      <c r="X550" s="3">
        <f>IF(DataTable[[#This Row],[Valor]]&gt;1,1,1)</f>
        <v>1</v>
      </c>
      <c r="Y550" s="3">
        <f t="shared" si="149"/>
        <v>2</v>
      </c>
      <c r="Z550" s="3">
        <f>IF(AND(DataTable[[#This Row],[Sentido]]="URUGUAI para BRASIL",DataTable[[#This Row],[Valor]]&gt;350),1,0)</f>
        <v>0</v>
      </c>
      <c r="AA550" s="3">
        <f>IF(DataTable[[#This Row],[Valor]]&gt;1,0,0)</f>
        <v>0</v>
      </c>
    </row>
    <row r="551" spans="1:27" x14ac:dyDescent="0.25">
      <c r="A551" s="2" t="s">
        <v>18</v>
      </c>
      <c r="B551" s="2">
        <v>142</v>
      </c>
      <c r="C551" s="3">
        <f t="shared" si="135"/>
        <v>72.83</v>
      </c>
      <c r="D551" s="3">
        <f t="shared" si="136"/>
        <v>87.65</v>
      </c>
      <c r="E551" s="3">
        <f t="shared" si="137"/>
        <v>83.75</v>
      </c>
      <c r="F551" s="3">
        <f t="shared" si="138"/>
        <v>53.64</v>
      </c>
      <c r="G551" s="3">
        <f t="shared" si="139"/>
        <v>127.96000000000001</v>
      </c>
      <c r="H551" s="3">
        <f t="shared" si="140"/>
        <v>127.96000000000001</v>
      </c>
      <c r="I551" s="3"/>
      <c r="J551" s="3">
        <f t="shared" si="141"/>
        <v>79.849999999999994</v>
      </c>
      <c r="K551" s="3">
        <f t="shared" si="142"/>
        <v>87.65</v>
      </c>
      <c r="L551" s="34">
        <f t="shared" si="143"/>
        <v>83.75</v>
      </c>
      <c r="M551" s="3">
        <f t="shared" si="144"/>
        <v>-56.800000000000004</v>
      </c>
      <c r="N551" s="3">
        <f t="shared" si="145"/>
        <v>121.6</v>
      </c>
      <c r="O551" s="3"/>
      <c r="P551" s="3">
        <f t="shared" si="146"/>
        <v>70.647647244094486</v>
      </c>
      <c r="Q551" s="3">
        <f t="shared" si="147"/>
        <v>109.8176</v>
      </c>
      <c r="R551" s="3">
        <f>vd(DataTable[[#This Row],[Sentido]],DataTable[[#This Row],[Valor]])</f>
        <v>78.814173228346462</v>
      </c>
      <c r="S551" s="3">
        <f>IF(DataTable[[#This Row],[Valor]]&gt;1,1,1)</f>
        <v>1</v>
      </c>
      <c r="T551" s="3">
        <f>IF(DataTable[[#This Row],[Valor]]&gt;1,1,1)</f>
        <v>1</v>
      </c>
      <c r="U551" s="3">
        <f>angr(DataTable[[#This Row],[Sentido]],DataTable[[#This Row],[Valor]])</f>
        <v>55.288188976377953</v>
      </c>
      <c r="V551" s="3">
        <f>ANGI(DataTable[[#This Row],[Sentido]],DataTable[[#This Row],[Valor]])</f>
        <v>55.447244094488184</v>
      </c>
      <c r="W551" s="3">
        <f t="shared" si="148"/>
        <v>2</v>
      </c>
      <c r="X551" s="3">
        <f>IF(DataTable[[#This Row],[Valor]]&gt;1,1,1)</f>
        <v>1</v>
      </c>
      <c r="Y551" s="3">
        <f t="shared" si="149"/>
        <v>2</v>
      </c>
      <c r="Z551" s="3">
        <f>IF(AND(DataTable[[#This Row],[Sentido]]="URUGUAI para BRASIL",DataTable[[#This Row],[Valor]]&gt;350),1,0)</f>
        <v>0</v>
      </c>
      <c r="AA551" s="3">
        <f>IF(DataTable[[#This Row],[Valor]]&gt;1,0,0)</f>
        <v>0</v>
      </c>
    </row>
    <row r="552" spans="1:27" x14ac:dyDescent="0.25">
      <c r="A552" s="2" t="s">
        <v>18</v>
      </c>
      <c r="B552" s="2">
        <v>143</v>
      </c>
      <c r="C552" s="3">
        <f t="shared" si="135"/>
        <v>72.83</v>
      </c>
      <c r="D552" s="3">
        <f t="shared" si="136"/>
        <v>87.65</v>
      </c>
      <c r="E552" s="3">
        <f t="shared" si="137"/>
        <v>83.75</v>
      </c>
      <c r="F552" s="3">
        <f t="shared" si="138"/>
        <v>53.56</v>
      </c>
      <c r="G552" s="3">
        <f t="shared" si="139"/>
        <v>127.84</v>
      </c>
      <c r="H552" s="3">
        <f t="shared" si="140"/>
        <v>127.84</v>
      </c>
      <c r="I552" s="3"/>
      <c r="J552" s="3">
        <f t="shared" si="141"/>
        <v>79.849999999999994</v>
      </c>
      <c r="K552" s="3">
        <f t="shared" si="142"/>
        <v>87.65</v>
      </c>
      <c r="L552" s="34">
        <f t="shared" si="143"/>
        <v>83.75</v>
      </c>
      <c r="M552" s="3">
        <f t="shared" si="144"/>
        <v>-57.2</v>
      </c>
      <c r="N552" s="3">
        <f t="shared" si="145"/>
        <v>121.39999999999999</v>
      </c>
      <c r="O552" s="3"/>
      <c r="P552" s="3">
        <f t="shared" si="146"/>
        <v>70.986450393700792</v>
      </c>
      <c r="Q552" s="3">
        <f t="shared" si="147"/>
        <v>109.8176</v>
      </c>
      <c r="R552" s="3">
        <f>vd(DataTable[[#This Row],[Sentido]],DataTable[[#This Row],[Valor]])</f>
        <v>79.255118110236225</v>
      </c>
      <c r="S552" s="3">
        <f>IF(DataTable[[#This Row],[Valor]]&gt;1,1,1)</f>
        <v>1</v>
      </c>
      <c r="T552" s="3">
        <f>IF(DataTable[[#This Row],[Valor]]&gt;1,1,1)</f>
        <v>1</v>
      </c>
      <c r="U552" s="3">
        <f>angr(DataTable[[#This Row],[Sentido]],DataTable[[#This Row],[Valor]])</f>
        <v>55.087401574803145</v>
      </c>
      <c r="V552" s="3">
        <f>ANGI(DataTable[[#This Row],[Sentido]],DataTable[[#This Row],[Valor]])</f>
        <v>55.250393700787399</v>
      </c>
      <c r="W552" s="3">
        <f t="shared" si="148"/>
        <v>2</v>
      </c>
      <c r="X552" s="3">
        <f>IF(DataTable[[#This Row],[Valor]]&gt;1,1,1)</f>
        <v>1</v>
      </c>
      <c r="Y552" s="3">
        <f t="shared" si="149"/>
        <v>2</v>
      </c>
      <c r="Z552" s="3">
        <f>IF(AND(DataTable[[#This Row],[Sentido]]="URUGUAI para BRASIL",DataTable[[#This Row],[Valor]]&gt;350),1,0)</f>
        <v>0</v>
      </c>
      <c r="AA552" s="3">
        <f>IF(DataTable[[#This Row],[Valor]]&gt;1,0,0)</f>
        <v>0</v>
      </c>
    </row>
    <row r="553" spans="1:27" x14ac:dyDescent="0.25">
      <c r="A553" s="2" t="s">
        <v>18</v>
      </c>
      <c r="B553" s="2">
        <v>144</v>
      </c>
      <c r="C553" s="3">
        <f t="shared" si="135"/>
        <v>72.83</v>
      </c>
      <c r="D553" s="3">
        <f t="shared" si="136"/>
        <v>87.65</v>
      </c>
      <c r="E553" s="3">
        <f t="shared" si="137"/>
        <v>83.75</v>
      </c>
      <c r="F553" s="3">
        <f t="shared" si="138"/>
        <v>53.480000000000004</v>
      </c>
      <c r="G553" s="3">
        <f t="shared" si="139"/>
        <v>127.72</v>
      </c>
      <c r="H553" s="3">
        <f t="shared" si="140"/>
        <v>127.72</v>
      </c>
      <c r="I553" s="3"/>
      <c r="J553" s="3">
        <f t="shared" si="141"/>
        <v>79.849999999999994</v>
      </c>
      <c r="K553" s="3">
        <f t="shared" si="142"/>
        <v>87.65</v>
      </c>
      <c r="L553" s="34">
        <f t="shared" si="143"/>
        <v>83.75</v>
      </c>
      <c r="M553" s="3">
        <f t="shared" si="144"/>
        <v>-57.6</v>
      </c>
      <c r="N553" s="3">
        <f t="shared" si="145"/>
        <v>121.2</v>
      </c>
      <c r="O553" s="3"/>
      <c r="P553" s="3">
        <f t="shared" si="146"/>
        <v>71.325253543307085</v>
      </c>
      <c r="Q553" s="3">
        <f t="shared" si="147"/>
        <v>109.8176</v>
      </c>
      <c r="R553" s="3">
        <f>vd(DataTable[[#This Row],[Sentido]],DataTable[[#This Row],[Valor]])</f>
        <v>79.696062992125988</v>
      </c>
      <c r="S553" s="3">
        <f>IF(DataTable[[#This Row],[Valor]]&gt;1,1,1)</f>
        <v>1</v>
      </c>
      <c r="T553" s="3">
        <f>IF(DataTable[[#This Row],[Valor]]&gt;1,1,1)</f>
        <v>1</v>
      </c>
      <c r="U553" s="3">
        <f>angr(DataTable[[#This Row],[Sentido]],DataTable[[#This Row],[Valor]])</f>
        <v>54.886614173228345</v>
      </c>
      <c r="V553" s="3">
        <f>ANGI(DataTable[[#This Row],[Sentido]],DataTable[[#This Row],[Valor]])</f>
        <v>55.053543307086613</v>
      </c>
      <c r="W553" s="3">
        <f t="shared" si="148"/>
        <v>2</v>
      </c>
      <c r="X553" s="3">
        <f>IF(DataTable[[#This Row],[Valor]]&gt;1,1,1)</f>
        <v>1</v>
      </c>
      <c r="Y553" s="3">
        <f t="shared" si="149"/>
        <v>2</v>
      </c>
      <c r="Z553" s="3">
        <f>IF(AND(DataTable[[#This Row],[Sentido]]="URUGUAI para BRASIL",DataTable[[#This Row],[Valor]]&gt;350),1,0)</f>
        <v>0</v>
      </c>
      <c r="AA553" s="3">
        <f>IF(DataTable[[#This Row],[Valor]]&gt;1,0,0)</f>
        <v>0</v>
      </c>
    </row>
    <row r="554" spans="1:27" x14ac:dyDescent="0.25">
      <c r="A554" s="2" t="s">
        <v>18</v>
      </c>
      <c r="B554" s="2">
        <v>145</v>
      </c>
      <c r="C554" s="3">
        <f t="shared" si="135"/>
        <v>72.83</v>
      </c>
      <c r="D554" s="3">
        <f t="shared" si="136"/>
        <v>87.65</v>
      </c>
      <c r="E554" s="3">
        <f t="shared" si="137"/>
        <v>83.75</v>
      </c>
      <c r="F554" s="3">
        <f t="shared" si="138"/>
        <v>53.4</v>
      </c>
      <c r="G554" s="3">
        <f t="shared" si="139"/>
        <v>127.6</v>
      </c>
      <c r="H554" s="3">
        <f t="shared" si="140"/>
        <v>127.6</v>
      </c>
      <c r="I554" s="3"/>
      <c r="J554" s="3">
        <f t="shared" si="141"/>
        <v>79.849999999999994</v>
      </c>
      <c r="K554" s="3">
        <f t="shared" si="142"/>
        <v>87.65</v>
      </c>
      <c r="L554" s="34">
        <f t="shared" si="143"/>
        <v>83.75</v>
      </c>
      <c r="M554" s="3">
        <f t="shared" si="144"/>
        <v>-58</v>
      </c>
      <c r="N554" s="3">
        <f t="shared" si="145"/>
        <v>121</v>
      </c>
      <c r="O554" s="3"/>
      <c r="P554" s="3">
        <f t="shared" si="146"/>
        <v>71.664056692913391</v>
      </c>
      <c r="Q554" s="3">
        <f t="shared" si="147"/>
        <v>109.8176</v>
      </c>
      <c r="R554" s="3">
        <f>vd(DataTable[[#This Row],[Sentido]],DataTable[[#This Row],[Valor]])</f>
        <v>80.137007874015751</v>
      </c>
      <c r="S554" s="3">
        <f>IF(DataTable[[#This Row],[Valor]]&gt;1,1,1)</f>
        <v>1</v>
      </c>
      <c r="T554" s="3">
        <f>IF(DataTable[[#This Row],[Valor]]&gt;1,1,1)</f>
        <v>1</v>
      </c>
      <c r="U554" s="3">
        <f>angr(DataTable[[#This Row],[Sentido]],DataTable[[#This Row],[Valor]])</f>
        <v>54.685826771653545</v>
      </c>
      <c r="V554" s="3">
        <f>ANGI(DataTable[[#This Row],[Sentido]],DataTable[[#This Row],[Valor]])</f>
        <v>54.856692913385828</v>
      </c>
      <c r="W554" s="3">
        <f t="shared" si="148"/>
        <v>2</v>
      </c>
      <c r="X554" s="3">
        <f>IF(DataTable[[#This Row],[Valor]]&gt;1,1,1)</f>
        <v>1</v>
      </c>
      <c r="Y554" s="3">
        <f t="shared" si="149"/>
        <v>2</v>
      </c>
      <c r="Z554" s="3">
        <f>IF(AND(DataTable[[#This Row],[Sentido]]="URUGUAI para BRASIL",DataTable[[#This Row],[Valor]]&gt;350),1,0)</f>
        <v>0</v>
      </c>
      <c r="AA554" s="3">
        <f>IF(DataTable[[#This Row],[Valor]]&gt;1,0,0)</f>
        <v>0</v>
      </c>
    </row>
    <row r="555" spans="1:27" x14ac:dyDescent="0.25">
      <c r="A555" s="2" t="s">
        <v>18</v>
      </c>
      <c r="B555" s="2">
        <v>146</v>
      </c>
      <c r="C555" s="3">
        <f t="shared" si="135"/>
        <v>72.83</v>
      </c>
      <c r="D555" s="3">
        <f t="shared" si="136"/>
        <v>87.65</v>
      </c>
      <c r="E555" s="3">
        <f t="shared" si="137"/>
        <v>83.75</v>
      </c>
      <c r="F555" s="3">
        <f t="shared" si="138"/>
        <v>53.32</v>
      </c>
      <c r="G555" s="3">
        <f t="shared" si="139"/>
        <v>127.48</v>
      </c>
      <c r="H555" s="3">
        <f t="shared" si="140"/>
        <v>127.48</v>
      </c>
      <c r="I555" s="3"/>
      <c r="J555" s="3">
        <f t="shared" si="141"/>
        <v>79.849999999999994</v>
      </c>
      <c r="K555" s="3">
        <f t="shared" si="142"/>
        <v>87.65</v>
      </c>
      <c r="L555" s="34">
        <f t="shared" si="143"/>
        <v>83.75</v>
      </c>
      <c r="M555" s="3">
        <f t="shared" si="144"/>
        <v>-58.400000000000006</v>
      </c>
      <c r="N555" s="3">
        <f t="shared" si="145"/>
        <v>120.8</v>
      </c>
      <c r="O555" s="3"/>
      <c r="P555" s="3">
        <f t="shared" si="146"/>
        <v>72.002859842519683</v>
      </c>
      <c r="Q555" s="3">
        <f t="shared" si="147"/>
        <v>109.8176</v>
      </c>
      <c r="R555" s="3">
        <f>vd(DataTable[[#This Row],[Sentido]],DataTable[[#This Row],[Valor]])</f>
        <v>80.577952755905514</v>
      </c>
      <c r="S555" s="3">
        <f>IF(DataTable[[#This Row],[Valor]]&gt;1,1,1)</f>
        <v>1</v>
      </c>
      <c r="T555" s="3">
        <f>IF(DataTable[[#This Row],[Valor]]&gt;1,1,1)</f>
        <v>1</v>
      </c>
      <c r="U555" s="3">
        <f>angr(DataTable[[#This Row],[Sentido]],DataTable[[#This Row],[Valor]])</f>
        <v>54.485039370078745</v>
      </c>
      <c r="V555" s="3">
        <f>ANGI(DataTable[[#This Row],[Sentido]],DataTable[[#This Row],[Valor]])</f>
        <v>54.659842519685043</v>
      </c>
      <c r="W555" s="3">
        <f t="shared" si="148"/>
        <v>2</v>
      </c>
      <c r="X555" s="3">
        <f>IF(DataTable[[#This Row],[Valor]]&gt;1,1,1)</f>
        <v>1</v>
      </c>
      <c r="Y555" s="3">
        <f t="shared" si="149"/>
        <v>2</v>
      </c>
      <c r="Z555" s="3">
        <f>IF(AND(DataTable[[#This Row],[Sentido]]="URUGUAI para BRASIL",DataTable[[#This Row],[Valor]]&gt;350),1,0)</f>
        <v>0</v>
      </c>
      <c r="AA555" s="3">
        <f>IF(DataTable[[#This Row],[Valor]]&gt;1,0,0)</f>
        <v>0</v>
      </c>
    </row>
    <row r="556" spans="1:27" x14ac:dyDescent="0.25">
      <c r="A556" s="2" t="s">
        <v>18</v>
      </c>
      <c r="B556" s="2">
        <v>147</v>
      </c>
      <c r="C556" s="3">
        <f t="shared" si="135"/>
        <v>72.83</v>
      </c>
      <c r="D556" s="3">
        <f t="shared" si="136"/>
        <v>87.65</v>
      </c>
      <c r="E556" s="3">
        <f t="shared" si="137"/>
        <v>83.75</v>
      </c>
      <c r="F556" s="3">
        <f t="shared" si="138"/>
        <v>53.24</v>
      </c>
      <c r="G556" s="3">
        <f t="shared" si="139"/>
        <v>127.36</v>
      </c>
      <c r="H556" s="3">
        <f t="shared" si="140"/>
        <v>127.36</v>
      </c>
      <c r="I556" s="3"/>
      <c r="J556" s="3">
        <f t="shared" si="141"/>
        <v>79.849999999999994</v>
      </c>
      <c r="K556" s="3">
        <f t="shared" si="142"/>
        <v>87.65</v>
      </c>
      <c r="L556" s="34">
        <f t="shared" si="143"/>
        <v>83.75</v>
      </c>
      <c r="M556" s="3">
        <f t="shared" si="144"/>
        <v>-58.800000000000004</v>
      </c>
      <c r="N556" s="3">
        <f t="shared" si="145"/>
        <v>120.6</v>
      </c>
      <c r="O556" s="3"/>
      <c r="P556" s="3">
        <f t="shared" si="146"/>
        <v>72.34166299212599</v>
      </c>
      <c r="Q556" s="3">
        <f t="shared" si="147"/>
        <v>109.8176</v>
      </c>
      <c r="R556" s="3">
        <f>vd(DataTable[[#This Row],[Sentido]],DataTable[[#This Row],[Valor]])</f>
        <v>81.018897637795277</v>
      </c>
      <c r="S556" s="3">
        <f>IF(DataTable[[#This Row],[Valor]]&gt;1,1,1)</f>
        <v>1</v>
      </c>
      <c r="T556" s="3">
        <f>IF(DataTable[[#This Row],[Valor]]&gt;1,1,1)</f>
        <v>1</v>
      </c>
      <c r="U556" s="3">
        <f>angr(DataTable[[#This Row],[Sentido]],DataTable[[#This Row],[Valor]])</f>
        <v>54.284251968503938</v>
      </c>
      <c r="V556" s="3">
        <f>ANGI(DataTable[[#This Row],[Sentido]],DataTable[[#This Row],[Valor]])</f>
        <v>54.46299212598425</v>
      </c>
      <c r="W556" s="3">
        <f t="shared" si="148"/>
        <v>2</v>
      </c>
      <c r="X556" s="3">
        <f>IF(DataTable[[#This Row],[Valor]]&gt;1,1,1)</f>
        <v>1</v>
      </c>
      <c r="Y556" s="3">
        <f t="shared" si="149"/>
        <v>2</v>
      </c>
      <c r="Z556" s="3">
        <f>IF(AND(DataTable[[#This Row],[Sentido]]="URUGUAI para BRASIL",DataTable[[#This Row],[Valor]]&gt;350),1,0)</f>
        <v>0</v>
      </c>
      <c r="AA556" s="3">
        <f>IF(DataTable[[#This Row],[Valor]]&gt;1,0,0)</f>
        <v>0</v>
      </c>
    </row>
    <row r="557" spans="1:27" x14ac:dyDescent="0.25">
      <c r="A557" s="2" t="s">
        <v>18</v>
      </c>
      <c r="B557" s="2">
        <v>148</v>
      </c>
      <c r="C557" s="3">
        <f t="shared" si="135"/>
        <v>72.83</v>
      </c>
      <c r="D557" s="3">
        <f t="shared" si="136"/>
        <v>87.65</v>
      </c>
      <c r="E557" s="3">
        <f t="shared" si="137"/>
        <v>83.75</v>
      </c>
      <c r="F557" s="3">
        <f t="shared" si="138"/>
        <v>53.16</v>
      </c>
      <c r="G557" s="3">
        <f t="shared" si="139"/>
        <v>127.24000000000001</v>
      </c>
      <c r="H557" s="3">
        <f t="shared" si="140"/>
        <v>127.24000000000001</v>
      </c>
      <c r="I557" s="3"/>
      <c r="J557" s="3">
        <f t="shared" si="141"/>
        <v>79.849999999999994</v>
      </c>
      <c r="K557" s="3">
        <f t="shared" si="142"/>
        <v>87.65</v>
      </c>
      <c r="L557" s="34">
        <f t="shared" si="143"/>
        <v>83.75</v>
      </c>
      <c r="M557" s="3">
        <f t="shared" si="144"/>
        <v>-59.2</v>
      </c>
      <c r="N557" s="3">
        <f t="shared" si="145"/>
        <v>120.39999999999999</v>
      </c>
      <c r="O557" s="3"/>
      <c r="P557" s="3">
        <f t="shared" si="146"/>
        <v>72.680466141732296</v>
      </c>
      <c r="Q557" s="3">
        <f t="shared" si="147"/>
        <v>109.8176</v>
      </c>
      <c r="R557" s="3">
        <f>vd(DataTable[[#This Row],[Sentido]],DataTable[[#This Row],[Valor]])</f>
        <v>81.459842519685054</v>
      </c>
      <c r="S557" s="3">
        <f>IF(DataTable[[#This Row],[Valor]]&gt;1,1,1)</f>
        <v>1</v>
      </c>
      <c r="T557" s="3">
        <f>IF(DataTable[[#This Row],[Valor]]&gt;1,1,1)</f>
        <v>1</v>
      </c>
      <c r="U557" s="3">
        <f>angr(DataTable[[#This Row],[Sentido]],DataTable[[#This Row],[Valor]])</f>
        <v>54.083464566929138</v>
      </c>
      <c r="V557" s="3">
        <f>ANGI(DataTable[[#This Row],[Sentido]],DataTable[[#This Row],[Valor]])</f>
        <v>54.266141732283458</v>
      </c>
      <c r="W557" s="3">
        <f t="shared" si="148"/>
        <v>2</v>
      </c>
      <c r="X557" s="3">
        <f>IF(DataTable[[#This Row],[Valor]]&gt;1,1,1)</f>
        <v>1</v>
      </c>
      <c r="Y557" s="3">
        <f t="shared" si="149"/>
        <v>2</v>
      </c>
      <c r="Z557" s="3">
        <f>IF(AND(DataTable[[#This Row],[Sentido]]="URUGUAI para BRASIL",DataTable[[#This Row],[Valor]]&gt;350),1,0)</f>
        <v>0</v>
      </c>
      <c r="AA557" s="3">
        <f>IF(DataTable[[#This Row],[Valor]]&gt;1,0,0)</f>
        <v>0</v>
      </c>
    </row>
    <row r="558" spans="1:27" x14ac:dyDescent="0.25">
      <c r="A558" s="2" t="s">
        <v>18</v>
      </c>
      <c r="B558" s="2">
        <v>149</v>
      </c>
      <c r="C558" s="3">
        <f t="shared" si="135"/>
        <v>72.83</v>
      </c>
      <c r="D558" s="3">
        <f t="shared" si="136"/>
        <v>87.65</v>
      </c>
      <c r="E558" s="3">
        <f t="shared" si="137"/>
        <v>83.75</v>
      </c>
      <c r="F558" s="3">
        <f t="shared" si="138"/>
        <v>53.08</v>
      </c>
      <c r="G558" s="3">
        <f t="shared" si="139"/>
        <v>127.12</v>
      </c>
      <c r="H558" s="3">
        <f t="shared" si="140"/>
        <v>127.12</v>
      </c>
      <c r="I558" s="3"/>
      <c r="J558" s="3">
        <f t="shared" si="141"/>
        <v>79.849999999999994</v>
      </c>
      <c r="K558" s="3">
        <f t="shared" si="142"/>
        <v>87.65</v>
      </c>
      <c r="L558" s="34">
        <f t="shared" si="143"/>
        <v>83.75</v>
      </c>
      <c r="M558" s="3">
        <f t="shared" si="144"/>
        <v>-59.6</v>
      </c>
      <c r="N558" s="3">
        <f t="shared" si="145"/>
        <v>120.2</v>
      </c>
      <c r="O558" s="3"/>
      <c r="P558" s="3">
        <f t="shared" si="146"/>
        <v>73.019269291338588</v>
      </c>
      <c r="Q558" s="3">
        <f t="shared" si="147"/>
        <v>109.8176</v>
      </c>
      <c r="R558" s="3">
        <f>vd(DataTable[[#This Row],[Sentido]],DataTable[[#This Row],[Valor]])</f>
        <v>81.900787401574803</v>
      </c>
      <c r="S558" s="3">
        <f>IF(DataTable[[#This Row],[Valor]]&gt;1,1,1)</f>
        <v>1</v>
      </c>
      <c r="T558" s="3">
        <f>IF(DataTable[[#This Row],[Valor]]&gt;1,1,1)</f>
        <v>1</v>
      </c>
      <c r="U558" s="3">
        <f>angr(DataTable[[#This Row],[Sentido]],DataTable[[#This Row],[Valor]])</f>
        <v>53.88267716535433</v>
      </c>
      <c r="V558" s="3">
        <f>ANGI(DataTable[[#This Row],[Sentido]],DataTable[[#This Row],[Valor]])</f>
        <v>54.069291338582673</v>
      </c>
      <c r="W558" s="3">
        <f t="shared" si="148"/>
        <v>2</v>
      </c>
      <c r="X558" s="3">
        <f>IF(DataTable[[#This Row],[Valor]]&gt;1,1,1)</f>
        <v>1</v>
      </c>
      <c r="Y558" s="3">
        <f t="shared" si="149"/>
        <v>2</v>
      </c>
      <c r="Z558" s="3">
        <f>IF(AND(DataTable[[#This Row],[Sentido]]="URUGUAI para BRASIL",DataTable[[#This Row],[Valor]]&gt;350),1,0)</f>
        <v>0</v>
      </c>
      <c r="AA558" s="3">
        <f>IF(DataTable[[#This Row],[Valor]]&gt;1,0,0)</f>
        <v>0</v>
      </c>
    </row>
    <row r="559" spans="1:27" x14ac:dyDescent="0.25">
      <c r="A559" s="2" t="s">
        <v>18</v>
      </c>
      <c r="B559" s="2">
        <v>150</v>
      </c>
      <c r="C559" s="3">
        <f t="shared" si="135"/>
        <v>72.83</v>
      </c>
      <c r="D559" s="3">
        <f t="shared" si="136"/>
        <v>87.65</v>
      </c>
      <c r="E559" s="3">
        <f t="shared" si="137"/>
        <v>83.75</v>
      </c>
      <c r="F559" s="3">
        <f t="shared" si="138"/>
        <v>53</v>
      </c>
      <c r="G559" s="3">
        <f t="shared" si="139"/>
        <v>127</v>
      </c>
      <c r="H559" s="3">
        <f t="shared" si="140"/>
        <v>127</v>
      </c>
      <c r="I559" s="3"/>
      <c r="J559" s="3">
        <f t="shared" si="141"/>
        <v>79.849999999999994</v>
      </c>
      <c r="K559" s="3">
        <f t="shared" si="142"/>
        <v>87.65</v>
      </c>
      <c r="L559" s="34">
        <f t="shared" si="143"/>
        <v>83.75</v>
      </c>
      <c r="M559" s="3">
        <f t="shared" si="144"/>
        <v>-60</v>
      </c>
      <c r="N559" s="3">
        <f t="shared" si="145"/>
        <v>120</v>
      </c>
      <c r="O559" s="3"/>
      <c r="P559" s="3">
        <f t="shared" si="146"/>
        <v>73.358072440944881</v>
      </c>
      <c r="Q559" s="3">
        <f t="shared" si="147"/>
        <v>109.8176</v>
      </c>
      <c r="R559" s="3">
        <f>vd(DataTable[[#This Row],[Sentido]],DataTable[[#This Row],[Valor]])</f>
        <v>82.34173228346458</v>
      </c>
      <c r="S559" s="3">
        <f>IF(DataTable[[#This Row],[Valor]]&gt;1,1,1)</f>
        <v>1</v>
      </c>
      <c r="T559" s="3">
        <f>IF(DataTable[[#This Row],[Valor]]&gt;1,1,1)</f>
        <v>1</v>
      </c>
      <c r="U559" s="3">
        <f>angr(DataTable[[#This Row],[Sentido]],DataTable[[#This Row],[Valor]])</f>
        <v>53.68188976377953</v>
      </c>
      <c r="V559" s="3">
        <f>ANGI(DataTable[[#This Row],[Sentido]],DataTable[[#This Row],[Valor]])</f>
        <v>53.872440944881888</v>
      </c>
      <c r="W559" s="3">
        <f t="shared" si="148"/>
        <v>2</v>
      </c>
      <c r="X559" s="3">
        <f>IF(DataTable[[#This Row],[Valor]]&gt;1,1,1)</f>
        <v>1</v>
      </c>
      <c r="Y559" s="3">
        <f t="shared" si="149"/>
        <v>2</v>
      </c>
      <c r="Z559" s="3">
        <f>IF(AND(DataTable[[#This Row],[Sentido]]="URUGUAI para BRASIL",DataTable[[#This Row],[Valor]]&gt;350),1,0)</f>
        <v>0</v>
      </c>
      <c r="AA559" s="3">
        <f>IF(DataTable[[#This Row],[Valor]]&gt;1,0,0)</f>
        <v>0</v>
      </c>
    </row>
    <row r="560" spans="1:27" x14ac:dyDescent="0.25">
      <c r="A560" s="2" t="s">
        <v>18</v>
      </c>
      <c r="B560" s="2">
        <v>151</v>
      </c>
      <c r="C560" s="3">
        <f t="shared" si="135"/>
        <v>72.83</v>
      </c>
      <c r="D560" s="3">
        <f t="shared" si="136"/>
        <v>87.65</v>
      </c>
      <c r="E560" s="3">
        <f t="shared" si="137"/>
        <v>83.75</v>
      </c>
      <c r="F560" s="3">
        <f t="shared" si="138"/>
        <v>52.92</v>
      </c>
      <c r="G560" s="3">
        <f t="shared" si="139"/>
        <v>126.88</v>
      </c>
      <c r="H560" s="3">
        <f t="shared" si="140"/>
        <v>126.88</v>
      </c>
      <c r="I560" s="3"/>
      <c r="J560" s="3">
        <f t="shared" si="141"/>
        <v>79.849999999999994</v>
      </c>
      <c r="K560" s="3">
        <f t="shared" si="142"/>
        <v>87.65</v>
      </c>
      <c r="L560" s="34">
        <f t="shared" si="143"/>
        <v>83.75</v>
      </c>
      <c r="M560" s="3">
        <f t="shared" si="144"/>
        <v>-60.400000000000006</v>
      </c>
      <c r="N560" s="3">
        <f t="shared" si="145"/>
        <v>119.8</v>
      </c>
      <c r="O560" s="3"/>
      <c r="P560" s="3">
        <f t="shared" si="146"/>
        <v>73.696875590551187</v>
      </c>
      <c r="Q560" s="3">
        <f t="shared" si="147"/>
        <v>109.8176</v>
      </c>
      <c r="R560" s="3">
        <f>vd(DataTable[[#This Row],[Sentido]],DataTable[[#This Row],[Valor]])</f>
        <v>82.782677165354329</v>
      </c>
      <c r="S560" s="3">
        <f>IF(DataTable[[#This Row],[Valor]]&gt;1,1,1)</f>
        <v>1</v>
      </c>
      <c r="T560" s="3">
        <f>IF(DataTable[[#This Row],[Valor]]&gt;1,1,1)</f>
        <v>1</v>
      </c>
      <c r="U560" s="3">
        <f>angr(DataTable[[#This Row],[Sentido]],DataTable[[#This Row],[Valor]])</f>
        <v>53.48110236220473</v>
      </c>
      <c r="V560" s="3">
        <f>ANGI(DataTable[[#This Row],[Sentido]],DataTable[[#This Row],[Valor]])</f>
        <v>53.675590551181102</v>
      </c>
      <c r="W560" s="3">
        <f t="shared" si="148"/>
        <v>2</v>
      </c>
      <c r="X560" s="3">
        <f>IF(DataTable[[#This Row],[Valor]]&gt;1,1,1)</f>
        <v>1</v>
      </c>
      <c r="Y560" s="3">
        <f t="shared" si="149"/>
        <v>2</v>
      </c>
      <c r="Z560" s="3">
        <f>IF(AND(DataTable[[#This Row],[Sentido]]="URUGUAI para BRASIL",DataTable[[#This Row],[Valor]]&gt;350),1,0)</f>
        <v>0</v>
      </c>
      <c r="AA560" s="3">
        <f>IF(DataTable[[#This Row],[Valor]]&gt;1,0,0)</f>
        <v>0</v>
      </c>
    </row>
    <row r="561" spans="1:27" x14ac:dyDescent="0.25">
      <c r="A561" s="2" t="s">
        <v>18</v>
      </c>
      <c r="B561" s="2">
        <v>152</v>
      </c>
      <c r="C561" s="3">
        <f t="shared" si="135"/>
        <v>72.83</v>
      </c>
      <c r="D561" s="3">
        <f t="shared" si="136"/>
        <v>87.65</v>
      </c>
      <c r="E561" s="3">
        <f t="shared" si="137"/>
        <v>83.75</v>
      </c>
      <c r="F561" s="3">
        <f t="shared" si="138"/>
        <v>52.84</v>
      </c>
      <c r="G561" s="3">
        <f t="shared" si="139"/>
        <v>126.75999999999999</v>
      </c>
      <c r="H561" s="3">
        <f t="shared" si="140"/>
        <v>126.75999999999999</v>
      </c>
      <c r="I561" s="3"/>
      <c r="J561" s="3">
        <f t="shared" si="141"/>
        <v>79.849999999999994</v>
      </c>
      <c r="K561" s="3">
        <f t="shared" si="142"/>
        <v>87.65</v>
      </c>
      <c r="L561" s="34">
        <f t="shared" si="143"/>
        <v>83.75</v>
      </c>
      <c r="M561" s="3">
        <f t="shared" si="144"/>
        <v>-60.800000000000004</v>
      </c>
      <c r="N561" s="3">
        <f t="shared" si="145"/>
        <v>119.6</v>
      </c>
      <c r="O561" s="3"/>
      <c r="P561" s="3">
        <f t="shared" si="146"/>
        <v>74.035678740157479</v>
      </c>
      <c r="Q561" s="3">
        <f t="shared" si="147"/>
        <v>109.8176</v>
      </c>
      <c r="R561" s="3">
        <f>vd(DataTable[[#This Row],[Sentido]],DataTable[[#This Row],[Valor]])</f>
        <v>83.223622047244106</v>
      </c>
      <c r="S561" s="3">
        <f>IF(DataTable[[#This Row],[Valor]]&gt;1,1,1)</f>
        <v>1</v>
      </c>
      <c r="T561" s="3">
        <f>IF(DataTable[[#This Row],[Valor]]&gt;1,1,1)</f>
        <v>1</v>
      </c>
      <c r="U561" s="3">
        <f>angr(DataTable[[#This Row],[Sentido]],DataTable[[#This Row],[Valor]])</f>
        <v>53.280314960629923</v>
      </c>
      <c r="V561" s="3">
        <f>ANGI(DataTable[[#This Row],[Sentido]],DataTable[[#This Row],[Valor]])</f>
        <v>53.478740157480317</v>
      </c>
      <c r="W561" s="3">
        <f t="shared" si="148"/>
        <v>2</v>
      </c>
      <c r="X561" s="3">
        <f>IF(DataTable[[#This Row],[Valor]]&gt;1,1,1)</f>
        <v>1</v>
      </c>
      <c r="Y561" s="3">
        <f t="shared" si="149"/>
        <v>2</v>
      </c>
      <c r="Z561" s="3">
        <f>IF(AND(DataTable[[#This Row],[Sentido]]="URUGUAI para BRASIL",DataTable[[#This Row],[Valor]]&gt;350),1,0)</f>
        <v>0</v>
      </c>
      <c r="AA561" s="3">
        <f>IF(DataTable[[#This Row],[Valor]]&gt;1,0,0)</f>
        <v>0</v>
      </c>
    </row>
    <row r="562" spans="1:27" x14ac:dyDescent="0.25">
      <c r="A562" s="2" t="s">
        <v>18</v>
      </c>
      <c r="B562" s="2">
        <v>153</v>
      </c>
      <c r="C562" s="3">
        <f t="shared" si="135"/>
        <v>72.83</v>
      </c>
      <c r="D562" s="3">
        <f t="shared" si="136"/>
        <v>87.65</v>
      </c>
      <c r="E562" s="3">
        <f t="shared" si="137"/>
        <v>83.75</v>
      </c>
      <c r="F562" s="3">
        <f t="shared" si="138"/>
        <v>52.76</v>
      </c>
      <c r="G562" s="3">
        <f t="shared" si="139"/>
        <v>126.64</v>
      </c>
      <c r="H562" s="3">
        <f t="shared" si="140"/>
        <v>126.64</v>
      </c>
      <c r="I562" s="3"/>
      <c r="J562" s="3">
        <f t="shared" si="141"/>
        <v>79.849999999999994</v>
      </c>
      <c r="K562" s="3">
        <f t="shared" si="142"/>
        <v>87.65</v>
      </c>
      <c r="L562" s="34">
        <f t="shared" si="143"/>
        <v>83.75</v>
      </c>
      <c r="M562" s="3">
        <f t="shared" si="144"/>
        <v>-61.2</v>
      </c>
      <c r="N562" s="3">
        <f t="shared" si="145"/>
        <v>119.39999999999999</v>
      </c>
      <c r="O562" s="3"/>
      <c r="P562" s="3">
        <f t="shared" si="146"/>
        <v>74.374481889763786</v>
      </c>
      <c r="Q562" s="3">
        <f t="shared" si="147"/>
        <v>109.8176</v>
      </c>
      <c r="R562" s="3">
        <f>vd(DataTable[[#This Row],[Sentido]],DataTable[[#This Row],[Valor]])</f>
        <v>83.645669291338592</v>
      </c>
      <c r="S562" s="3">
        <f>IF(DataTable[[#This Row],[Valor]]&gt;1,1,1)</f>
        <v>1</v>
      </c>
      <c r="T562" s="3">
        <f>IF(DataTable[[#This Row],[Valor]]&gt;1,1,1)</f>
        <v>1</v>
      </c>
      <c r="U562" s="3">
        <f>angr(DataTable[[#This Row],[Sentido]],DataTable[[#This Row],[Valor]])</f>
        <v>53.079527559055123</v>
      </c>
      <c r="V562" s="3">
        <f>ANGI(DataTable[[#This Row],[Sentido]],DataTable[[#This Row],[Valor]])</f>
        <v>53.279527559055119</v>
      </c>
      <c r="W562" s="3">
        <f t="shared" si="148"/>
        <v>2</v>
      </c>
      <c r="X562" s="3">
        <f>IF(DataTable[[#This Row],[Valor]]&gt;1,1,1)</f>
        <v>1</v>
      </c>
      <c r="Y562" s="3">
        <f t="shared" si="149"/>
        <v>2</v>
      </c>
      <c r="Z562" s="3">
        <f>IF(AND(DataTable[[#This Row],[Sentido]]="URUGUAI para BRASIL",DataTable[[#This Row],[Valor]]&gt;350),1,0)</f>
        <v>0</v>
      </c>
      <c r="AA562" s="3">
        <f>IF(DataTable[[#This Row],[Valor]]&gt;1,0,0)</f>
        <v>0</v>
      </c>
    </row>
    <row r="563" spans="1:27" x14ac:dyDescent="0.25">
      <c r="A563" s="2" t="s">
        <v>18</v>
      </c>
      <c r="B563" s="2">
        <v>154</v>
      </c>
      <c r="C563" s="3">
        <f t="shared" si="135"/>
        <v>72.83</v>
      </c>
      <c r="D563" s="3">
        <f t="shared" si="136"/>
        <v>87.65</v>
      </c>
      <c r="E563" s="3">
        <f t="shared" si="137"/>
        <v>83.75</v>
      </c>
      <c r="F563" s="3">
        <f t="shared" si="138"/>
        <v>52.68</v>
      </c>
      <c r="G563" s="3">
        <f t="shared" si="139"/>
        <v>126.52000000000001</v>
      </c>
      <c r="H563" s="3">
        <f t="shared" si="140"/>
        <v>126.52000000000001</v>
      </c>
      <c r="I563" s="3"/>
      <c r="J563" s="3">
        <f t="shared" si="141"/>
        <v>79.849999999999994</v>
      </c>
      <c r="K563" s="3">
        <f t="shared" si="142"/>
        <v>87.65</v>
      </c>
      <c r="L563" s="34">
        <f t="shared" si="143"/>
        <v>83.75</v>
      </c>
      <c r="M563" s="3">
        <f t="shared" si="144"/>
        <v>-61.6</v>
      </c>
      <c r="N563" s="3">
        <f t="shared" si="145"/>
        <v>119.2</v>
      </c>
      <c r="O563" s="3"/>
      <c r="P563" s="3">
        <f t="shared" si="146"/>
        <v>74.713285039370078</v>
      </c>
      <c r="Q563" s="3">
        <f t="shared" si="147"/>
        <v>109.8176</v>
      </c>
      <c r="R563" s="3">
        <f>vd(DataTable[[#This Row],[Sentido]],DataTable[[#This Row],[Valor]])</f>
        <v>84.055118110236222</v>
      </c>
      <c r="S563" s="3">
        <f>IF(DataTable[[#This Row],[Valor]]&gt;1,1,1)</f>
        <v>1</v>
      </c>
      <c r="T563" s="3">
        <f>IF(DataTable[[#This Row],[Valor]]&gt;1,1,1)</f>
        <v>1</v>
      </c>
      <c r="U563" s="3">
        <f>angr(DataTable[[#This Row],[Sentido]],DataTable[[#This Row],[Valor]])</f>
        <v>52.878740157480316</v>
      </c>
      <c r="V563" s="3">
        <f>ANGI(DataTable[[#This Row],[Sentido]],DataTable[[#This Row],[Valor]])</f>
        <v>53.078740157480311</v>
      </c>
      <c r="W563" s="3">
        <f t="shared" si="148"/>
        <v>2</v>
      </c>
      <c r="X563" s="3">
        <f>IF(DataTable[[#This Row],[Valor]]&gt;1,1,1)</f>
        <v>1</v>
      </c>
      <c r="Y563" s="3">
        <f t="shared" si="149"/>
        <v>2</v>
      </c>
      <c r="Z563" s="3">
        <f>IF(AND(DataTable[[#This Row],[Sentido]]="URUGUAI para BRASIL",DataTable[[#This Row],[Valor]]&gt;350),1,0)</f>
        <v>0</v>
      </c>
      <c r="AA563" s="3">
        <f>IF(DataTable[[#This Row],[Valor]]&gt;1,0,0)</f>
        <v>0</v>
      </c>
    </row>
    <row r="564" spans="1:27" x14ac:dyDescent="0.25">
      <c r="A564" s="2" t="s">
        <v>18</v>
      </c>
      <c r="B564" s="2">
        <v>155</v>
      </c>
      <c r="C564" s="3">
        <f t="shared" si="135"/>
        <v>72.83</v>
      </c>
      <c r="D564" s="3">
        <f t="shared" si="136"/>
        <v>87.65</v>
      </c>
      <c r="E564" s="3">
        <f t="shared" si="137"/>
        <v>83.75</v>
      </c>
      <c r="F564" s="3">
        <f t="shared" si="138"/>
        <v>52.6</v>
      </c>
      <c r="G564" s="3">
        <f t="shared" si="139"/>
        <v>126.4</v>
      </c>
      <c r="H564" s="3">
        <f t="shared" si="140"/>
        <v>126.4</v>
      </c>
      <c r="I564" s="3"/>
      <c r="J564" s="3">
        <f t="shared" si="141"/>
        <v>79.849999999999994</v>
      </c>
      <c r="K564" s="3">
        <f t="shared" si="142"/>
        <v>87.65</v>
      </c>
      <c r="L564" s="34">
        <f t="shared" si="143"/>
        <v>83.75</v>
      </c>
      <c r="M564" s="3">
        <f t="shared" si="144"/>
        <v>-62</v>
      </c>
      <c r="N564" s="3">
        <f t="shared" si="145"/>
        <v>119</v>
      </c>
      <c r="O564" s="3"/>
      <c r="P564" s="3">
        <f t="shared" si="146"/>
        <v>75.052088188976384</v>
      </c>
      <c r="Q564" s="3">
        <f t="shared" si="147"/>
        <v>109.8176</v>
      </c>
      <c r="R564" s="3">
        <f>vd(DataTable[[#This Row],[Sentido]],DataTable[[#This Row],[Valor]])</f>
        <v>84.464566929133866</v>
      </c>
      <c r="S564" s="3">
        <f>IF(DataTable[[#This Row],[Valor]]&gt;1,1,1)</f>
        <v>1</v>
      </c>
      <c r="T564" s="3">
        <f>IF(DataTable[[#This Row],[Valor]]&gt;1,1,1)</f>
        <v>1</v>
      </c>
      <c r="U564" s="3">
        <f>angr(DataTable[[#This Row],[Sentido]],DataTable[[#This Row],[Valor]])</f>
        <v>52.677952755905515</v>
      </c>
      <c r="V564" s="3">
        <f>ANGI(DataTable[[#This Row],[Sentido]],DataTable[[#This Row],[Valor]])</f>
        <v>52.877952755905511</v>
      </c>
      <c r="W564" s="3">
        <f t="shared" si="148"/>
        <v>2</v>
      </c>
      <c r="X564" s="3">
        <f>IF(DataTable[[#This Row],[Valor]]&gt;1,1,1)</f>
        <v>1</v>
      </c>
      <c r="Y564" s="3">
        <f t="shared" si="149"/>
        <v>2</v>
      </c>
      <c r="Z564" s="3">
        <f>IF(AND(DataTable[[#This Row],[Sentido]]="URUGUAI para BRASIL",DataTable[[#This Row],[Valor]]&gt;350),1,0)</f>
        <v>0</v>
      </c>
      <c r="AA564" s="3">
        <f>IF(DataTable[[#This Row],[Valor]]&gt;1,0,0)</f>
        <v>0</v>
      </c>
    </row>
    <row r="565" spans="1:27" x14ac:dyDescent="0.25">
      <c r="A565" s="2" t="s">
        <v>18</v>
      </c>
      <c r="B565" s="2">
        <v>156</v>
      </c>
      <c r="C565" s="3">
        <f t="shared" si="135"/>
        <v>72.83</v>
      </c>
      <c r="D565" s="3">
        <f t="shared" si="136"/>
        <v>87.65</v>
      </c>
      <c r="E565" s="3">
        <f t="shared" si="137"/>
        <v>83.75</v>
      </c>
      <c r="F565" s="3">
        <f t="shared" si="138"/>
        <v>52.519999999999996</v>
      </c>
      <c r="G565" s="3">
        <f t="shared" si="139"/>
        <v>126.28</v>
      </c>
      <c r="H565" s="3">
        <f t="shared" si="140"/>
        <v>126.28</v>
      </c>
      <c r="I565" s="3"/>
      <c r="J565" s="3">
        <f t="shared" si="141"/>
        <v>79.849999999999994</v>
      </c>
      <c r="K565" s="3">
        <f t="shared" si="142"/>
        <v>87.65</v>
      </c>
      <c r="L565" s="34">
        <f t="shared" si="143"/>
        <v>83.75</v>
      </c>
      <c r="M565" s="3">
        <f t="shared" si="144"/>
        <v>-62.400000000000006</v>
      </c>
      <c r="N565" s="3">
        <f t="shared" si="145"/>
        <v>118.8</v>
      </c>
      <c r="O565" s="3"/>
      <c r="P565" s="3">
        <f t="shared" si="146"/>
        <v>75.390891338582691</v>
      </c>
      <c r="Q565" s="3">
        <f t="shared" si="147"/>
        <v>109.8176</v>
      </c>
      <c r="R565" s="3">
        <f>vd(DataTable[[#This Row],[Sentido]],DataTable[[#This Row],[Valor]])</f>
        <v>84.874015748031496</v>
      </c>
      <c r="S565" s="3">
        <f>IF(DataTable[[#This Row],[Valor]]&gt;1,1,1)</f>
        <v>1</v>
      </c>
      <c r="T565" s="3">
        <f>IF(DataTable[[#This Row],[Valor]]&gt;1,1,1)</f>
        <v>1</v>
      </c>
      <c r="U565" s="3">
        <f>angr(DataTable[[#This Row],[Sentido]],DataTable[[#This Row],[Valor]])</f>
        <v>52.477165354330715</v>
      </c>
      <c r="V565" s="3">
        <f>ANGI(DataTable[[#This Row],[Sentido]],DataTable[[#This Row],[Valor]])</f>
        <v>52.677165354330711</v>
      </c>
      <c r="W565" s="3">
        <f t="shared" si="148"/>
        <v>2</v>
      </c>
      <c r="X565" s="3">
        <f>IF(DataTable[[#This Row],[Valor]]&gt;1,1,1)</f>
        <v>1</v>
      </c>
      <c r="Y565" s="3">
        <f t="shared" si="149"/>
        <v>2</v>
      </c>
      <c r="Z565" s="3">
        <f>IF(AND(DataTable[[#This Row],[Sentido]]="URUGUAI para BRASIL",DataTable[[#This Row],[Valor]]&gt;350),1,0)</f>
        <v>0</v>
      </c>
      <c r="AA565" s="3">
        <f>IF(DataTable[[#This Row],[Valor]]&gt;1,0,0)</f>
        <v>0</v>
      </c>
    </row>
    <row r="566" spans="1:27" x14ac:dyDescent="0.25">
      <c r="A566" s="2" t="s">
        <v>18</v>
      </c>
      <c r="B566" s="2">
        <v>157</v>
      </c>
      <c r="C566" s="3">
        <f t="shared" si="135"/>
        <v>72.83</v>
      </c>
      <c r="D566" s="3">
        <f t="shared" si="136"/>
        <v>87.65</v>
      </c>
      <c r="E566" s="3">
        <f t="shared" si="137"/>
        <v>83.75</v>
      </c>
      <c r="F566" s="3">
        <f t="shared" si="138"/>
        <v>52.44</v>
      </c>
      <c r="G566" s="3">
        <f t="shared" si="139"/>
        <v>126.16</v>
      </c>
      <c r="H566" s="3">
        <f t="shared" si="140"/>
        <v>126.16</v>
      </c>
      <c r="I566" s="3"/>
      <c r="J566" s="3">
        <f t="shared" si="141"/>
        <v>79.849999999999994</v>
      </c>
      <c r="K566" s="3">
        <f t="shared" si="142"/>
        <v>87.65</v>
      </c>
      <c r="L566" s="34">
        <f t="shared" si="143"/>
        <v>83.75</v>
      </c>
      <c r="M566" s="3">
        <f t="shared" si="144"/>
        <v>-62.800000000000004</v>
      </c>
      <c r="N566" s="3">
        <f t="shared" si="145"/>
        <v>118.6</v>
      </c>
      <c r="O566" s="3"/>
      <c r="P566" s="3">
        <f t="shared" si="146"/>
        <v>75.729694488188983</v>
      </c>
      <c r="Q566" s="3">
        <f t="shared" si="147"/>
        <v>109.8176</v>
      </c>
      <c r="R566" s="3">
        <f>vd(DataTable[[#This Row],[Sentido]],DataTable[[#This Row],[Valor]])</f>
        <v>85.28346456692914</v>
      </c>
      <c r="S566" s="3">
        <f>IF(DataTable[[#This Row],[Valor]]&gt;1,1,1)</f>
        <v>1</v>
      </c>
      <c r="T566" s="3">
        <f>IF(DataTable[[#This Row],[Valor]]&gt;1,1,1)</f>
        <v>1</v>
      </c>
      <c r="U566" s="3">
        <f>angr(DataTable[[#This Row],[Sentido]],DataTable[[#This Row],[Valor]])</f>
        <v>52.276377952755908</v>
      </c>
      <c r="V566" s="3">
        <f>ANGI(DataTable[[#This Row],[Sentido]],DataTable[[#This Row],[Valor]])</f>
        <v>52.476377952755904</v>
      </c>
      <c r="W566" s="3">
        <f t="shared" si="148"/>
        <v>2</v>
      </c>
      <c r="X566" s="3">
        <f>IF(DataTable[[#This Row],[Valor]]&gt;1,1,1)</f>
        <v>1</v>
      </c>
      <c r="Y566" s="3">
        <f t="shared" si="149"/>
        <v>2</v>
      </c>
      <c r="Z566" s="3">
        <f>IF(AND(DataTable[[#This Row],[Sentido]]="URUGUAI para BRASIL",DataTable[[#This Row],[Valor]]&gt;350),1,0)</f>
        <v>0</v>
      </c>
      <c r="AA566" s="3">
        <f>IF(DataTable[[#This Row],[Valor]]&gt;1,0,0)</f>
        <v>0</v>
      </c>
    </row>
    <row r="567" spans="1:27" x14ac:dyDescent="0.25">
      <c r="A567" s="2" t="s">
        <v>18</v>
      </c>
      <c r="B567" s="2">
        <v>158</v>
      </c>
      <c r="C567" s="3">
        <f t="shared" si="135"/>
        <v>72.83</v>
      </c>
      <c r="D567" s="3">
        <f t="shared" si="136"/>
        <v>87.65</v>
      </c>
      <c r="E567" s="3">
        <f t="shared" si="137"/>
        <v>83.75</v>
      </c>
      <c r="F567" s="3">
        <f t="shared" si="138"/>
        <v>52.36</v>
      </c>
      <c r="G567" s="3">
        <f t="shared" si="139"/>
        <v>126.03999999999999</v>
      </c>
      <c r="H567" s="3">
        <f t="shared" si="140"/>
        <v>126.03999999999999</v>
      </c>
      <c r="I567" s="3"/>
      <c r="J567" s="3">
        <f t="shared" si="141"/>
        <v>79.849999999999994</v>
      </c>
      <c r="K567" s="3">
        <f t="shared" si="142"/>
        <v>87.65</v>
      </c>
      <c r="L567" s="34">
        <f t="shared" si="143"/>
        <v>83.75</v>
      </c>
      <c r="M567" s="3">
        <f t="shared" si="144"/>
        <v>-63.2</v>
      </c>
      <c r="N567" s="3">
        <f t="shared" si="145"/>
        <v>118.39999999999999</v>
      </c>
      <c r="O567" s="3"/>
      <c r="P567" s="3">
        <f t="shared" si="146"/>
        <v>76.068497637795275</v>
      </c>
      <c r="Q567" s="3">
        <f t="shared" si="147"/>
        <v>109.8176</v>
      </c>
      <c r="R567" s="3">
        <f>vd(DataTable[[#This Row],[Sentido]],DataTable[[#This Row],[Valor]])</f>
        <v>85.692913385826785</v>
      </c>
      <c r="S567" s="3">
        <f>IF(DataTable[[#This Row],[Valor]]&gt;1,1,1)</f>
        <v>1</v>
      </c>
      <c r="T567" s="3">
        <f>IF(DataTable[[#This Row],[Valor]]&gt;1,1,1)</f>
        <v>1</v>
      </c>
      <c r="U567" s="3">
        <f>angr(DataTable[[#This Row],[Sentido]],DataTable[[#This Row],[Valor]])</f>
        <v>52.075590551181101</v>
      </c>
      <c r="V567" s="3">
        <f>ANGI(DataTable[[#This Row],[Sentido]],DataTable[[#This Row],[Valor]])</f>
        <v>52.275590551181097</v>
      </c>
      <c r="W567" s="3">
        <f t="shared" si="148"/>
        <v>2</v>
      </c>
      <c r="X567" s="3">
        <f>IF(DataTable[[#This Row],[Valor]]&gt;1,1,1)</f>
        <v>1</v>
      </c>
      <c r="Y567" s="3">
        <f t="shared" si="149"/>
        <v>2</v>
      </c>
      <c r="Z567" s="3">
        <f>IF(AND(DataTable[[#This Row],[Sentido]]="URUGUAI para BRASIL",DataTable[[#This Row],[Valor]]&gt;350),1,0)</f>
        <v>0</v>
      </c>
      <c r="AA567" s="3">
        <f>IF(DataTable[[#This Row],[Valor]]&gt;1,0,0)</f>
        <v>0</v>
      </c>
    </row>
    <row r="568" spans="1:27" x14ac:dyDescent="0.25">
      <c r="A568" s="2" t="s">
        <v>18</v>
      </c>
      <c r="B568" s="2">
        <v>159</v>
      </c>
      <c r="C568" s="3">
        <f t="shared" si="135"/>
        <v>72.83</v>
      </c>
      <c r="D568" s="3">
        <f t="shared" si="136"/>
        <v>87.65</v>
      </c>
      <c r="E568" s="3">
        <f t="shared" si="137"/>
        <v>83.75</v>
      </c>
      <c r="F568" s="3">
        <f t="shared" si="138"/>
        <v>52.28</v>
      </c>
      <c r="G568" s="3">
        <f t="shared" si="139"/>
        <v>125.92</v>
      </c>
      <c r="H568" s="3">
        <f t="shared" si="140"/>
        <v>125.92</v>
      </c>
      <c r="I568" s="3"/>
      <c r="J568" s="3">
        <f t="shared" si="141"/>
        <v>79.849999999999994</v>
      </c>
      <c r="K568" s="3">
        <f t="shared" si="142"/>
        <v>87.65</v>
      </c>
      <c r="L568" s="34">
        <f t="shared" si="143"/>
        <v>83.75</v>
      </c>
      <c r="M568" s="3">
        <f t="shared" si="144"/>
        <v>-63.6</v>
      </c>
      <c r="N568" s="3">
        <f t="shared" si="145"/>
        <v>118.2</v>
      </c>
      <c r="O568" s="3"/>
      <c r="P568" s="3">
        <f t="shared" si="146"/>
        <v>76.407300787401581</v>
      </c>
      <c r="Q568" s="3">
        <f t="shared" si="147"/>
        <v>109.8176</v>
      </c>
      <c r="R568" s="3">
        <f>vd(DataTable[[#This Row],[Sentido]],DataTable[[#This Row],[Valor]])</f>
        <v>86.102362204724415</v>
      </c>
      <c r="S568" s="3">
        <f>IF(DataTable[[#This Row],[Valor]]&gt;1,1,1)</f>
        <v>1</v>
      </c>
      <c r="T568" s="3">
        <f>IF(DataTable[[#This Row],[Valor]]&gt;1,1,1)</f>
        <v>1</v>
      </c>
      <c r="U568" s="3">
        <f>angr(DataTable[[#This Row],[Sentido]],DataTable[[#This Row],[Valor]])</f>
        <v>51.874803149606301</v>
      </c>
      <c r="V568" s="3">
        <f>ANGI(DataTable[[#This Row],[Sentido]],DataTable[[#This Row],[Valor]])</f>
        <v>52.074803149606296</v>
      </c>
      <c r="W568" s="3">
        <f t="shared" si="148"/>
        <v>2</v>
      </c>
      <c r="X568" s="3">
        <f>IF(DataTable[[#This Row],[Valor]]&gt;1,1,1)</f>
        <v>1</v>
      </c>
      <c r="Y568" s="3">
        <f t="shared" si="149"/>
        <v>2</v>
      </c>
      <c r="Z568" s="3">
        <f>IF(AND(DataTable[[#This Row],[Sentido]]="URUGUAI para BRASIL",DataTable[[#This Row],[Valor]]&gt;350),1,0)</f>
        <v>0</v>
      </c>
      <c r="AA568" s="3">
        <f>IF(DataTable[[#This Row],[Valor]]&gt;1,0,0)</f>
        <v>0</v>
      </c>
    </row>
    <row r="569" spans="1:27" x14ac:dyDescent="0.25">
      <c r="A569" s="2" t="s">
        <v>18</v>
      </c>
      <c r="B569" s="2">
        <v>160</v>
      </c>
      <c r="C569" s="3">
        <f t="shared" si="135"/>
        <v>72.83</v>
      </c>
      <c r="D569" s="3">
        <f t="shared" si="136"/>
        <v>87.65</v>
      </c>
      <c r="E569" s="3">
        <f t="shared" si="137"/>
        <v>83.75</v>
      </c>
      <c r="F569" s="3">
        <f t="shared" si="138"/>
        <v>52.2</v>
      </c>
      <c r="G569" s="3">
        <f t="shared" si="139"/>
        <v>125.8</v>
      </c>
      <c r="H569" s="3">
        <f t="shared" si="140"/>
        <v>125.8</v>
      </c>
      <c r="I569" s="3"/>
      <c r="J569" s="3">
        <f t="shared" si="141"/>
        <v>79.849999999999994</v>
      </c>
      <c r="K569" s="3">
        <f t="shared" si="142"/>
        <v>87.65</v>
      </c>
      <c r="L569" s="34">
        <f t="shared" si="143"/>
        <v>83.75</v>
      </c>
      <c r="M569" s="3">
        <f t="shared" si="144"/>
        <v>-64</v>
      </c>
      <c r="N569" s="3">
        <f t="shared" si="145"/>
        <v>118</v>
      </c>
      <c r="O569" s="3"/>
      <c r="P569" s="3">
        <f t="shared" si="146"/>
        <v>76.746103937007874</v>
      </c>
      <c r="Q569" s="3">
        <f t="shared" si="147"/>
        <v>109.8176</v>
      </c>
      <c r="R569" s="3">
        <f>vd(DataTable[[#This Row],[Sentido]],DataTable[[#This Row],[Valor]])</f>
        <v>86.511811023622059</v>
      </c>
      <c r="S569" s="3">
        <f>IF(DataTable[[#This Row],[Valor]]&gt;1,1,1)</f>
        <v>1</v>
      </c>
      <c r="T569" s="3">
        <f>IF(DataTable[[#This Row],[Valor]]&gt;1,1,1)</f>
        <v>1</v>
      </c>
      <c r="U569" s="3">
        <f>angr(DataTable[[#This Row],[Sentido]],DataTable[[#This Row],[Valor]])</f>
        <v>51.674015748031501</v>
      </c>
      <c r="V569" s="3">
        <f>ANGI(DataTable[[#This Row],[Sentido]],DataTable[[#This Row],[Valor]])</f>
        <v>51.874015748031496</v>
      </c>
      <c r="W569" s="3">
        <f t="shared" si="148"/>
        <v>2</v>
      </c>
      <c r="X569" s="3">
        <f>IF(DataTable[[#This Row],[Valor]]&gt;1,1,1)</f>
        <v>1</v>
      </c>
      <c r="Y569" s="3">
        <f t="shared" si="149"/>
        <v>2</v>
      </c>
      <c r="Z569" s="3">
        <f>IF(AND(DataTable[[#This Row],[Sentido]]="URUGUAI para BRASIL",DataTable[[#This Row],[Valor]]&gt;350),1,0)</f>
        <v>0</v>
      </c>
      <c r="AA569" s="3">
        <f>IF(DataTable[[#This Row],[Valor]]&gt;1,0,0)</f>
        <v>0</v>
      </c>
    </row>
    <row r="570" spans="1:27" s="4" customFormat="1" x14ac:dyDescent="0.25">
      <c r="A570" s="2" t="s">
        <v>18</v>
      </c>
      <c r="B570" s="2">
        <v>161</v>
      </c>
      <c r="C570" s="3">
        <f t="shared" si="135"/>
        <v>72.83</v>
      </c>
      <c r="D570" s="3">
        <f t="shared" si="136"/>
        <v>87.65</v>
      </c>
      <c r="E570" s="3">
        <f t="shared" si="137"/>
        <v>83.75</v>
      </c>
      <c r="F570" s="3">
        <f t="shared" si="138"/>
        <v>52.12</v>
      </c>
      <c r="G570" s="3">
        <f t="shared" si="139"/>
        <v>125.68</v>
      </c>
      <c r="H570" s="3">
        <f t="shared" si="140"/>
        <v>125.68</v>
      </c>
      <c r="I570" s="3"/>
      <c r="J570" s="3">
        <f t="shared" si="141"/>
        <v>79.849999999999994</v>
      </c>
      <c r="K570" s="3">
        <f t="shared" si="142"/>
        <v>87.65</v>
      </c>
      <c r="L570" s="34">
        <f t="shared" si="143"/>
        <v>83.75</v>
      </c>
      <c r="M570" s="3">
        <f t="shared" si="144"/>
        <v>-64.400000000000006</v>
      </c>
      <c r="N570" s="3">
        <f t="shared" si="145"/>
        <v>117.8</v>
      </c>
      <c r="O570" s="3"/>
      <c r="P570" s="3">
        <f t="shared" si="146"/>
        <v>77.08490708661418</v>
      </c>
      <c r="Q570" s="3">
        <f t="shared" si="147"/>
        <v>109.8176</v>
      </c>
      <c r="R570" s="3">
        <f>vd(DataTable[[#This Row],[Sentido]],DataTable[[#This Row],[Valor]])</f>
        <v>86.921259842519689</v>
      </c>
      <c r="S570" s="3">
        <f>IF(DataTable[[#This Row],[Valor]]&gt;1,1,1)</f>
        <v>1</v>
      </c>
      <c r="T570" s="3">
        <f>IF(DataTable[[#This Row],[Valor]]&gt;1,1,1)</f>
        <v>1</v>
      </c>
      <c r="U570" s="3">
        <f>angr(DataTable[[#This Row],[Sentido]],DataTable[[#This Row],[Valor]])</f>
        <v>51.473228346456693</v>
      </c>
      <c r="V570" s="3">
        <f>ANGI(DataTable[[#This Row],[Sentido]],DataTable[[#This Row],[Valor]])</f>
        <v>51.673228346456689</v>
      </c>
      <c r="W570" s="3">
        <f t="shared" si="148"/>
        <v>2</v>
      </c>
      <c r="X570" s="3">
        <f>IF(DataTable[[#This Row],[Valor]]&gt;1,1,1)</f>
        <v>1</v>
      </c>
      <c r="Y570" s="3">
        <f t="shared" si="149"/>
        <v>2</v>
      </c>
      <c r="Z570" s="3">
        <f>IF(AND(DataTable[[#This Row],[Sentido]]="URUGUAI para BRASIL",DataTable[[#This Row],[Valor]]&gt;350),1,0)</f>
        <v>0</v>
      </c>
      <c r="AA570" s="3">
        <f>IF(DataTable[[#This Row],[Valor]]&gt;1,0,0)</f>
        <v>0</v>
      </c>
    </row>
    <row r="571" spans="1:27" x14ac:dyDescent="0.25">
      <c r="A571" s="2" t="s">
        <v>18</v>
      </c>
      <c r="B571" s="2">
        <v>162</v>
      </c>
      <c r="C571" s="3">
        <f t="shared" si="135"/>
        <v>72.83</v>
      </c>
      <c r="D571" s="3">
        <f t="shared" si="136"/>
        <v>87.65</v>
      </c>
      <c r="E571" s="3">
        <f t="shared" si="137"/>
        <v>83.75</v>
      </c>
      <c r="F571" s="3">
        <f t="shared" si="138"/>
        <v>52.04</v>
      </c>
      <c r="G571" s="3">
        <f t="shared" si="139"/>
        <v>125.56</v>
      </c>
      <c r="H571" s="3">
        <f t="shared" si="140"/>
        <v>125.56</v>
      </c>
      <c r="I571" s="3"/>
      <c r="J571" s="3">
        <f t="shared" si="141"/>
        <v>79.849999999999994</v>
      </c>
      <c r="K571" s="3">
        <f t="shared" si="142"/>
        <v>87.65</v>
      </c>
      <c r="L571" s="34">
        <f t="shared" si="143"/>
        <v>83.75</v>
      </c>
      <c r="M571" s="3">
        <f t="shared" si="144"/>
        <v>-64.8</v>
      </c>
      <c r="N571" s="3">
        <f t="shared" si="145"/>
        <v>117.6</v>
      </c>
      <c r="O571" s="3"/>
      <c r="P571" s="3">
        <f t="shared" si="146"/>
        <v>77.423710236220487</v>
      </c>
      <c r="Q571" s="3">
        <f t="shared" si="147"/>
        <v>109.8176</v>
      </c>
      <c r="R571" s="3">
        <f>vd(DataTable[[#This Row],[Sentido]],DataTable[[#This Row],[Valor]])</f>
        <v>87.330708661417333</v>
      </c>
      <c r="S571" s="3">
        <f>IF(DataTable[[#This Row],[Valor]]&gt;1,1,1)</f>
        <v>1</v>
      </c>
      <c r="T571" s="3">
        <f>IF(DataTable[[#This Row],[Valor]]&gt;1,1,1)</f>
        <v>1</v>
      </c>
      <c r="U571" s="3">
        <f>angr(DataTable[[#This Row],[Sentido]],DataTable[[#This Row],[Valor]])</f>
        <v>51.272440944881893</v>
      </c>
      <c r="V571" s="3">
        <f>ANGI(DataTable[[#This Row],[Sentido]],DataTable[[#This Row],[Valor]])</f>
        <v>51.472440944881889</v>
      </c>
      <c r="W571" s="3">
        <f t="shared" si="148"/>
        <v>2</v>
      </c>
      <c r="X571" s="3">
        <f>IF(DataTable[[#This Row],[Valor]]&gt;1,1,1)</f>
        <v>1</v>
      </c>
      <c r="Y571" s="3">
        <f t="shared" si="149"/>
        <v>2</v>
      </c>
      <c r="Z571" s="3">
        <f>IF(AND(DataTable[[#This Row],[Sentido]]="URUGUAI para BRASIL",DataTable[[#This Row],[Valor]]&gt;350),1,0)</f>
        <v>0</v>
      </c>
      <c r="AA571" s="3">
        <f>IF(DataTable[[#This Row],[Valor]]&gt;1,0,0)</f>
        <v>0</v>
      </c>
    </row>
    <row r="572" spans="1:27" x14ac:dyDescent="0.25">
      <c r="A572" s="2" t="s">
        <v>18</v>
      </c>
      <c r="B572" s="2">
        <v>163</v>
      </c>
      <c r="C572" s="3">
        <f t="shared" si="135"/>
        <v>72.83</v>
      </c>
      <c r="D572" s="3">
        <f t="shared" si="136"/>
        <v>87.65</v>
      </c>
      <c r="E572" s="3">
        <f t="shared" si="137"/>
        <v>83.75</v>
      </c>
      <c r="F572" s="3">
        <f t="shared" si="138"/>
        <v>51.96</v>
      </c>
      <c r="G572" s="3">
        <f t="shared" si="139"/>
        <v>125.44</v>
      </c>
      <c r="H572" s="3">
        <f t="shared" si="140"/>
        <v>125.44</v>
      </c>
      <c r="I572" s="3"/>
      <c r="J572" s="3">
        <f t="shared" si="141"/>
        <v>79.849999999999994</v>
      </c>
      <c r="K572" s="3">
        <f t="shared" si="142"/>
        <v>87.65</v>
      </c>
      <c r="L572" s="34">
        <f t="shared" si="143"/>
        <v>83.75</v>
      </c>
      <c r="M572" s="3">
        <f t="shared" si="144"/>
        <v>-65.2</v>
      </c>
      <c r="N572" s="3">
        <f t="shared" si="145"/>
        <v>117.39999999999999</v>
      </c>
      <c r="O572" s="3"/>
      <c r="P572" s="3">
        <f t="shared" si="146"/>
        <v>77.762513385826779</v>
      </c>
      <c r="Q572" s="3">
        <f t="shared" si="147"/>
        <v>109.8176</v>
      </c>
      <c r="R572" s="3">
        <f>vd(DataTable[[#This Row],[Sentido]],DataTable[[#This Row],[Valor]])</f>
        <v>87.740157480314963</v>
      </c>
      <c r="S572" s="3">
        <f>IF(DataTable[[#This Row],[Valor]]&gt;1,1,1)</f>
        <v>1</v>
      </c>
      <c r="T572" s="3">
        <f>IF(DataTable[[#This Row],[Valor]]&gt;1,1,1)</f>
        <v>1</v>
      </c>
      <c r="U572" s="3">
        <f>angr(DataTable[[#This Row],[Sentido]],DataTable[[#This Row],[Valor]])</f>
        <v>51.071653543307086</v>
      </c>
      <c r="V572" s="3">
        <f>ANGI(DataTable[[#This Row],[Sentido]],DataTable[[#This Row],[Valor]])</f>
        <v>51.271653543307082</v>
      </c>
      <c r="W572" s="3">
        <f t="shared" si="148"/>
        <v>2</v>
      </c>
      <c r="X572" s="3">
        <f>IF(DataTable[[#This Row],[Valor]]&gt;1,1,1)</f>
        <v>1</v>
      </c>
      <c r="Y572" s="3">
        <f t="shared" si="149"/>
        <v>2</v>
      </c>
      <c r="Z572" s="3">
        <f>IF(AND(DataTable[[#This Row],[Sentido]]="URUGUAI para BRASIL",DataTable[[#This Row],[Valor]]&gt;350),1,0)</f>
        <v>0</v>
      </c>
      <c r="AA572" s="3">
        <f>IF(DataTable[[#This Row],[Valor]]&gt;1,0,0)</f>
        <v>0</v>
      </c>
    </row>
    <row r="573" spans="1:27" x14ac:dyDescent="0.25">
      <c r="A573" s="2" t="s">
        <v>18</v>
      </c>
      <c r="B573" s="2">
        <v>164</v>
      </c>
      <c r="C573" s="3">
        <f t="shared" si="135"/>
        <v>72.83</v>
      </c>
      <c r="D573" s="3">
        <f t="shared" si="136"/>
        <v>87.65</v>
      </c>
      <c r="E573" s="3">
        <f t="shared" si="137"/>
        <v>83.75</v>
      </c>
      <c r="F573" s="3">
        <f t="shared" si="138"/>
        <v>51.879999999999995</v>
      </c>
      <c r="G573" s="3">
        <f t="shared" si="139"/>
        <v>125.32</v>
      </c>
      <c r="H573" s="3">
        <f t="shared" si="140"/>
        <v>125.32</v>
      </c>
      <c r="I573" s="3"/>
      <c r="J573" s="3">
        <f t="shared" si="141"/>
        <v>79.849999999999994</v>
      </c>
      <c r="K573" s="3">
        <f t="shared" si="142"/>
        <v>87.65</v>
      </c>
      <c r="L573" s="34">
        <f t="shared" si="143"/>
        <v>83.75</v>
      </c>
      <c r="M573" s="3">
        <f t="shared" si="144"/>
        <v>-65.600000000000009</v>
      </c>
      <c r="N573" s="3">
        <f t="shared" si="145"/>
        <v>117.2</v>
      </c>
      <c r="O573" s="3"/>
      <c r="P573" s="3">
        <f t="shared" si="146"/>
        <v>78.101316535433085</v>
      </c>
      <c r="Q573" s="3">
        <f t="shared" si="147"/>
        <v>109.8176</v>
      </c>
      <c r="R573" s="3">
        <f>vd(DataTable[[#This Row],[Sentido]],DataTable[[#This Row],[Valor]])</f>
        <v>88.149606299212593</v>
      </c>
      <c r="S573" s="3">
        <f>IF(DataTable[[#This Row],[Valor]]&gt;1,1,1)</f>
        <v>1</v>
      </c>
      <c r="T573" s="3">
        <f>IF(DataTable[[#This Row],[Valor]]&gt;1,1,1)</f>
        <v>1</v>
      </c>
      <c r="U573" s="3">
        <f>angr(DataTable[[#This Row],[Sentido]],DataTable[[#This Row],[Valor]])</f>
        <v>50.870866141732286</v>
      </c>
      <c r="V573" s="3">
        <f>ANGI(DataTable[[#This Row],[Sentido]],DataTable[[#This Row],[Valor]])</f>
        <v>51.070866141732282</v>
      </c>
      <c r="W573" s="3">
        <f t="shared" si="148"/>
        <v>2</v>
      </c>
      <c r="X573" s="3">
        <f>IF(DataTable[[#This Row],[Valor]]&gt;1,1,1)</f>
        <v>1</v>
      </c>
      <c r="Y573" s="3">
        <f t="shared" si="149"/>
        <v>2</v>
      </c>
      <c r="Z573" s="3">
        <f>IF(AND(DataTable[[#This Row],[Sentido]]="URUGUAI para BRASIL",DataTable[[#This Row],[Valor]]&gt;350),1,0)</f>
        <v>0</v>
      </c>
      <c r="AA573" s="3">
        <f>IF(DataTable[[#This Row],[Valor]]&gt;1,0,0)</f>
        <v>0</v>
      </c>
    </row>
    <row r="574" spans="1:27" x14ac:dyDescent="0.25">
      <c r="A574" s="2" t="s">
        <v>18</v>
      </c>
      <c r="B574" s="2">
        <v>165</v>
      </c>
      <c r="C574" s="3">
        <f t="shared" si="135"/>
        <v>72.83</v>
      </c>
      <c r="D574" s="3">
        <f t="shared" si="136"/>
        <v>87.65</v>
      </c>
      <c r="E574" s="3">
        <f t="shared" si="137"/>
        <v>83.75</v>
      </c>
      <c r="F574" s="3">
        <f t="shared" si="138"/>
        <v>51.8</v>
      </c>
      <c r="G574" s="3">
        <f t="shared" si="139"/>
        <v>125.2</v>
      </c>
      <c r="H574" s="3">
        <f t="shared" si="140"/>
        <v>125.2</v>
      </c>
      <c r="I574" s="3"/>
      <c r="J574" s="3">
        <f t="shared" si="141"/>
        <v>79.849999999999994</v>
      </c>
      <c r="K574" s="3">
        <f t="shared" si="142"/>
        <v>87.65</v>
      </c>
      <c r="L574" s="34">
        <f t="shared" si="143"/>
        <v>83.75</v>
      </c>
      <c r="M574" s="3">
        <f t="shared" si="144"/>
        <v>-66</v>
      </c>
      <c r="N574" s="3">
        <f t="shared" si="145"/>
        <v>117</v>
      </c>
      <c r="O574" s="3"/>
      <c r="P574" s="3">
        <f t="shared" si="146"/>
        <v>78.440119685039377</v>
      </c>
      <c r="Q574" s="3">
        <f t="shared" si="147"/>
        <v>109.8176</v>
      </c>
      <c r="R574" s="3">
        <f>vd(DataTable[[#This Row],[Sentido]],DataTable[[#This Row],[Valor]])</f>
        <v>88.559055118110237</v>
      </c>
      <c r="S574" s="3">
        <f>IF(DataTable[[#This Row],[Valor]]&gt;1,1,1)</f>
        <v>1</v>
      </c>
      <c r="T574" s="3">
        <f>IF(DataTable[[#This Row],[Valor]]&gt;1,1,1)</f>
        <v>1</v>
      </c>
      <c r="U574" s="3">
        <f>angr(DataTable[[#This Row],[Sentido]],DataTable[[#This Row],[Valor]])</f>
        <v>50.670078740157486</v>
      </c>
      <c r="V574" s="3">
        <f>ANGI(DataTable[[#This Row],[Sentido]],DataTable[[#This Row],[Valor]])</f>
        <v>50.870078740157481</v>
      </c>
      <c r="W574" s="3">
        <f t="shared" si="148"/>
        <v>2</v>
      </c>
      <c r="X574" s="3">
        <f>IF(DataTable[[#This Row],[Valor]]&gt;1,1,1)</f>
        <v>1</v>
      </c>
      <c r="Y574" s="3">
        <f t="shared" si="149"/>
        <v>2</v>
      </c>
      <c r="Z574" s="3">
        <f>IF(AND(DataTable[[#This Row],[Sentido]]="URUGUAI para BRASIL",DataTable[[#This Row],[Valor]]&gt;350),1,0)</f>
        <v>0</v>
      </c>
      <c r="AA574" s="3">
        <f>IF(DataTable[[#This Row],[Valor]]&gt;1,0,0)</f>
        <v>0</v>
      </c>
    </row>
    <row r="575" spans="1:27" x14ac:dyDescent="0.25">
      <c r="A575" s="2" t="s">
        <v>18</v>
      </c>
      <c r="B575" s="2">
        <v>166</v>
      </c>
      <c r="C575" s="3">
        <f t="shared" si="135"/>
        <v>72.83</v>
      </c>
      <c r="D575" s="3">
        <f t="shared" si="136"/>
        <v>87.65</v>
      </c>
      <c r="E575" s="3">
        <f t="shared" si="137"/>
        <v>83.75</v>
      </c>
      <c r="F575" s="3">
        <f t="shared" si="138"/>
        <v>51.72</v>
      </c>
      <c r="G575" s="3">
        <f t="shared" si="139"/>
        <v>125.08</v>
      </c>
      <c r="H575" s="3">
        <f t="shared" si="140"/>
        <v>125.08</v>
      </c>
      <c r="I575" s="3"/>
      <c r="J575" s="3">
        <f t="shared" si="141"/>
        <v>79.849999999999994</v>
      </c>
      <c r="K575" s="3">
        <f t="shared" si="142"/>
        <v>87.65</v>
      </c>
      <c r="L575" s="34">
        <f t="shared" si="143"/>
        <v>83.75</v>
      </c>
      <c r="M575" s="3">
        <f t="shared" si="144"/>
        <v>-66.400000000000006</v>
      </c>
      <c r="N575" s="3">
        <f t="shared" si="145"/>
        <v>116.8</v>
      </c>
      <c r="O575" s="3"/>
      <c r="P575" s="3">
        <f t="shared" si="146"/>
        <v>78.77892283464567</v>
      </c>
      <c r="Q575" s="3">
        <f t="shared" si="147"/>
        <v>109.8176</v>
      </c>
      <c r="R575" s="3">
        <f>vd(DataTable[[#This Row],[Sentido]],DataTable[[#This Row],[Valor]])</f>
        <v>88.968503937007881</v>
      </c>
      <c r="S575" s="3">
        <f>IF(DataTable[[#This Row],[Valor]]&gt;1,1,1)</f>
        <v>1</v>
      </c>
      <c r="T575" s="3">
        <f>IF(DataTable[[#This Row],[Valor]]&gt;1,1,1)</f>
        <v>1</v>
      </c>
      <c r="U575" s="3">
        <f>angr(DataTable[[#This Row],[Sentido]],DataTable[[#This Row],[Valor]])</f>
        <v>50.469291338582678</v>
      </c>
      <c r="V575" s="3">
        <f>ANGI(DataTable[[#This Row],[Sentido]],DataTable[[#This Row],[Valor]])</f>
        <v>50.669291338582674</v>
      </c>
      <c r="W575" s="3">
        <f t="shared" si="148"/>
        <v>2</v>
      </c>
      <c r="X575" s="3">
        <f>IF(DataTable[[#This Row],[Valor]]&gt;1,1,1)</f>
        <v>1</v>
      </c>
      <c r="Y575" s="3">
        <f t="shared" si="149"/>
        <v>2</v>
      </c>
      <c r="Z575" s="3">
        <f>IF(AND(DataTable[[#This Row],[Sentido]]="URUGUAI para BRASIL",DataTable[[#This Row],[Valor]]&gt;350),1,0)</f>
        <v>0</v>
      </c>
      <c r="AA575" s="3">
        <f>IF(DataTable[[#This Row],[Valor]]&gt;1,0,0)</f>
        <v>0</v>
      </c>
    </row>
    <row r="576" spans="1:27" x14ac:dyDescent="0.25">
      <c r="A576" s="2" t="s">
        <v>18</v>
      </c>
      <c r="B576" s="2">
        <v>167</v>
      </c>
      <c r="C576" s="3">
        <f t="shared" si="135"/>
        <v>72.83</v>
      </c>
      <c r="D576" s="3">
        <f t="shared" si="136"/>
        <v>87.65</v>
      </c>
      <c r="E576" s="3">
        <f t="shared" si="137"/>
        <v>83.75</v>
      </c>
      <c r="F576" s="3">
        <f t="shared" si="138"/>
        <v>51.64</v>
      </c>
      <c r="G576" s="3">
        <f t="shared" si="139"/>
        <v>124.96000000000001</v>
      </c>
      <c r="H576" s="3">
        <f t="shared" si="140"/>
        <v>124.96000000000001</v>
      </c>
      <c r="I576" s="3"/>
      <c r="J576" s="3">
        <f t="shared" si="141"/>
        <v>79.849999999999994</v>
      </c>
      <c r="K576" s="3">
        <f t="shared" si="142"/>
        <v>87.65</v>
      </c>
      <c r="L576" s="34">
        <f t="shared" si="143"/>
        <v>83.75</v>
      </c>
      <c r="M576" s="3">
        <f t="shared" si="144"/>
        <v>-66.8</v>
      </c>
      <c r="N576" s="3">
        <f t="shared" si="145"/>
        <v>116.6</v>
      </c>
      <c r="O576" s="3"/>
      <c r="P576" s="3">
        <f t="shared" si="146"/>
        <v>79.117725984251976</v>
      </c>
      <c r="Q576" s="3">
        <f t="shared" si="147"/>
        <v>109.8176</v>
      </c>
      <c r="R576" s="3">
        <f>vd(DataTable[[#This Row],[Sentido]],DataTable[[#This Row],[Valor]])</f>
        <v>89.377952755905511</v>
      </c>
      <c r="S576" s="3">
        <f>IF(DataTable[[#This Row],[Valor]]&gt;1,1,1)</f>
        <v>1</v>
      </c>
      <c r="T576" s="3">
        <f>IF(DataTable[[#This Row],[Valor]]&gt;1,1,1)</f>
        <v>1</v>
      </c>
      <c r="U576" s="3">
        <f>angr(DataTable[[#This Row],[Sentido]],DataTable[[#This Row],[Valor]])</f>
        <v>50.268503937007878</v>
      </c>
      <c r="V576" s="3">
        <f>ANGI(DataTable[[#This Row],[Sentido]],DataTable[[#This Row],[Valor]])</f>
        <v>50.468503937007874</v>
      </c>
      <c r="W576" s="3">
        <f t="shared" si="148"/>
        <v>2</v>
      </c>
      <c r="X576" s="3">
        <f>IF(DataTable[[#This Row],[Valor]]&gt;1,1,1)</f>
        <v>1</v>
      </c>
      <c r="Y576" s="3">
        <f t="shared" si="149"/>
        <v>2</v>
      </c>
      <c r="Z576" s="3">
        <f>IF(AND(DataTable[[#This Row],[Sentido]]="URUGUAI para BRASIL",DataTable[[#This Row],[Valor]]&gt;350),1,0)</f>
        <v>0</v>
      </c>
      <c r="AA576" s="3">
        <f>IF(DataTable[[#This Row],[Valor]]&gt;1,0,0)</f>
        <v>0</v>
      </c>
    </row>
    <row r="577" spans="1:27" x14ac:dyDescent="0.25">
      <c r="A577" s="2" t="s">
        <v>18</v>
      </c>
      <c r="B577" s="2">
        <v>168</v>
      </c>
      <c r="C577" s="3">
        <f t="shared" si="135"/>
        <v>72.83</v>
      </c>
      <c r="D577" s="3">
        <f t="shared" si="136"/>
        <v>87.65</v>
      </c>
      <c r="E577" s="3">
        <f t="shared" si="137"/>
        <v>83.75</v>
      </c>
      <c r="F577" s="3">
        <f t="shared" si="138"/>
        <v>51.56</v>
      </c>
      <c r="G577" s="3">
        <f t="shared" si="139"/>
        <v>124.84</v>
      </c>
      <c r="H577" s="3">
        <f t="shared" si="140"/>
        <v>124.84</v>
      </c>
      <c r="I577" s="3"/>
      <c r="J577" s="3">
        <f t="shared" si="141"/>
        <v>79.849999999999994</v>
      </c>
      <c r="K577" s="3">
        <f t="shared" si="142"/>
        <v>87.65</v>
      </c>
      <c r="L577" s="34">
        <f t="shared" si="143"/>
        <v>83.75</v>
      </c>
      <c r="M577" s="3">
        <f t="shared" si="144"/>
        <v>-67.2</v>
      </c>
      <c r="N577" s="3">
        <f t="shared" si="145"/>
        <v>116.39999999999999</v>
      </c>
      <c r="O577" s="3"/>
      <c r="P577" s="3">
        <f t="shared" si="146"/>
        <v>79.456529133858268</v>
      </c>
      <c r="Q577" s="3">
        <f t="shared" si="147"/>
        <v>109.8176</v>
      </c>
      <c r="R577" s="3">
        <f>vd(DataTable[[#This Row],[Sentido]],DataTable[[#This Row],[Valor]])</f>
        <v>89.787401574803141</v>
      </c>
      <c r="S577" s="3">
        <f>IF(DataTable[[#This Row],[Valor]]&gt;1,1,1)</f>
        <v>1</v>
      </c>
      <c r="T577" s="3">
        <f>IF(DataTable[[#This Row],[Valor]]&gt;1,1,1)</f>
        <v>1</v>
      </c>
      <c r="U577" s="3">
        <f>angr(DataTable[[#This Row],[Sentido]],DataTable[[#This Row],[Valor]])</f>
        <v>50.067716535433078</v>
      </c>
      <c r="V577" s="3">
        <f>ANGI(DataTable[[#This Row],[Sentido]],DataTable[[#This Row],[Valor]])</f>
        <v>50.267716535433074</v>
      </c>
      <c r="W577" s="3">
        <f t="shared" si="148"/>
        <v>2</v>
      </c>
      <c r="X577" s="3">
        <f>IF(DataTable[[#This Row],[Valor]]&gt;1,1,1)</f>
        <v>1</v>
      </c>
      <c r="Y577" s="3">
        <f t="shared" si="149"/>
        <v>2</v>
      </c>
      <c r="Z577" s="3">
        <f>IF(AND(DataTable[[#This Row],[Sentido]]="URUGUAI para BRASIL",DataTable[[#This Row],[Valor]]&gt;350),1,0)</f>
        <v>0</v>
      </c>
      <c r="AA577" s="3">
        <f>IF(DataTable[[#This Row],[Valor]]&gt;1,0,0)</f>
        <v>0</v>
      </c>
    </row>
    <row r="578" spans="1:27" x14ac:dyDescent="0.25">
      <c r="A578" s="2" t="s">
        <v>18</v>
      </c>
      <c r="B578" s="2">
        <v>169</v>
      </c>
      <c r="C578" s="3">
        <f t="shared" si="135"/>
        <v>72.83</v>
      </c>
      <c r="D578" s="3">
        <f t="shared" si="136"/>
        <v>87.65</v>
      </c>
      <c r="E578" s="3">
        <f t="shared" si="137"/>
        <v>83.75</v>
      </c>
      <c r="F578" s="3">
        <f t="shared" si="138"/>
        <v>51.480000000000004</v>
      </c>
      <c r="G578" s="3">
        <f t="shared" si="139"/>
        <v>124.72</v>
      </c>
      <c r="H578" s="3">
        <f t="shared" si="140"/>
        <v>124.72</v>
      </c>
      <c r="I578" s="3"/>
      <c r="J578" s="3">
        <f t="shared" si="141"/>
        <v>79.849999999999994</v>
      </c>
      <c r="K578" s="3">
        <f t="shared" si="142"/>
        <v>87.65</v>
      </c>
      <c r="L578" s="34">
        <f t="shared" si="143"/>
        <v>83.75</v>
      </c>
      <c r="M578" s="3">
        <f t="shared" si="144"/>
        <v>-67.600000000000009</v>
      </c>
      <c r="N578" s="3">
        <f t="shared" si="145"/>
        <v>116.2</v>
      </c>
      <c r="O578" s="3"/>
      <c r="P578" s="3">
        <f t="shared" si="146"/>
        <v>79.795332283464575</v>
      </c>
      <c r="Q578" s="3">
        <f t="shared" si="147"/>
        <v>109.8176</v>
      </c>
      <c r="R578" s="3">
        <f>vd(DataTable[[#This Row],[Sentido]],DataTable[[#This Row],[Valor]])</f>
        <v>90.196850393700799</v>
      </c>
      <c r="S578" s="3">
        <f>IF(DataTable[[#This Row],[Valor]]&gt;1,1,1)</f>
        <v>1</v>
      </c>
      <c r="T578" s="3">
        <f>IF(DataTable[[#This Row],[Valor]]&gt;1,1,1)</f>
        <v>1</v>
      </c>
      <c r="U578" s="3">
        <f>angr(DataTable[[#This Row],[Sentido]],DataTable[[#This Row],[Valor]])</f>
        <v>49.866929133858264</v>
      </c>
      <c r="V578" s="3">
        <f>ANGI(DataTable[[#This Row],[Sentido]],DataTable[[#This Row],[Valor]])</f>
        <v>50.06692913385826</v>
      </c>
      <c r="W578" s="3">
        <f t="shared" si="148"/>
        <v>2</v>
      </c>
      <c r="X578" s="3">
        <f>IF(DataTable[[#This Row],[Valor]]&gt;1,1,1)</f>
        <v>1</v>
      </c>
      <c r="Y578" s="3">
        <f t="shared" si="149"/>
        <v>2</v>
      </c>
      <c r="Z578" s="3">
        <f>IF(AND(DataTable[[#This Row],[Sentido]]="URUGUAI para BRASIL",DataTable[[#This Row],[Valor]]&gt;350),1,0)</f>
        <v>0</v>
      </c>
      <c r="AA578" s="3">
        <f>IF(DataTable[[#This Row],[Valor]]&gt;1,0,0)</f>
        <v>0</v>
      </c>
    </row>
    <row r="579" spans="1:27" x14ac:dyDescent="0.25">
      <c r="A579" s="2" t="s">
        <v>18</v>
      </c>
      <c r="B579" s="2">
        <v>170</v>
      </c>
      <c r="C579" s="3">
        <f t="shared" si="135"/>
        <v>72.83</v>
      </c>
      <c r="D579" s="3">
        <f t="shared" si="136"/>
        <v>87.65</v>
      </c>
      <c r="E579" s="3">
        <f t="shared" si="137"/>
        <v>83.75</v>
      </c>
      <c r="F579" s="3">
        <f t="shared" si="138"/>
        <v>51.4</v>
      </c>
      <c r="G579" s="3">
        <f t="shared" si="139"/>
        <v>124.6</v>
      </c>
      <c r="H579" s="3">
        <f t="shared" si="140"/>
        <v>124.6</v>
      </c>
      <c r="I579" s="3"/>
      <c r="J579" s="3">
        <f t="shared" si="141"/>
        <v>79.849999999999994</v>
      </c>
      <c r="K579" s="3">
        <f t="shared" si="142"/>
        <v>87.65</v>
      </c>
      <c r="L579" s="34">
        <f t="shared" si="143"/>
        <v>83.75</v>
      </c>
      <c r="M579" s="3">
        <f t="shared" si="144"/>
        <v>-68</v>
      </c>
      <c r="N579" s="3">
        <f t="shared" si="145"/>
        <v>116</v>
      </c>
      <c r="O579" s="3"/>
      <c r="P579" s="3">
        <f t="shared" si="146"/>
        <v>80.134135433070881</v>
      </c>
      <c r="Q579" s="3">
        <f t="shared" si="147"/>
        <v>109.8176</v>
      </c>
      <c r="R579" s="3">
        <f>vd(DataTable[[#This Row],[Sentido]],DataTable[[#This Row],[Valor]])</f>
        <v>90.606299212598429</v>
      </c>
      <c r="S579" s="3">
        <f>IF(DataTable[[#This Row],[Valor]]&gt;1,1,1)</f>
        <v>1</v>
      </c>
      <c r="T579" s="3">
        <f>IF(DataTable[[#This Row],[Valor]]&gt;1,1,1)</f>
        <v>1</v>
      </c>
      <c r="U579" s="3">
        <f>angr(DataTable[[#This Row],[Sentido]],DataTable[[#This Row],[Valor]])</f>
        <v>49.666141732283464</v>
      </c>
      <c r="V579" s="3">
        <f>ANGI(DataTable[[#This Row],[Sentido]],DataTable[[#This Row],[Valor]])</f>
        <v>49.866141732283459</v>
      </c>
      <c r="W579" s="3">
        <f t="shared" si="148"/>
        <v>2</v>
      </c>
      <c r="X579" s="3">
        <f>IF(DataTable[[#This Row],[Valor]]&gt;1,1,1)</f>
        <v>1</v>
      </c>
      <c r="Y579" s="3">
        <f t="shared" si="149"/>
        <v>2</v>
      </c>
      <c r="Z579" s="3">
        <f>IF(AND(DataTable[[#This Row],[Sentido]]="URUGUAI para BRASIL",DataTable[[#This Row],[Valor]]&gt;350),1,0)</f>
        <v>0</v>
      </c>
      <c r="AA579" s="3">
        <f>IF(DataTable[[#This Row],[Valor]]&gt;1,0,0)</f>
        <v>0</v>
      </c>
    </row>
    <row r="580" spans="1:27" x14ac:dyDescent="0.25">
      <c r="A580" s="2" t="s">
        <v>18</v>
      </c>
      <c r="B580" s="2">
        <v>171</v>
      </c>
      <c r="C580" s="3">
        <f t="shared" si="135"/>
        <v>72.83</v>
      </c>
      <c r="D580" s="3">
        <f t="shared" si="136"/>
        <v>87.65</v>
      </c>
      <c r="E580" s="3">
        <f t="shared" si="137"/>
        <v>83.75</v>
      </c>
      <c r="F580" s="3">
        <f t="shared" si="138"/>
        <v>51.32</v>
      </c>
      <c r="G580" s="3">
        <f t="shared" si="139"/>
        <v>124.48</v>
      </c>
      <c r="H580" s="3">
        <f t="shared" si="140"/>
        <v>124.48</v>
      </c>
      <c r="I580" s="3"/>
      <c r="J580" s="3">
        <f t="shared" si="141"/>
        <v>79.849999999999994</v>
      </c>
      <c r="K580" s="3">
        <f t="shared" si="142"/>
        <v>87.65</v>
      </c>
      <c r="L580" s="34">
        <f t="shared" si="143"/>
        <v>83.75</v>
      </c>
      <c r="M580" s="3">
        <f t="shared" si="144"/>
        <v>-68.400000000000006</v>
      </c>
      <c r="N580" s="3">
        <f t="shared" si="145"/>
        <v>115.8</v>
      </c>
      <c r="O580" s="3"/>
      <c r="P580" s="3">
        <f t="shared" si="146"/>
        <v>80.472938582677173</v>
      </c>
      <c r="Q580" s="3">
        <f t="shared" si="147"/>
        <v>109.8176</v>
      </c>
      <c r="R580" s="3">
        <f>vd(DataTable[[#This Row],[Sentido]],DataTable[[#This Row],[Valor]])</f>
        <v>91.015748031496059</v>
      </c>
      <c r="S580" s="3">
        <f>IF(DataTable[[#This Row],[Valor]]&gt;1,1,1)</f>
        <v>1</v>
      </c>
      <c r="T580" s="3">
        <f>IF(DataTable[[#This Row],[Valor]]&gt;1,1,1)</f>
        <v>1</v>
      </c>
      <c r="U580" s="3">
        <f>angr(DataTable[[#This Row],[Sentido]],DataTable[[#This Row],[Valor]])</f>
        <v>49.465354330708664</v>
      </c>
      <c r="V580" s="3">
        <f>ANGI(DataTable[[#This Row],[Sentido]],DataTable[[#This Row],[Valor]])</f>
        <v>49.665354330708659</v>
      </c>
      <c r="W580" s="3">
        <f t="shared" si="148"/>
        <v>2</v>
      </c>
      <c r="X580" s="3">
        <f>IF(DataTable[[#This Row],[Valor]]&gt;1,1,1)</f>
        <v>1</v>
      </c>
      <c r="Y580" s="3">
        <f t="shared" si="149"/>
        <v>2</v>
      </c>
      <c r="Z580" s="3">
        <f>IF(AND(DataTable[[#This Row],[Sentido]]="URUGUAI para BRASIL",DataTable[[#This Row],[Valor]]&gt;350),1,0)</f>
        <v>0</v>
      </c>
      <c r="AA580" s="3">
        <f>IF(DataTable[[#This Row],[Valor]]&gt;1,0,0)</f>
        <v>0</v>
      </c>
    </row>
    <row r="581" spans="1:27" x14ac:dyDescent="0.25">
      <c r="A581" s="2" t="s">
        <v>18</v>
      </c>
      <c r="B581" s="2">
        <v>172</v>
      </c>
      <c r="C581" s="3">
        <f t="shared" ref="C581:C644" si="150">MiniVWVB(A581,B581,E581)</f>
        <v>72.83</v>
      </c>
      <c r="D581" s="3">
        <f t="shared" ref="D581:D644" si="151">MaxVWV(A581,B581)</f>
        <v>87.65</v>
      </c>
      <c r="E581" s="3">
        <f t="shared" ref="E581:E644" si="152">RatedVWV(B581)</f>
        <v>83.75</v>
      </c>
      <c r="F581" s="3">
        <f t="shared" ref="F581:F644" si="153">MinQB(A581,B581)</f>
        <v>51.24</v>
      </c>
      <c r="G581" s="3">
        <f t="shared" ref="G581:G644" si="154">MaxQB3F(A581,B581)</f>
        <v>124.36</v>
      </c>
      <c r="H581" s="3">
        <f t="shared" ref="H581:H644" si="155">MaxQB4F(A581,B581)</f>
        <v>124.36</v>
      </c>
      <c r="I581" s="3"/>
      <c r="J581" s="3">
        <f t="shared" ref="J581:J644" si="156">MiniVWVU(A581,B581,L581)</f>
        <v>79.849999999999994</v>
      </c>
      <c r="K581" s="3">
        <f t="shared" ref="K581:K644" si="157">MaxVWV(A581,B581)</f>
        <v>87.65</v>
      </c>
      <c r="L581" s="34">
        <f t="shared" ref="L581:L644" si="158">RatedVWV(B581)</f>
        <v>83.75</v>
      </c>
      <c r="M581" s="3">
        <f t="shared" ref="M581:M644" si="159">MinQU(A581,B581)</f>
        <v>-68.8</v>
      </c>
      <c r="N581" s="3">
        <f t="shared" ref="N581:N644" si="160">MaxQU(A581,B581)</f>
        <v>115.6</v>
      </c>
      <c r="O581" s="3"/>
      <c r="P581" s="3">
        <f t="shared" ref="P581:P644" si="161">MiniUpper(A581,B581)</f>
        <v>80.811741732283465</v>
      </c>
      <c r="Q581" s="3">
        <f t="shared" ref="Q581:Q644" si="162">MaxUpper(A581,B581)</f>
        <v>109.8176</v>
      </c>
      <c r="R581" s="3">
        <f>vd(DataTable[[#This Row],[Sentido]],DataTable[[#This Row],[Valor]])</f>
        <v>91.425196850393689</v>
      </c>
      <c r="S581" s="3">
        <f>IF(DataTable[[#This Row],[Valor]]&gt;1,1,1)</f>
        <v>1</v>
      </c>
      <c r="T581" s="3">
        <f>IF(DataTable[[#This Row],[Valor]]&gt;1,1,1)</f>
        <v>1</v>
      </c>
      <c r="U581" s="3">
        <f>angr(DataTable[[#This Row],[Sentido]],DataTable[[#This Row],[Valor]])</f>
        <v>49.264566929133863</v>
      </c>
      <c r="V581" s="3">
        <f>ANGI(DataTable[[#This Row],[Sentido]],DataTable[[#This Row],[Valor]])</f>
        <v>49.464566929133859</v>
      </c>
      <c r="W581" s="3">
        <f t="shared" ref="W581:W644" si="163">IF(A582="URUGUAI para BRASIL",IF(B581&gt;119,IF(B581&gt;240,3,2),1),IF(B581&gt;120,IF(B581&gt;240,3,2),1))</f>
        <v>2</v>
      </c>
      <c r="X581" s="3">
        <f>IF(DataTable[[#This Row],[Valor]]&gt;1,1,1)</f>
        <v>1</v>
      </c>
      <c r="Y581" s="3">
        <f t="shared" ref="Y581:Y644" si="164">IF(A582="URUGUAI para BRASIL",IF(B581&gt;119,IF(B581&gt;240,3,2),1),IF(B581&gt;120,IF(B581&gt;240,3,2),1))</f>
        <v>2</v>
      </c>
      <c r="Z581" s="3">
        <f>IF(AND(DataTable[[#This Row],[Sentido]]="URUGUAI para BRASIL",DataTable[[#This Row],[Valor]]&gt;350),1,0)</f>
        <v>0</v>
      </c>
      <c r="AA581" s="3">
        <f>IF(DataTable[[#This Row],[Valor]]&gt;1,0,0)</f>
        <v>0</v>
      </c>
    </row>
    <row r="582" spans="1:27" x14ac:dyDescent="0.25">
      <c r="A582" s="2" t="s">
        <v>18</v>
      </c>
      <c r="B582" s="2">
        <v>173</v>
      </c>
      <c r="C582" s="3">
        <f t="shared" si="150"/>
        <v>72.83</v>
      </c>
      <c r="D582" s="3">
        <f t="shared" si="151"/>
        <v>87.65</v>
      </c>
      <c r="E582" s="3">
        <f t="shared" si="152"/>
        <v>83.75</v>
      </c>
      <c r="F582" s="3">
        <f t="shared" si="153"/>
        <v>51.16</v>
      </c>
      <c r="G582" s="3">
        <f t="shared" si="154"/>
        <v>124.24000000000001</v>
      </c>
      <c r="H582" s="3">
        <f t="shared" si="155"/>
        <v>124.24000000000001</v>
      </c>
      <c r="I582" s="3"/>
      <c r="J582" s="3">
        <f t="shared" si="156"/>
        <v>79.849999999999994</v>
      </c>
      <c r="K582" s="3">
        <f t="shared" si="157"/>
        <v>87.65</v>
      </c>
      <c r="L582" s="34">
        <f t="shared" si="158"/>
        <v>83.75</v>
      </c>
      <c r="M582" s="3">
        <f t="shared" si="159"/>
        <v>-69.2</v>
      </c>
      <c r="N582" s="3">
        <f t="shared" si="160"/>
        <v>115.39999999999999</v>
      </c>
      <c r="O582" s="3"/>
      <c r="P582" s="3">
        <f t="shared" si="161"/>
        <v>81.150544881889772</v>
      </c>
      <c r="Q582" s="3">
        <f t="shared" si="162"/>
        <v>109.8176</v>
      </c>
      <c r="R582" s="3">
        <f>vd(DataTable[[#This Row],[Sentido]],DataTable[[#This Row],[Valor]])</f>
        <v>91.834645669291348</v>
      </c>
      <c r="S582" s="3">
        <f>IF(DataTable[[#This Row],[Valor]]&gt;1,1,1)</f>
        <v>1</v>
      </c>
      <c r="T582" s="3">
        <f>IF(DataTable[[#This Row],[Valor]]&gt;1,1,1)</f>
        <v>1</v>
      </c>
      <c r="U582" s="3">
        <f>angr(DataTable[[#This Row],[Sentido]],DataTable[[#This Row],[Valor]])</f>
        <v>49.063779527559056</v>
      </c>
      <c r="V582" s="3">
        <f>ANGI(DataTable[[#This Row],[Sentido]],DataTable[[#This Row],[Valor]])</f>
        <v>49.263779527559052</v>
      </c>
      <c r="W582" s="3">
        <f t="shared" si="163"/>
        <v>2</v>
      </c>
      <c r="X582" s="3">
        <f>IF(DataTable[[#This Row],[Valor]]&gt;1,1,1)</f>
        <v>1</v>
      </c>
      <c r="Y582" s="3">
        <f t="shared" si="164"/>
        <v>2</v>
      </c>
      <c r="Z582" s="3">
        <f>IF(AND(DataTable[[#This Row],[Sentido]]="URUGUAI para BRASIL",DataTable[[#This Row],[Valor]]&gt;350),1,0)</f>
        <v>0</v>
      </c>
      <c r="AA582" s="3">
        <f>IF(DataTable[[#This Row],[Valor]]&gt;1,0,0)</f>
        <v>0</v>
      </c>
    </row>
    <row r="583" spans="1:27" x14ac:dyDescent="0.25">
      <c r="A583" s="2" t="s">
        <v>18</v>
      </c>
      <c r="B583" s="2">
        <v>174</v>
      </c>
      <c r="C583" s="3">
        <f t="shared" si="150"/>
        <v>72.83</v>
      </c>
      <c r="D583" s="3">
        <f t="shared" si="151"/>
        <v>87.65</v>
      </c>
      <c r="E583" s="3">
        <f t="shared" si="152"/>
        <v>83.75</v>
      </c>
      <c r="F583" s="3">
        <f t="shared" si="153"/>
        <v>51.08</v>
      </c>
      <c r="G583" s="3">
        <f t="shared" si="154"/>
        <v>124.12</v>
      </c>
      <c r="H583" s="3">
        <f t="shared" si="155"/>
        <v>124.12</v>
      </c>
      <c r="I583" s="3"/>
      <c r="J583" s="3">
        <f t="shared" si="156"/>
        <v>79.849999999999994</v>
      </c>
      <c r="K583" s="3">
        <f t="shared" si="157"/>
        <v>87.65</v>
      </c>
      <c r="L583" s="34">
        <f t="shared" si="158"/>
        <v>83.75</v>
      </c>
      <c r="M583" s="3">
        <f t="shared" si="159"/>
        <v>-69.600000000000009</v>
      </c>
      <c r="N583" s="3">
        <f t="shared" si="160"/>
        <v>115.2</v>
      </c>
      <c r="O583" s="3"/>
      <c r="P583" s="3">
        <f t="shared" si="161"/>
        <v>81.489348031496064</v>
      </c>
      <c r="Q583" s="3">
        <f t="shared" si="162"/>
        <v>109.8176</v>
      </c>
      <c r="R583" s="3">
        <f>vd(DataTable[[#This Row],[Sentido]],DataTable[[#This Row],[Valor]])</f>
        <v>92.244094488188978</v>
      </c>
      <c r="S583" s="3">
        <f>IF(DataTable[[#This Row],[Valor]]&gt;1,1,1)</f>
        <v>1</v>
      </c>
      <c r="T583" s="3">
        <f>IF(DataTable[[#This Row],[Valor]]&gt;1,1,1)</f>
        <v>1</v>
      </c>
      <c r="U583" s="3">
        <f>angr(DataTable[[#This Row],[Sentido]],DataTable[[#This Row],[Valor]])</f>
        <v>48.862992125984256</v>
      </c>
      <c r="V583" s="3">
        <f>ANGI(DataTable[[#This Row],[Sentido]],DataTable[[#This Row],[Valor]])</f>
        <v>49.062992125984252</v>
      </c>
      <c r="W583" s="3">
        <f t="shared" si="163"/>
        <v>2</v>
      </c>
      <c r="X583" s="3">
        <f>IF(DataTable[[#This Row],[Valor]]&gt;1,1,1)</f>
        <v>1</v>
      </c>
      <c r="Y583" s="3">
        <f t="shared" si="164"/>
        <v>2</v>
      </c>
      <c r="Z583" s="3">
        <f>IF(AND(DataTable[[#This Row],[Sentido]]="URUGUAI para BRASIL",DataTable[[#This Row],[Valor]]&gt;350),1,0)</f>
        <v>0</v>
      </c>
      <c r="AA583" s="3">
        <f>IF(DataTable[[#This Row],[Valor]]&gt;1,0,0)</f>
        <v>0</v>
      </c>
    </row>
    <row r="584" spans="1:27" x14ac:dyDescent="0.25">
      <c r="A584" s="2" t="s">
        <v>18</v>
      </c>
      <c r="B584" s="2">
        <v>175</v>
      </c>
      <c r="C584" s="3">
        <f t="shared" si="150"/>
        <v>72.83</v>
      </c>
      <c r="D584" s="3">
        <f t="shared" si="151"/>
        <v>87.65</v>
      </c>
      <c r="E584" s="3">
        <f t="shared" si="152"/>
        <v>83.75</v>
      </c>
      <c r="F584" s="3">
        <f t="shared" si="153"/>
        <v>51</v>
      </c>
      <c r="G584" s="3">
        <f t="shared" si="154"/>
        <v>124</v>
      </c>
      <c r="H584" s="3">
        <f t="shared" si="155"/>
        <v>124</v>
      </c>
      <c r="I584" s="3"/>
      <c r="J584" s="3">
        <f t="shared" si="156"/>
        <v>79.849999999999994</v>
      </c>
      <c r="K584" s="3">
        <f t="shared" si="157"/>
        <v>87.65</v>
      </c>
      <c r="L584" s="34">
        <f t="shared" si="158"/>
        <v>83.75</v>
      </c>
      <c r="M584" s="3">
        <f t="shared" si="159"/>
        <v>-70</v>
      </c>
      <c r="N584" s="3">
        <f t="shared" si="160"/>
        <v>115</v>
      </c>
      <c r="O584" s="3"/>
      <c r="P584" s="3">
        <f t="shared" si="161"/>
        <v>81.828151181102356</v>
      </c>
      <c r="Q584" s="3">
        <f t="shared" si="162"/>
        <v>109.8176</v>
      </c>
      <c r="R584" s="3">
        <f>vd(DataTable[[#This Row],[Sentido]],DataTable[[#This Row],[Valor]])</f>
        <v>92.653543307086608</v>
      </c>
      <c r="S584" s="3">
        <f>IF(DataTable[[#This Row],[Valor]]&gt;1,1,1)</f>
        <v>1</v>
      </c>
      <c r="T584" s="3">
        <f>IF(DataTable[[#This Row],[Valor]]&gt;1,1,1)</f>
        <v>1</v>
      </c>
      <c r="U584" s="3">
        <f>angr(DataTable[[#This Row],[Sentido]],DataTable[[#This Row],[Valor]])</f>
        <v>48.662204724409449</v>
      </c>
      <c r="V584" s="3">
        <f>ANGI(DataTable[[#This Row],[Sentido]],DataTable[[#This Row],[Valor]])</f>
        <v>48.862204724409452</v>
      </c>
      <c r="W584" s="3">
        <f t="shared" si="163"/>
        <v>2</v>
      </c>
      <c r="X584" s="3">
        <f>IF(DataTable[[#This Row],[Valor]]&gt;1,1,1)</f>
        <v>1</v>
      </c>
      <c r="Y584" s="3">
        <f t="shared" si="164"/>
        <v>2</v>
      </c>
      <c r="Z584" s="3">
        <f>IF(AND(DataTable[[#This Row],[Sentido]]="URUGUAI para BRASIL",DataTable[[#This Row],[Valor]]&gt;350),1,0)</f>
        <v>0</v>
      </c>
      <c r="AA584" s="3">
        <f>IF(DataTable[[#This Row],[Valor]]&gt;1,0,0)</f>
        <v>0</v>
      </c>
    </row>
    <row r="585" spans="1:27" x14ac:dyDescent="0.25">
      <c r="A585" s="2" t="s">
        <v>18</v>
      </c>
      <c r="B585" s="2">
        <v>176</v>
      </c>
      <c r="C585" s="3">
        <f t="shared" si="150"/>
        <v>72.83</v>
      </c>
      <c r="D585" s="3">
        <f t="shared" si="151"/>
        <v>87.65</v>
      </c>
      <c r="E585" s="3">
        <f t="shared" si="152"/>
        <v>83.75</v>
      </c>
      <c r="F585" s="3">
        <f t="shared" si="153"/>
        <v>50.92</v>
      </c>
      <c r="G585" s="3">
        <f t="shared" si="154"/>
        <v>123.88</v>
      </c>
      <c r="H585" s="3">
        <f t="shared" si="155"/>
        <v>123.88</v>
      </c>
      <c r="I585" s="3"/>
      <c r="J585" s="3">
        <f t="shared" si="156"/>
        <v>79.849999999999994</v>
      </c>
      <c r="K585" s="3">
        <f t="shared" si="157"/>
        <v>87.65</v>
      </c>
      <c r="L585" s="34">
        <f t="shared" si="158"/>
        <v>83.75</v>
      </c>
      <c r="M585" s="3">
        <f t="shared" si="159"/>
        <v>-70.400000000000006</v>
      </c>
      <c r="N585" s="3">
        <f t="shared" si="160"/>
        <v>114.8</v>
      </c>
      <c r="O585" s="3"/>
      <c r="P585" s="3">
        <f t="shared" si="161"/>
        <v>82.166954330708677</v>
      </c>
      <c r="Q585" s="3">
        <f t="shared" si="162"/>
        <v>109.8176</v>
      </c>
      <c r="R585" s="3">
        <f>vd(DataTable[[#This Row],[Sentido]],DataTable[[#This Row],[Valor]])</f>
        <v>93.062992125984252</v>
      </c>
      <c r="S585" s="3">
        <f>IF(DataTable[[#This Row],[Valor]]&gt;1,1,1)</f>
        <v>1</v>
      </c>
      <c r="T585" s="3">
        <f>IF(DataTable[[#This Row],[Valor]]&gt;1,1,1)</f>
        <v>1</v>
      </c>
      <c r="U585" s="3">
        <f>angr(DataTable[[#This Row],[Sentido]],DataTable[[#This Row],[Valor]])</f>
        <v>48.461417322834649</v>
      </c>
      <c r="V585" s="3">
        <f>ANGI(DataTable[[#This Row],[Sentido]],DataTable[[#This Row],[Valor]])</f>
        <v>48.661417322834637</v>
      </c>
      <c r="W585" s="3">
        <f t="shared" si="163"/>
        <v>2</v>
      </c>
      <c r="X585" s="3">
        <f>IF(DataTable[[#This Row],[Valor]]&gt;1,1,1)</f>
        <v>1</v>
      </c>
      <c r="Y585" s="3">
        <f t="shared" si="164"/>
        <v>2</v>
      </c>
      <c r="Z585" s="3">
        <f>IF(AND(DataTable[[#This Row],[Sentido]]="URUGUAI para BRASIL",DataTable[[#This Row],[Valor]]&gt;350),1,0)</f>
        <v>0</v>
      </c>
      <c r="AA585" s="3">
        <f>IF(DataTable[[#This Row],[Valor]]&gt;1,0,0)</f>
        <v>0</v>
      </c>
    </row>
    <row r="586" spans="1:27" x14ac:dyDescent="0.25">
      <c r="A586" s="2" t="s">
        <v>18</v>
      </c>
      <c r="B586" s="2">
        <v>177</v>
      </c>
      <c r="C586" s="3">
        <f t="shared" si="150"/>
        <v>72.83</v>
      </c>
      <c r="D586" s="3">
        <f t="shared" si="151"/>
        <v>87.65</v>
      </c>
      <c r="E586" s="3">
        <f t="shared" si="152"/>
        <v>83.75</v>
      </c>
      <c r="F586" s="3">
        <f t="shared" si="153"/>
        <v>50.84</v>
      </c>
      <c r="G586" s="3">
        <f t="shared" si="154"/>
        <v>123.75999999999999</v>
      </c>
      <c r="H586" s="3">
        <f t="shared" si="155"/>
        <v>123.75999999999999</v>
      </c>
      <c r="I586" s="3"/>
      <c r="J586" s="3">
        <f t="shared" si="156"/>
        <v>79.849999999999994</v>
      </c>
      <c r="K586" s="3">
        <f t="shared" si="157"/>
        <v>87.65</v>
      </c>
      <c r="L586" s="34">
        <f t="shared" si="158"/>
        <v>83.75</v>
      </c>
      <c r="M586" s="3">
        <f t="shared" si="159"/>
        <v>-70.8</v>
      </c>
      <c r="N586" s="3">
        <f t="shared" si="160"/>
        <v>114.6</v>
      </c>
      <c r="O586" s="3"/>
      <c r="P586" s="3">
        <f t="shared" si="161"/>
        <v>82.505757480314969</v>
      </c>
      <c r="Q586" s="3">
        <f t="shared" si="162"/>
        <v>109.8176</v>
      </c>
      <c r="R586" s="3">
        <f>vd(DataTable[[#This Row],[Sentido]],DataTable[[#This Row],[Valor]])</f>
        <v>93.472440944881882</v>
      </c>
      <c r="S586" s="3">
        <f>IF(DataTable[[#This Row],[Valor]]&gt;1,1,1)</f>
        <v>1</v>
      </c>
      <c r="T586" s="3">
        <f>IF(DataTable[[#This Row],[Valor]]&gt;1,1,1)</f>
        <v>1</v>
      </c>
      <c r="U586" s="3">
        <f>angr(DataTable[[#This Row],[Sentido]],DataTable[[#This Row],[Valor]])</f>
        <v>48.260629921259842</v>
      </c>
      <c r="V586" s="3">
        <f>ANGI(DataTable[[#This Row],[Sentido]],DataTable[[#This Row],[Valor]])</f>
        <v>48.460629921259837</v>
      </c>
      <c r="W586" s="3">
        <f t="shared" si="163"/>
        <v>2</v>
      </c>
      <c r="X586" s="3">
        <f>IF(DataTable[[#This Row],[Valor]]&gt;1,1,1)</f>
        <v>1</v>
      </c>
      <c r="Y586" s="3">
        <f t="shared" si="164"/>
        <v>2</v>
      </c>
      <c r="Z586" s="3">
        <f>IF(AND(DataTable[[#This Row],[Sentido]]="URUGUAI para BRASIL",DataTable[[#This Row],[Valor]]&gt;350),1,0)</f>
        <v>0</v>
      </c>
      <c r="AA586" s="3">
        <f>IF(DataTable[[#This Row],[Valor]]&gt;1,0,0)</f>
        <v>0</v>
      </c>
    </row>
    <row r="587" spans="1:27" x14ac:dyDescent="0.25">
      <c r="A587" s="2" t="s">
        <v>18</v>
      </c>
      <c r="B587" s="2">
        <v>178</v>
      </c>
      <c r="C587" s="3">
        <f t="shared" si="150"/>
        <v>72.83</v>
      </c>
      <c r="D587" s="3">
        <f t="shared" si="151"/>
        <v>87.65</v>
      </c>
      <c r="E587" s="3">
        <f t="shared" si="152"/>
        <v>83.75</v>
      </c>
      <c r="F587" s="3">
        <f t="shared" si="153"/>
        <v>50.76</v>
      </c>
      <c r="G587" s="3">
        <f t="shared" si="154"/>
        <v>123.64</v>
      </c>
      <c r="H587" s="3">
        <f t="shared" si="155"/>
        <v>123.64</v>
      </c>
      <c r="I587" s="3"/>
      <c r="J587" s="3">
        <f t="shared" si="156"/>
        <v>79.849999999999994</v>
      </c>
      <c r="K587" s="3">
        <f t="shared" si="157"/>
        <v>87.65</v>
      </c>
      <c r="L587" s="34">
        <f t="shared" si="158"/>
        <v>83.75</v>
      </c>
      <c r="M587" s="3">
        <f t="shared" si="159"/>
        <v>-71.2</v>
      </c>
      <c r="N587" s="3">
        <f t="shared" si="160"/>
        <v>114.39999999999999</v>
      </c>
      <c r="O587" s="3"/>
      <c r="P587" s="3">
        <f t="shared" si="161"/>
        <v>82.844560629921261</v>
      </c>
      <c r="Q587" s="3">
        <f t="shared" si="162"/>
        <v>109.8176</v>
      </c>
      <c r="R587" s="3">
        <f>vd(DataTable[[#This Row],[Sentido]],DataTable[[#This Row],[Valor]])</f>
        <v>93.862992125984249</v>
      </c>
      <c r="S587" s="3">
        <f>IF(DataTable[[#This Row],[Valor]]&gt;1,1,1)</f>
        <v>1</v>
      </c>
      <c r="T587" s="3">
        <f>IF(DataTable[[#This Row],[Valor]]&gt;1,1,1)</f>
        <v>1</v>
      </c>
      <c r="U587" s="3">
        <f>angr(DataTable[[#This Row],[Sentido]],DataTable[[#This Row],[Valor]])</f>
        <v>48.066141732283469</v>
      </c>
      <c r="V587" s="3">
        <f>ANGI(DataTable[[#This Row],[Sentido]],DataTable[[#This Row],[Valor]])</f>
        <v>48.266141732283465</v>
      </c>
      <c r="W587" s="3">
        <f t="shared" si="163"/>
        <v>2</v>
      </c>
      <c r="X587" s="3">
        <f>IF(DataTable[[#This Row],[Valor]]&gt;1,1,1)</f>
        <v>1</v>
      </c>
      <c r="Y587" s="3">
        <f t="shared" si="164"/>
        <v>2</v>
      </c>
      <c r="Z587" s="3">
        <f>IF(AND(DataTable[[#This Row],[Sentido]]="URUGUAI para BRASIL",DataTable[[#This Row],[Valor]]&gt;350),1,0)</f>
        <v>0</v>
      </c>
      <c r="AA587" s="3">
        <f>IF(DataTable[[#This Row],[Valor]]&gt;1,0,0)</f>
        <v>0</v>
      </c>
    </row>
    <row r="588" spans="1:27" x14ac:dyDescent="0.25">
      <c r="A588" s="2" t="s">
        <v>18</v>
      </c>
      <c r="B588" s="2">
        <v>179</v>
      </c>
      <c r="C588" s="3">
        <f t="shared" si="150"/>
        <v>72.83</v>
      </c>
      <c r="D588" s="3">
        <f t="shared" si="151"/>
        <v>87.65</v>
      </c>
      <c r="E588" s="3">
        <f t="shared" si="152"/>
        <v>83.75</v>
      </c>
      <c r="F588" s="3">
        <f t="shared" si="153"/>
        <v>50.68</v>
      </c>
      <c r="G588" s="3">
        <f t="shared" si="154"/>
        <v>123.52000000000001</v>
      </c>
      <c r="H588" s="3">
        <f t="shared" si="155"/>
        <v>123.52000000000001</v>
      </c>
      <c r="I588" s="3"/>
      <c r="J588" s="3">
        <f t="shared" si="156"/>
        <v>79.849999999999994</v>
      </c>
      <c r="K588" s="3">
        <f t="shared" si="157"/>
        <v>87.65</v>
      </c>
      <c r="L588" s="34">
        <f t="shared" si="158"/>
        <v>83.75</v>
      </c>
      <c r="M588" s="3">
        <f t="shared" si="159"/>
        <v>-71.600000000000009</v>
      </c>
      <c r="N588" s="3">
        <f t="shared" si="160"/>
        <v>114.2</v>
      </c>
      <c r="O588" s="3"/>
      <c r="P588" s="3">
        <f t="shared" si="161"/>
        <v>83.183363779527568</v>
      </c>
      <c r="Q588" s="3">
        <f t="shared" si="162"/>
        <v>109.8176</v>
      </c>
      <c r="R588" s="3">
        <f>vd(DataTable[[#This Row],[Sentido]],DataTable[[#This Row],[Valor]])</f>
        <v>94.177952755905508</v>
      </c>
      <c r="S588" s="3">
        <f>IF(DataTable[[#This Row],[Valor]]&gt;1,1,1)</f>
        <v>1</v>
      </c>
      <c r="T588" s="3">
        <f>IF(DataTable[[#This Row],[Valor]]&gt;1,1,1)</f>
        <v>1</v>
      </c>
      <c r="U588" s="3">
        <f>angr(DataTable[[#This Row],[Sentido]],DataTable[[#This Row],[Valor]])</f>
        <v>47.896850393700788</v>
      </c>
      <c r="V588" s="3">
        <f>ANGI(DataTable[[#This Row],[Sentido]],DataTable[[#This Row],[Valor]])</f>
        <v>48.096850393700784</v>
      </c>
      <c r="W588" s="3">
        <f t="shared" si="163"/>
        <v>2</v>
      </c>
      <c r="X588" s="3">
        <f>IF(DataTable[[#This Row],[Valor]]&gt;1,1,1)</f>
        <v>1</v>
      </c>
      <c r="Y588" s="3">
        <f t="shared" si="164"/>
        <v>2</v>
      </c>
      <c r="Z588" s="3">
        <f>IF(AND(DataTable[[#This Row],[Sentido]]="URUGUAI para BRASIL",DataTable[[#This Row],[Valor]]&gt;350),1,0)</f>
        <v>0</v>
      </c>
      <c r="AA588" s="3">
        <f>IF(DataTable[[#This Row],[Valor]]&gt;1,0,0)</f>
        <v>0</v>
      </c>
    </row>
    <row r="589" spans="1:27" x14ac:dyDescent="0.25">
      <c r="A589" s="2" t="s">
        <v>18</v>
      </c>
      <c r="B589" s="2">
        <v>180</v>
      </c>
      <c r="C589" s="3">
        <f t="shared" si="150"/>
        <v>72.83</v>
      </c>
      <c r="D589" s="3">
        <f t="shared" si="151"/>
        <v>87.65</v>
      </c>
      <c r="E589" s="3">
        <f t="shared" si="152"/>
        <v>83.75</v>
      </c>
      <c r="F589" s="3">
        <f t="shared" si="153"/>
        <v>50.6</v>
      </c>
      <c r="G589" s="3">
        <f t="shared" si="154"/>
        <v>123.4</v>
      </c>
      <c r="H589" s="3">
        <f t="shared" si="155"/>
        <v>123.4</v>
      </c>
      <c r="I589" s="3"/>
      <c r="J589" s="3">
        <f t="shared" si="156"/>
        <v>79.849999999999994</v>
      </c>
      <c r="K589" s="3">
        <f t="shared" si="157"/>
        <v>87.65</v>
      </c>
      <c r="L589" s="34">
        <f t="shared" si="158"/>
        <v>83.75</v>
      </c>
      <c r="M589" s="3">
        <f t="shared" si="159"/>
        <v>-72</v>
      </c>
      <c r="N589" s="3">
        <f t="shared" si="160"/>
        <v>114</v>
      </c>
      <c r="O589" s="3"/>
      <c r="P589" s="3">
        <f t="shared" si="161"/>
        <v>83.522166929133874</v>
      </c>
      <c r="Q589" s="3">
        <f t="shared" si="162"/>
        <v>109.8176</v>
      </c>
      <c r="R589" s="3">
        <f>vd(DataTable[[#This Row],[Sentido]],DataTable[[#This Row],[Valor]])</f>
        <v>94.492913385826768</v>
      </c>
      <c r="S589" s="3">
        <f>IF(DataTable[[#This Row],[Valor]]&gt;1,1,1)</f>
        <v>1</v>
      </c>
      <c r="T589" s="3">
        <f>IF(DataTable[[#This Row],[Valor]]&gt;1,1,1)</f>
        <v>1</v>
      </c>
      <c r="U589" s="3">
        <f>angr(DataTable[[#This Row],[Sentido]],DataTable[[#This Row],[Valor]])</f>
        <v>47.727559055118114</v>
      </c>
      <c r="V589" s="3">
        <f>ANGI(DataTable[[#This Row],[Sentido]],DataTable[[#This Row],[Valor]])</f>
        <v>47.92755905511811</v>
      </c>
      <c r="W589" s="3">
        <f t="shared" si="163"/>
        <v>2</v>
      </c>
      <c r="X589" s="3">
        <f>IF(DataTable[[#This Row],[Valor]]&gt;1,1,1)</f>
        <v>1</v>
      </c>
      <c r="Y589" s="3">
        <f t="shared" si="164"/>
        <v>2</v>
      </c>
      <c r="Z589" s="3">
        <f>IF(AND(DataTable[[#This Row],[Sentido]]="URUGUAI para BRASIL",DataTable[[#This Row],[Valor]]&gt;350),1,0)</f>
        <v>0</v>
      </c>
      <c r="AA589" s="3">
        <f>IF(DataTable[[#This Row],[Valor]]&gt;1,0,0)</f>
        <v>0</v>
      </c>
    </row>
    <row r="590" spans="1:27" x14ac:dyDescent="0.25">
      <c r="A590" s="2" t="s">
        <v>18</v>
      </c>
      <c r="B590" s="2">
        <v>181</v>
      </c>
      <c r="C590" s="3">
        <f t="shared" si="150"/>
        <v>72.83</v>
      </c>
      <c r="D590" s="3">
        <f t="shared" si="151"/>
        <v>87.65</v>
      </c>
      <c r="E590" s="3">
        <f t="shared" si="152"/>
        <v>83.75</v>
      </c>
      <c r="F590" s="3">
        <f t="shared" si="153"/>
        <v>50.519999999999996</v>
      </c>
      <c r="G590" s="3">
        <f t="shared" si="154"/>
        <v>123.28</v>
      </c>
      <c r="H590" s="3">
        <f t="shared" si="155"/>
        <v>123.28</v>
      </c>
      <c r="I590" s="3"/>
      <c r="J590" s="3">
        <f t="shared" si="156"/>
        <v>79.849999999999994</v>
      </c>
      <c r="K590" s="3">
        <f t="shared" si="157"/>
        <v>87.65</v>
      </c>
      <c r="L590" s="34">
        <f t="shared" si="158"/>
        <v>83.75</v>
      </c>
      <c r="M590" s="3">
        <f t="shared" si="159"/>
        <v>-72.400000000000006</v>
      </c>
      <c r="N590" s="3">
        <f t="shared" si="160"/>
        <v>113.8</v>
      </c>
      <c r="O590" s="3"/>
      <c r="P590" s="3">
        <f t="shared" si="161"/>
        <v>83.860970078740166</v>
      </c>
      <c r="Q590" s="3">
        <f t="shared" si="162"/>
        <v>109.8176</v>
      </c>
      <c r="R590" s="3">
        <f>vd(DataTable[[#This Row],[Sentido]],DataTable[[#This Row],[Valor]])</f>
        <v>94.807874015748027</v>
      </c>
      <c r="S590" s="3">
        <f>IF(DataTable[[#This Row],[Valor]]&gt;1,1,1)</f>
        <v>1</v>
      </c>
      <c r="T590" s="3">
        <f>IF(DataTable[[#This Row],[Valor]]&gt;1,1,1)</f>
        <v>1</v>
      </c>
      <c r="U590" s="3">
        <f>angr(DataTable[[#This Row],[Sentido]],DataTable[[#This Row],[Valor]])</f>
        <v>47.558267716535433</v>
      </c>
      <c r="V590" s="3">
        <f>ANGI(DataTable[[#This Row],[Sentido]],DataTable[[#This Row],[Valor]])</f>
        <v>47.758267716535428</v>
      </c>
      <c r="W590" s="3">
        <f t="shared" si="163"/>
        <v>2</v>
      </c>
      <c r="X590" s="3">
        <f>IF(DataTable[[#This Row],[Valor]]&gt;1,1,1)</f>
        <v>1</v>
      </c>
      <c r="Y590" s="3">
        <f t="shared" si="164"/>
        <v>2</v>
      </c>
      <c r="Z590" s="3">
        <f>IF(AND(DataTable[[#This Row],[Sentido]]="URUGUAI para BRASIL",DataTable[[#This Row],[Valor]]&gt;350),1,0)</f>
        <v>0</v>
      </c>
      <c r="AA590" s="3">
        <f>IF(DataTable[[#This Row],[Valor]]&gt;1,0,0)</f>
        <v>0</v>
      </c>
    </row>
    <row r="591" spans="1:27" x14ac:dyDescent="0.25">
      <c r="A591" s="2" t="s">
        <v>18</v>
      </c>
      <c r="B591" s="2">
        <v>182</v>
      </c>
      <c r="C591" s="3">
        <f t="shared" si="150"/>
        <v>72.83</v>
      </c>
      <c r="D591" s="3">
        <f t="shared" si="151"/>
        <v>87.65</v>
      </c>
      <c r="E591" s="3">
        <f t="shared" si="152"/>
        <v>83.75</v>
      </c>
      <c r="F591" s="3">
        <f t="shared" si="153"/>
        <v>50.44</v>
      </c>
      <c r="G591" s="3">
        <f t="shared" si="154"/>
        <v>123.16</v>
      </c>
      <c r="H591" s="3">
        <f t="shared" si="155"/>
        <v>123.16</v>
      </c>
      <c r="I591" s="3"/>
      <c r="J591" s="3">
        <f t="shared" si="156"/>
        <v>79.849999999999994</v>
      </c>
      <c r="K591" s="3">
        <f t="shared" si="157"/>
        <v>87.65</v>
      </c>
      <c r="L591" s="34">
        <f t="shared" si="158"/>
        <v>83.75</v>
      </c>
      <c r="M591" s="3">
        <f t="shared" si="159"/>
        <v>-72.8</v>
      </c>
      <c r="N591" s="3">
        <f t="shared" si="160"/>
        <v>113.6</v>
      </c>
      <c r="O591" s="3"/>
      <c r="P591" s="3">
        <f t="shared" si="161"/>
        <v>84.199773228346459</v>
      </c>
      <c r="Q591" s="3">
        <f t="shared" si="162"/>
        <v>109.8176</v>
      </c>
      <c r="R591" s="3">
        <f>vd(DataTable[[#This Row],[Sentido]],DataTable[[#This Row],[Valor]])</f>
        <v>95.122834645669286</v>
      </c>
      <c r="S591" s="3">
        <f>IF(DataTable[[#This Row],[Valor]]&gt;1,1,1)</f>
        <v>1</v>
      </c>
      <c r="T591" s="3">
        <f>IF(DataTable[[#This Row],[Valor]]&gt;1,1,1)</f>
        <v>1</v>
      </c>
      <c r="U591" s="3">
        <f>angr(DataTable[[#This Row],[Sentido]],DataTable[[#This Row],[Valor]])</f>
        <v>47.388976377952758</v>
      </c>
      <c r="V591" s="3">
        <f>ANGI(DataTable[[#This Row],[Sentido]],DataTable[[#This Row],[Valor]])</f>
        <v>47.588976377952754</v>
      </c>
      <c r="W591" s="3">
        <f t="shared" si="163"/>
        <v>2</v>
      </c>
      <c r="X591" s="3">
        <f>IF(DataTable[[#This Row],[Valor]]&gt;1,1,1)</f>
        <v>1</v>
      </c>
      <c r="Y591" s="3">
        <f t="shared" si="164"/>
        <v>2</v>
      </c>
      <c r="Z591" s="3">
        <f>IF(AND(DataTable[[#This Row],[Sentido]]="URUGUAI para BRASIL",DataTable[[#This Row],[Valor]]&gt;350),1,0)</f>
        <v>0</v>
      </c>
      <c r="AA591" s="3">
        <f>IF(DataTable[[#This Row],[Valor]]&gt;1,0,0)</f>
        <v>0</v>
      </c>
    </row>
    <row r="592" spans="1:27" x14ac:dyDescent="0.25">
      <c r="A592" s="2" t="s">
        <v>18</v>
      </c>
      <c r="B592" s="2">
        <v>183</v>
      </c>
      <c r="C592" s="3">
        <f t="shared" si="150"/>
        <v>72.83</v>
      </c>
      <c r="D592" s="3">
        <f t="shared" si="151"/>
        <v>87.65</v>
      </c>
      <c r="E592" s="3">
        <f t="shared" si="152"/>
        <v>83.75</v>
      </c>
      <c r="F592" s="3">
        <f t="shared" si="153"/>
        <v>50.36</v>
      </c>
      <c r="G592" s="3">
        <f t="shared" si="154"/>
        <v>123.03999999999999</v>
      </c>
      <c r="H592" s="3">
        <f t="shared" si="155"/>
        <v>123.03999999999999</v>
      </c>
      <c r="I592" s="3"/>
      <c r="J592" s="3">
        <f t="shared" si="156"/>
        <v>79.849999999999994</v>
      </c>
      <c r="K592" s="3">
        <f t="shared" si="157"/>
        <v>87.65</v>
      </c>
      <c r="L592" s="34">
        <f t="shared" si="158"/>
        <v>83.75</v>
      </c>
      <c r="M592" s="3">
        <f t="shared" si="159"/>
        <v>-73.2</v>
      </c>
      <c r="N592" s="3">
        <f t="shared" si="160"/>
        <v>113.39999999999999</v>
      </c>
      <c r="O592" s="3"/>
      <c r="P592" s="3">
        <f t="shared" si="161"/>
        <v>84.538576377952765</v>
      </c>
      <c r="Q592" s="3">
        <f t="shared" si="162"/>
        <v>109.8176</v>
      </c>
      <c r="R592" s="3">
        <f>vd(DataTable[[#This Row],[Sentido]],DataTable[[#This Row],[Valor]])</f>
        <v>95.437795275590545</v>
      </c>
      <c r="S592" s="3">
        <f>IF(DataTable[[#This Row],[Valor]]&gt;1,1,1)</f>
        <v>1</v>
      </c>
      <c r="T592" s="3">
        <f>IF(DataTable[[#This Row],[Valor]]&gt;1,1,1)</f>
        <v>1</v>
      </c>
      <c r="U592" s="3">
        <f>angr(DataTable[[#This Row],[Sentido]],DataTable[[#This Row],[Valor]])</f>
        <v>47.219685039370077</v>
      </c>
      <c r="V592" s="3">
        <f>ANGI(DataTable[[#This Row],[Sentido]],DataTable[[#This Row],[Valor]])</f>
        <v>47.419685039370073</v>
      </c>
      <c r="W592" s="3">
        <f t="shared" si="163"/>
        <v>2</v>
      </c>
      <c r="X592" s="3">
        <f>IF(DataTable[[#This Row],[Valor]]&gt;1,1,1)</f>
        <v>1</v>
      </c>
      <c r="Y592" s="3">
        <f t="shared" si="164"/>
        <v>2</v>
      </c>
      <c r="Z592" s="3">
        <f>IF(AND(DataTable[[#This Row],[Sentido]]="URUGUAI para BRASIL",DataTable[[#This Row],[Valor]]&gt;350),1,0)</f>
        <v>0</v>
      </c>
      <c r="AA592" s="3">
        <f>IF(DataTable[[#This Row],[Valor]]&gt;1,0,0)</f>
        <v>0</v>
      </c>
    </row>
    <row r="593" spans="1:27" x14ac:dyDescent="0.25">
      <c r="A593" s="2" t="s">
        <v>18</v>
      </c>
      <c r="B593" s="2">
        <v>184</v>
      </c>
      <c r="C593" s="3">
        <f t="shared" si="150"/>
        <v>72.83</v>
      </c>
      <c r="D593" s="3">
        <f t="shared" si="151"/>
        <v>87.65</v>
      </c>
      <c r="E593" s="3">
        <f t="shared" si="152"/>
        <v>83.75</v>
      </c>
      <c r="F593" s="3">
        <f t="shared" si="153"/>
        <v>50.28</v>
      </c>
      <c r="G593" s="3">
        <f t="shared" si="154"/>
        <v>122.92</v>
      </c>
      <c r="H593" s="3">
        <f t="shared" si="155"/>
        <v>122.92</v>
      </c>
      <c r="I593" s="3"/>
      <c r="J593" s="3">
        <f t="shared" si="156"/>
        <v>79.849999999999994</v>
      </c>
      <c r="K593" s="3">
        <f t="shared" si="157"/>
        <v>87.65</v>
      </c>
      <c r="L593" s="34">
        <f t="shared" si="158"/>
        <v>83.75</v>
      </c>
      <c r="M593" s="3">
        <f t="shared" si="159"/>
        <v>-73.600000000000009</v>
      </c>
      <c r="N593" s="3">
        <f t="shared" si="160"/>
        <v>113.2</v>
      </c>
      <c r="O593" s="3"/>
      <c r="P593" s="3">
        <f t="shared" si="161"/>
        <v>84.877379527559057</v>
      </c>
      <c r="Q593" s="3">
        <f t="shared" si="162"/>
        <v>109.8176</v>
      </c>
      <c r="R593" s="3">
        <f>vd(DataTable[[#This Row],[Sentido]],DataTable[[#This Row],[Valor]])</f>
        <v>95.752755905511805</v>
      </c>
      <c r="S593" s="3">
        <f>IF(DataTable[[#This Row],[Valor]]&gt;1,1,1)</f>
        <v>1</v>
      </c>
      <c r="T593" s="3">
        <f>IF(DataTable[[#This Row],[Valor]]&gt;1,1,1)</f>
        <v>1</v>
      </c>
      <c r="U593" s="3">
        <f>angr(DataTable[[#This Row],[Sentido]],DataTable[[#This Row],[Valor]])</f>
        <v>47.050393700787403</v>
      </c>
      <c r="V593" s="3">
        <f>ANGI(DataTable[[#This Row],[Sentido]],DataTable[[#This Row],[Valor]])</f>
        <v>47.250393700787399</v>
      </c>
      <c r="W593" s="3">
        <f t="shared" si="163"/>
        <v>2</v>
      </c>
      <c r="X593" s="3">
        <f>IF(DataTable[[#This Row],[Valor]]&gt;1,1,1)</f>
        <v>1</v>
      </c>
      <c r="Y593" s="3">
        <f t="shared" si="164"/>
        <v>2</v>
      </c>
      <c r="Z593" s="3">
        <f>IF(AND(DataTable[[#This Row],[Sentido]]="URUGUAI para BRASIL",DataTable[[#This Row],[Valor]]&gt;350),1,0)</f>
        <v>0</v>
      </c>
      <c r="AA593" s="3">
        <f>IF(DataTable[[#This Row],[Valor]]&gt;1,0,0)</f>
        <v>0</v>
      </c>
    </row>
    <row r="594" spans="1:27" x14ac:dyDescent="0.25">
      <c r="A594" s="2" t="s">
        <v>18</v>
      </c>
      <c r="B594" s="2">
        <v>185</v>
      </c>
      <c r="C594" s="3">
        <f t="shared" si="150"/>
        <v>72.83</v>
      </c>
      <c r="D594" s="3">
        <f t="shared" si="151"/>
        <v>87.65</v>
      </c>
      <c r="E594" s="3">
        <f t="shared" si="152"/>
        <v>83.75</v>
      </c>
      <c r="F594" s="3">
        <f t="shared" si="153"/>
        <v>50.2</v>
      </c>
      <c r="G594" s="3">
        <f t="shared" si="154"/>
        <v>122.80000000000001</v>
      </c>
      <c r="H594" s="3">
        <f t="shared" si="155"/>
        <v>122.80000000000001</v>
      </c>
      <c r="I594" s="3"/>
      <c r="J594" s="3">
        <f t="shared" si="156"/>
        <v>79.849999999999994</v>
      </c>
      <c r="K594" s="3">
        <f t="shared" si="157"/>
        <v>87.65</v>
      </c>
      <c r="L594" s="34">
        <f t="shared" si="158"/>
        <v>83.75</v>
      </c>
      <c r="M594" s="3">
        <f t="shared" si="159"/>
        <v>-74</v>
      </c>
      <c r="N594" s="3">
        <f t="shared" si="160"/>
        <v>113</v>
      </c>
      <c r="O594" s="3"/>
      <c r="P594" s="3">
        <f t="shared" si="161"/>
        <v>85.216182677165349</v>
      </c>
      <c r="Q594" s="3">
        <f t="shared" si="162"/>
        <v>109.8176</v>
      </c>
      <c r="R594" s="3">
        <f>vd(DataTable[[#This Row],[Sentido]],DataTable[[#This Row],[Valor]])</f>
        <v>96.067716535433064</v>
      </c>
      <c r="S594" s="3">
        <f>IF(DataTable[[#This Row],[Valor]]&gt;1,1,1)</f>
        <v>1</v>
      </c>
      <c r="T594" s="3">
        <f>IF(DataTable[[#This Row],[Valor]]&gt;1,1,1)</f>
        <v>1</v>
      </c>
      <c r="U594" s="3">
        <f>angr(DataTable[[#This Row],[Sentido]],DataTable[[#This Row],[Valor]])</f>
        <v>46.881102362204729</v>
      </c>
      <c r="V594" s="3">
        <f>ANGI(DataTable[[#This Row],[Sentido]],DataTable[[#This Row],[Valor]])</f>
        <v>47.081102362204724</v>
      </c>
      <c r="W594" s="3">
        <f t="shared" si="163"/>
        <v>2</v>
      </c>
      <c r="X594" s="3">
        <f>IF(DataTable[[#This Row],[Valor]]&gt;1,1,1)</f>
        <v>1</v>
      </c>
      <c r="Y594" s="3">
        <f t="shared" si="164"/>
        <v>2</v>
      </c>
      <c r="Z594" s="3">
        <f>IF(AND(DataTable[[#This Row],[Sentido]]="URUGUAI para BRASIL",DataTable[[#This Row],[Valor]]&gt;350),1,0)</f>
        <v>0</v>
      </c>
      <c r="AA594" s="3">
        <f>IF(DataTable[[#This Row],[Valor]]&gt;1,0,0)</f>
        <v>0</v>
      </c>
    </row>
    <row r="595" spans="1:27" x14ac:dyDescent="0.25">
      <c r="A595" s="2" t="s">
        <v>18</v>
      </c>
      <c r="B595" s="2">
        <v>186</v>
      </c>
      <c r="C595" s="3">
        <f t="shared" si="150"/>
        <v>72.83</v>
      </c>
      <c r="D595" s="3">
        <f t="shared" si="151"/>
        <v>87.65</v>
      </c>
      <c r="E595" s="3">
        <f t="shared" si="152"/>
        <v>83.75</v>
      </c>
      <c r="F595" s="3">
        <f t="shared" si="153"/>
        <v>50.12</v>
      </c>
      <c r="G595" s="3">
        <f t="shared" si="154"/>
        <v>122.68</v>
      </c>
      <c r="H595" s="3">
        <f t="shared" si="155"/>
        <v>122.68</v>
      </c>
      <c r="I595" s="3"/>
      <c r="J595" s="3">
        <f t="shared" si="156"/>
        <v>79.849999999999994</v>
      </c>
      <c r="K595" s="3">
        <f t="shared" si="157"/>
        <v>87.65</v>
      </c>
      <c r="L595" s="34">
        <f t="shared" si="158"/>
        <v>83.75</v>
      </c>
      <c r="M595" s="3">
        <f t="shared" si="159"/>
        <v>-74.400000000000006</v>
      </c>
      <c r="N595" s="3">
        <f t="shared" si="160"/>
        <v>112.8</v>
      </c>
      <c r="O595" s="3"/>
      <c r="P595" s="3">
        <f t="shared" si="161"/>
        <v>85.55498582677167</v>
      </c>
      <c r="Q595" s="3">
        <f t="shared" si="162"/>
        <v>109.8176</v>
      </c>
      <c r="R595" s="3">
        <f>vd(DataTable[[#This Row],[Sentido]],DataTable[[#This Row],[Valor]])</f>
        <v>96.382677165354337</v>
      </c>
      <c r="S595" s="3">
        <f>IF(DataTable[[#This Row],[Valor]]&gt;1,1,1)</f>
        <v>1</v>
      </c>
      <c r="T595" s="3">
        <f>IF(DataTable[[#This Row],[Valor]]&gt;1,1,1)</f>
        <v>1</v>
      </c>
      <c r="U595" s="3">
        <f>angr(DataTable[[#This Row],[Sentido]],DataTable[[#This Row],[Valor]])</f>
        <v>46.711811023622047</v>
      </c>
      <c r="V595" s="3">
        <f>ANGI(DataTable[[#This Row],[Sentido]],DataTable[[#This Row],[Valor]])</f>
        <v>46.911811023622043</v>
      </c>
      <c r="W595" s="3">
        <f t="shared" si="163"/>
        <v>2</v>
      </c>
      <c r="X595" s="3">
        <f>IF(DataTable[[#This Row],[Valor]]&gt;1,1,1)</f>
        <v>1</v>
      </c>
      <c r="Y595" s="3">
        <f t="shared" si="164"/>
        <v>2</v>
      </c>
      <c r="Z595" s="3">
        <f>IF(AND(DataTable[[#This Row],[Sentido]]="URUGUAI para BRASIL",DataTable[[#This Row],[Valor]]&gt;350),1,0)</f>
        <v>0</v>
      </c>
      <c r="AA595" s="3">
        <f>IF(DataTable[[#This Row],[Valor]]&gt;1,0,0)</f>
        <v>0</v>
      </c>
    </row>
    <row r="596" spans="1:27" x14ac:dyDescent="0.25">
      <c r="A596" s="2" t="s">
        <v>18</v>
      </c>
      <c r="B596" s="2">
        <v>187</v>
      </c>
      <c r="C596" s="3">
        <f t="shared" si="150"/>
        <v>72.83</v>
      </c>
      <c r="D596" s="3">
        <f t="shared" si="151"/>
        <v>87.65</v>
      </c>
      <c r="E596" s="3">
        <f t="shared" si="152"/>
        <v>83.75</v>
      </c>
      <c r="F596" s="3">
        <f t="shared" si="153"/>
        <v>50.04</v>
      </c>
      <c r="G596" s="3">
        <f t="shared" si="154"/>
        <v>122.56</v>
      </c>
      <c r="H596" s="3">
        <f t="shared" si="155"/>
        <v>122.56</v>
      </c>
      <c r="I596" s="3"/>
      <c r="J596" s="3">
        <f t="shared" si="156"/>
        <v>79.849999999999994</v>
      </c>
      <c r="K596" s="3">
        <f t="shared" si="157"/>
        <v>87.65</v>
      </c>
      <c r="L596" s="34">
        <f t="shared" si="158"/>
        <v>83.75</v>
      </c>
      <c r="M596" s="3">
        <f t="shared" si="159"/>
        <v>-74.8</v>
      </c>
      <c r="N596" s="3">
        <f t="shared" si="160"/>
        <v>112.6</v>
      </c>
      <c r="O596" s="3"/>
      <c r="P596" s="3">
        <f t="shared" si="161"/>
        <v>85.893788976377962</v>
      </c>
      <c r="Q596" s="3">
        <f t="shared" si="162"/>
        <v>109.8176</v>
      </c>
      <c r="R596" s="3">
        <f>vd(DataTable[[#This Row],[Sentido]],DataTable[[#This Row],[Valor]])</f>
        <v>96.697637795275583</v>
      </c>
      <c r="S596" s="3">
        <f>IF(DataTable[[#This Row],[Valor]]&gt;1,1,1)</f>
        <v>1</v>
      </c>
      <c r="T596" s="3">
        <f>IF(DataTable[[#This Row],[Valor]]&gt;1,1,1)</f>
        <v>1</v>
      </c>
      <c r="U596" s="3">
        <f>angr(DataTable[[#This Row],[Sentido]],DataTable[[#This Row],[Valor]])</f>
        <v>46.542519685039366</v>
      </c>
      <c r="V596" s="3">
        <f>ANGI(DataTable[[#This Row],[Sentido]],DataTable[[#This Row],[Valor]])</f>
        <v>46.742519685039369</v>
      </c>
      <c r="W596" s="3">
        <f t="shared" si="163"/>
        <v>2</v>
      </c>
      <c r="X596" s="3">
        <f>IF(DataTable[[#This Row],[Valor]]&gt;1,1,1)</f>
        <v>1</v>
      </c>
      <c r="Y596" s="3">
        <f t="shared" si="164"/>
        <v>2</v>
      </c>
      <c r="Z596" s="3">
        <f>IF(AND(DataTable[[#This Row],[Sentido]]="URUGUAI para BRASIL",DataTable[[#This Row],[Valor]]&gt;350),1,0)</f>
        <v>0</v>
      </c>
      <c r="AA596" s="3">
        <f>IF(DataTable[[#This Row],[Valor]]&gt;1,0,0)</f>
        <v>0</v>
      </c>
    </row>
    <row r="597" spans="1:27" x14ac:dyDescent="0.25">
      <c r="A597" s="2" t="s">
        <v>18</v>
      </c>
      <c r="B597" s="2">
        <v>188</v>
      </c>
      <c r="C597" s="3">
        <f t="shared" si="150"/>
        <v>72.83</v>
      </c>
      <c r="D597" s="3">
        <f t="shared" si="151"/>
        <v>87.65</v>
      </c>
      <c r="E597" s="3">
        <f t="shared" si="152"/>
        <v>83.75</v>
      </c>
      <c r="F597" s="3">
        <f t="shared" si="153"/>
        <v>49.96</v>
      </c>
      <c r="G597" s="3">
        <f t="shared" si="154"/>
        <v>122.44</v>
      </c>
      <c r="H597" s="3">
        <f t="shared" si="155"/>
        <v>122.44</v>
      </c>
      <c r="I597" s="3"/>
      <c r="J597" s="3">
        <f t="shared" si="156"/>
        <v>79.849999999999994</v>
      </c>
      <c r="K597" s="3">
        <f t="shared" si="157"/>
        <v>87.65</v>
      </c>
      <c r="L597" s="34">
        <f t="shared" si="158"/>
        <v>83.75</v>
      </c>
      <c r="M597" s="3">
        <f t="shared" si="159"/>
        <v>-75.2</v>
      </c>
      <c r="N597" s="3">
        <f t="shared" si="160"/>
        <v>112.39999999999999</v>
      </c>
      <c r="O597" s="3"/>
      <c r="P597" s="3">
        <f t="shared" si="161"/>
        <v>86.232592125984254</v>
      </c>
      <c r="Q597" s="3">
        <f t="shared" si="162"/>
        <v>109.8176</v>
      </c>
      <c r="R597" s="3">
        <f>vd(DataTable[[#This Row],[Sentido]],DataTable[[#This Row],[Valor]])</f>
        <v>97.012598425196842</v>
      </c>
      <c r="S597" s="3">
        <f>IF(DataTable[[#This Row],[Valor]]&gt;1,1,1)</f>
        <v>1</v>
      </c>
      <c r="T597" s="3">
        <f>IF(DataTable[[#This Row],[Valor]]&gt;1,1,1)</f>
        <v>1</v>
      </c>
      <c r="U597" s="3">
        <f>angr(DataTable[[#This Row],[Sentido]],DataTable[[#This Row],[Valor]])</f>
        <v>46.373228346456692</v>
      </c>
      <c r="V597" s="3">
        <f>ANGI(DataTable[[#This Row],[Sentido]],DataTable[[#This Row],[Valor]])</f>
        <v>46.573228346456695</v>
      </c>
      <c r="W597" s="3">
        <f t="shared" si="163"/>
        <v>2</v>
      </c>
      <c r="X597" s="3">
        <f>IF(DataTable[[#This Row],[Valor]]&gt;1,1,1)</f>
        <v>1</v>
      </c>
      <c r="Y597" s="3">
        <f t="shared" si="164"/>
        <v>2</v>
      </c>
      <c r="Z597" s="3">
        <f>IF(AND(DataTable[[#This Row],[Sentido]]="URUGUAI para BRASIL",DataTable[[#This Row],[Valor]]&gt;350),1,0)</f>
        <v>0</v>
      </c>
      <c r="AA597" s="3">
        <f>IF(DataTable[[#This Row],[Valor]]&gt;1,0,0)</f>
        <v>0</v>
      </c>
    </row>
    <row r="598" spans="1:27" x14ac:dyDescent="0.25">
      <c r="A598" s="2" t="s">
        <v>18</v>
      </c>
      <c r="B598" s="2">
        <v>189</v>
      </c>
      <c r="C598" s="3">
        <f t="shared" si="150"/>
        <v>72.83</v>
      </c>
      <c r="D598" s="3">
        <f t="shared" si="151"/>
        <v>87.65</v>
      </c>
      <c r="E598" s="3">
        <f t="shared" si="152"/>
        <v>83.75</v>
      </c>
      <c r="F598" s="3">
        <f t="shared" si="153"/>
        <v>49.879999999999995</v>
      </c>
      <c r="G598" s="3">
        <f t="shared" si="154"/>
        <v>122.32</v>
      </c>
      <c r="H598" s="3">
        <f t="shared" si="155"/>
        <v>122.32</v>
      </c>
      <c r="I598" s="3"/>
      <c r="J598" s="3">
        <f t="shared" si="156"/>
        <v>79.849999999999994</v>
      </c>
      <c r="K598" s="3">
        <f t="shared" si="157"/>
        <v>87.65</v>
      </c>
      <c r="L598" s="34">
        <f t="shared" si="158"/>
        <v>83.75</v>
      </c>
      <c r="M598" s="3">
        <f t="shared" si="159"/>
        <v>-75.600000000000009</v>
      </c>
      <c r="N598" s="3">
        <f t="shared" si="160"/>
        <v>112.2</v>
      </c>
      <c r="O598" s="3"/>
      <c r="P598" s="3">
        <f t="shared" si="161"/>
        <v>86.571395275590561</v>
      </c>
      <c r="Q598" s="3">
        <f t="shared" si="162"/>
        <v>109.8176</v>
      </c>
      <c r="R598" s="3">
        <f>vd(DataTable[[#This Row],[Sentido]],DataTable[[#This Row],[Valor]])</f>
        <v>97.327559055118115</v>
      </c>
      <c r="S598" s="3">
        <f>IF(DataTable[[#This Row],[Valor]]&gt;1,1,1)</f>
        <v>1</v>
      </c>
      <c r="T598" s="3">
        <f>IF(DataTable[[#This Row],[Valor]]&gt;1,1,1)</f>
        <v>1</v>
      </c>
      <c r="U598" s="3">
        <f>angr(DataTable[[#This Row],[Sentido]],DataTable[[#This Row],[Valor]])</f>
        <v>46.203937007874011</v>
      </c>
      <c r="V598" s="3">
        <f>ANGI(DataTable[[#This Row],[Sentido]],DataTable[[#This Row],[Valor]])</f>
        <v>46.403937007874013</v>
      </c>
      <c r="W598" s="3">
        <f t="shared" si="163"/>
        <v>2</v>
      </c>
      <c r="X598" s="3">
        <f>IF(DataTable[[#This Row],[Valor]]&gt;1,1,1)</f>
        <v>1</v>
      </c>
      <c r="Y598" s="3">
        <f t="shared" si="164"/>
        <v>2</v>
      </c>
      <c r="Z598" s="3">
        <f>IF(AND(DataTable[[#This Row],[Sentido]]="URUGUAI para BRASIL",DataTable[[#This Row],[Valor]]&gt;350),1,0)</f>
        <v>0</v>
      </c>
      <c r="AA598" s="3">
        <f>IF(DataTable[[#This Row],[Valor]]&gt;1,0,0)</f>
        <v>0</v>
      </c>
    </row>
    <row r="599" spans="1:27" x14ac:dyDescent="0.25">
      <c r="A599" s="2" t="s">
        <v>18</v>
      </c>
      <c r="B599" s="2">
        <v>190</v>
      </c>
      <c r="C599" s="3">
        <f t="shared" si="150"/>
        <v>72.83</v>
      </c>
      <c r="D599" s="3">
        <f t="shared" si="151"/>
        <v>87.65</v>
      </c>
      <c r="E599" s="3">
        <f t="shared" si="152"/>
        <v>83.75</v>
      </c>
      <c r="F599" s="3">
        <f t="shared" si="153"/>
        <v>49.8</v>
      </c>
      <c r="G599" s="3">
        <f t="shared" si="154"/>
        <v>122.2</v>
      </c>
      <c r="H599" s="3">
        <f t="shared" si="155"/>
        <v>122.2</v>
      </c>
      <c r="I599" s="3"/>
      <c r="J599" s="3">
        <f t="shared" si="156"/>
        <v>79.849999999999994</v>
      </c>
      <c r="K599" s="3">
        <f t="shared" si="157"/>
        <v>87.65</v>
      </c>
      <c r="L599" s="34">
        <f t="shared" si="158"/>
        <v>83.75</v>
      </c>
      <c r="M599" s="3">
        <f t="shared" si="159"/>
        <v>-76</v>
      </c>
      <c r="N599" s="3">
        <f t="shared" si="160"/>
        <v>112</v>
      </c>
      <c r="O599" s="3"/>
      <c r="P599" s="3">
        <f t="shared" si="161"/>
        <v>86.910198425196853</v>
      </c>
      <c r="Q599" s="3">
        <f t="shared" si="162"/>
        <v>109.8176</v>
      </c>
      <c r="R599" s="3">
        <f>vd(DataTable[[#This Row],[Sentido]],DataTable[[#This Row],[Valor]])</f>
        <v>97.642519685039375</v>
      </c>
      <c r="S599" s="3">
        <f>IF(DataTable[[#This Row],[Valor]]&gt;1,1,1)</f>
        <v>1</v>
      </c>
      <c r="T599" s="3">
        <f>IF(DataTable[[#This Row],[Valor]]&gt;1,1,1)</f>
        <v>1</v>
      </c>
      <c r="U599" s="3">
        <f>angr(DataTable[[#This Row],[Sentido]],DataTable[[#This Row],[Valor]])</f>
        <v>46.034645669291336</v>
      </c>
      <c r="V599" s="3">
        <f>ANGI(DataTable[[#This Row],[Sentido]],DataTable[[#This Row],[Valor]])</f>
        <v>46.234645669291339</v>
      </c>
      <c r="W599" s="3">
        <f t="shared" si="163"/>
        <v>2</v>
      </c>
      <c r="X599" s="3">
        <f>IF(DataTable[[#This Row],[Valor]]&gt;1,1,1)</f>
        <v>1</v>
      </c>
      <c r="Y599" s="3">
        <f t="shared" si="164"/>
        <v>2</v>
      </c>
      <c r="Z599" s="3">
        <f>IF(AND(DataTable[[#This Row],[Sentido]]="URUGUAI para BRASIL",DataTable[[#This Row],[Valor]]&gt;350),1,0)</f>
        <v>0</v>
      </c>
      <c r="AA599" s="3">
        <f>IF(DataTable[[#This Row],[Valor]]&gt;1,0,0)</f>
        <v>0</v>
      </c>
    </row>
    <row r="600" spans="1:27" x14ac:dyDescent="0.25">
      <c r="A600" s="2" t="s">
        <v>18</v>
      </c>
      <c r="B600" s="2">
        <v>191</v>
      </c>
      <c r="C600" s="3">
        <f t="shared" si="150"/>
        <v>72.83</v>
      </c>
      <c r="D600" s="3">
        <f t="shared" si="151"/>
        <v>87.65</v>
      </c>
      <c r="E600" s="3">
        <f t="shared" si="152"/>
        <v>83.75</v>
      </c>
      <c r="F600" s="3">
        <f t="shared" si="153"/>
        <v>49.72</v>
      </c>
      <c r="G600" s="3">
        <f t="shared" si="154"/>
        <v>122.08</v>
      </c>
      <c r="H600" s="3">
        <f t="shared" si="155"/>
        <v>122.08</v>
      </c>
      <c r="I600" s="3"/>
      <c r="J600" s="3">
        <f t="shared" si="156"/>
        <v>79.849999999999994</v>
      </c>
      <c r="K600" s="3">
        <f t="shared" si="157"/>
        <v>87.65</v>
      </c>
      <c r="L600" s="34">
        <f t="shared" si="158"/>
        <v>83.75</v>
      </c>
      <c r="M600" s="3">
        <f t="shared" si="159"/>
        <v>-76.400000000000006</v>
      </c>
      <c r="N600" s="3">
        <f t="shared" si="160"/>
        <v>111.8</v>
      </c>
      <c r="O600" s="3"/>
      <c r="P600" s="3">
        <f t="shared" si="161"/>
        <v>87.249001574803145</v>
      </c>
      <c r="Q600" s="3">
        <f t="shared" si="162"/>
        <v>109.8176</v>
      </c>
      <c r="R600" s="3">
        <f>vd(DataTable[[#This Row],[Sentido]],DataTable[[#This Row],[Valor]])</f>
        <v>97.95748031496062</v>
      </c>
      <c r="S600" s="3">
        <f>IF(DataTable[[#This Row],[Valor]]&gt;1,1,1)</f>
        <v>1</v>
      </c>
      <c r="T600" s="3">
        <f>IF(DataTable[[#This Row],[Valor]]&gt;1,1,1)</f>
        <v>1</v>
      </c>
      <c r="U600" s="3">
        <f>angr(DataTable[[#This Row],[Sentido]],DataTable[[#This Row],[Valor]])</f>
        <v>45.865354330708662</v>
      </c>
      <c r="V600" s="3">
        <f>ANGI(DataTable[[#This Row],[Sentido]],DataTable[[#This Row],[Valor]])</f>
        <v>46.065354330708658</v>
      </c>
      <c r="W600" s="3">
        <f t="shared" si="163"/>
        <v>2</v>
      </c>
      <c r="X600" s="3">
        <f>IF(DataTable[[#This Row],[Valor]]&gt;1,1,1)</f>
        <v>1</v>
      </c>
      <c r="Y600" s="3">
        <f t="shared" si="164"/>
        <v>2</v>
      </c>
      <c r="Z600" s="3">
        <f>IF(AND(DataTable[[#This Row],[Sentido]]="URUGUAI para BRASIL",DataTable[[#This Row],[Valor]]&gt;350),1,0)</f>
        <v>0</v>
      </c>
      <c r="AA600" s="3">
        <f>IF(DataTable[[#This Row],[Valor]]&gt;1,0,0)</f>
        <v>0</v>
      </c>
    </row>
    <row r="601" spans="1:27" x14ac:dyDescent="0.25">
      <c r="A601" s="2" t="s">
        <v>18</v>
      </c>
      <c r="B601" s="2">
        <v>192</v>
      </c>
      <c r="C601" s="3">
        <f t="shared" si="150"/>
        <v>72.83</v>
      </c>
      <c r="D601" s="3">
        <f t="shared" si="151"/>
        <v>87.65</v>
      </c>
      <c r="E601" s="3">
        <f t="shared" si="152"/>
        <v>83.75</v>
      </c>
      <c r="F601" s="3">
        <f t="shared" si="153"/>
        <v>49.64</v>
      </c>
      <c r="G601" s="3">
        <f t="shared" si="154"/>
        <v>121.96000000000001</v>
      </c>
      <c r="H601" s="3">
        <f t="shared" si="155"/>
        <v>121.96000000000001</v>
      </c>
      <c r="I601" s="3"/>
      <c r="J601" s="3">
        <f t="shared" si="156"/>
        <v>79.849999999999994</v>
      </c>
      <c r="K601" s="3">
        <f t="shared" si="157"/>
        <v>87.65</v>
      </c>
      <c r="L601" s="34">
        <f t="shared" si="158"/>
        <v>83.75</v>
      </c>
      <c r="M601" s="3">
        <f t="shared" si="159"/>
        <v>-76.800000000000011</v>
      </c>
      <c r="N601" s="3">
        <f t="shared" si="160"/>
        <v>111.6</v>
      </c>
      <c r="O601" s="3"/>
      <c r="P601" s="3">
        <f t="shared" si="161"/>
        <v>87.587804724409452</v>
      </c>
      <c r="Q601" s="3">
        <f t="shared" si="162"/>
        <v>109.8176</v>
      </c>
      <c r="R601" s="3">
        <f>vd(DataTable[[#This Row],[Sentido]],DataTable[[#This Row],[Valor]])</f>
        <v>98.272440944881879</v>
      </c>
      <c r="S601" s="3">
        <f>IF(DataTable[[#This Row],[Valor]]&gt;1,1,1)</f>
        <v>1</v>
      </c>
      <c r="T601" s="3">
        <f>IF(DataTable[[#This Row],[Valor]]&gt;1,1,1)</f>
        <v>1</v>
      </c>
      <c r="U601" s="3">
        <f>angr(DataTable[[#This Row],[Sentido]],DataTable[[#This Row],[Valor]])</f>
        <v>45.696062992125988</v>
      </c>
      <c r="V601" s="3">
        <f>ANGI(DataTable[[#This Row],[Sentido]],DataTable[[#This Row],[Valor]])</f>
        <v>45.896062992125984</v>
      </c>
      <c r="W601" s="3">
        <f t="shared" si="163"/>
        <v>2</v>
      </c>
      <c r="X601" s="3">
        <f>IF(DataTable[[#This Row],[Valor]]&gt;1,1,1)</f>
        <v>1</v>
      </c>
      <c r="Y601" s="3">
        <f t="shared" si="164"/>
        <v>2</v>
      </c>
      <c r="Z601" s="3">
        <f>IF(AND(DataTable[[#This Row],[Sentido]]="URUGUAI para BRASIL",DataTable[[#This Row],[Valor]]&gt;350),1,0)</f>
        <v>0</v>
      </c>
      <c r="AA601" s="3">
        <f>IF(DataTable[[#This Row],[Valor]]&gt;1,0,0)</f>
        <v>0</v>
      </c>
    </row>
    <row r="602" spans="1:27" x14ac:dyDescent="0.25">
      <c r="A602" s="2" t="s">
        <v>18</v>
      </c>
      <c r="B602" s="2">
        <v>193</v>
      </c>
      <c r="C602" s="3">
        <f t="shared" si="150"/>
        <v>72.83</v>
      </c>
      <c r="D602" s="3">
        <f t="shared" si="151"/>
        <v>87.65</v>
      </c>
      <c r="E602" s="3">
        <f t="shared" si="152"/>
        <v>83.75</v>
      </c>
      <c r="F602" s="3">
        <f t="shared" si="153"/>
        <v>49.56</v>
      </c>
      <c r="G602" s="3">
        <f t="shared" si="154"/>
        <v>121.84</v>
      </c>
      <c r="H602" s="3">
        <f t="shared" si="155"/>
        <v>121.84</v>
      </c>
      <c r="I602" s="3"/>
      <c r="J602" s="3">
        <f t="shared" si="156"/>
        <v>79.849999999999994</v>
      </c>
      <c r="K602" s="3">
        <f t="shared" si="157"/>
        <v>87.65</v>
      </c>
      <c r="L602" s="34">
        <f t="shared" si="158"/>
        <v>83.75</v>
      </c>
      <c r="M602" s="3">
        <f t="shared" si="159"/>
        <v>-77.2</v>
      </c>
      <c r="N602" s="3">
        <f t="shared" si="160"/>
        <v>111.39999999999999</v>
      </c>
      <c r="O602" s="3"/>
      <c r="P602" s="3">
        <f t="shared" si="161"/>
        <v>87.926607874015758</v>
      </c>
      <c r="Q602" s="3">
        <f t="shared" si="162"/>
        <v>109.8176</v>
      </c>
      <c r="R602" s="3">
        <f>vd(DataTable[[#This Row],[Sentido]],DataTable[[#This Row],[Valor]])</f>
        <v>98.587401574803152</v>
      </c>
      <c r="S602" s="3">
        <f>IF(DataTable[[#This Row],[Valor]]&gt;1,1,1)</f>
        <v>1</v>
      </c>
      <c r="T602" s="3">
        <f>IF(DataTable[[#This Row],[Valor]]&gt;1,1,1)</f>
        <v>1</v>
      </c>
      <c r="U602" s="3">
        <f>angr(DataTable[[#This Row],[Sentido]],DataTable[[#This Row],[Valor]])</f>
        <v>45.526771653543307</v>
      </c>
      <c r="V602" s="3">
        <f>ANGI(DataTable[[#This Row],[Sentido]],DataTable[[#This Row],[Valor]])</f>
        <v>45.726771653543302</v>
      </c>
      <c r="W602" s="3">
        <f t="shared" si="163"/>
        <v>2</v>
      </c>
      <c r="X602" s="3">
        <f>IF(DataTable[[#This Row],[Valor]]&gt;1,1,1)</f>
        <v>1</v>
      </c>
      <c r="Y602" s="3">
        <f t="shared" si="164"/>
        <v>2</v>
      </c>
      <c r="Z602" s="3">
        <f>IF(AND(DataTable[[#This Row],[Sentido]]="URUGUAI para BRASIL",DataTable[[#This Row],[Valor]]&gt;350),1,0)</f>
        <v>0</v>
      </c>
      <c r="AA602" s="3">
        <f>IF(DataTable[[#This Row],[Valor]]&gt;1,0,0)</f>
        <v>0</v>
      </c>
    </row>
    <row r="603" spans="1:27" x14ac:dyDescent="0.25">
      <c r="A603" s="2" t="s">
        <v>18</v>
      </c>
      <c r="B603" s="2">
        <v>194</v>
      </c>
      <c r="C603" s="3">
        <f t="shared" si="150"/>
        <v>72.83</v>
      </c>
      <c r="D603" s="3">
        <f t="shared" si="151"/>
        <v>87.65</v>
      </c>
      <c r="E603" s="3">
        <f t="shared" si="152"/>
        <v>83.75</v>
      </c>
      <c r="F603" s="3">
        <f t="shared" si="153"/>
        <v>49.480000000000004</v>
      </c>
      <c r="G603" s="3">
        <f t="shared" si="154"/>
        <v>121.72</v>
      </c>
      <c r="H603" s="3">
        <f t="shared" si="155"/>
        <v>121.72</v>
      </c>
      <c r="I603" s="3"/>
      <c r="J603" s="3">
        <f t="shared" si="156"/>
        <v>79.849999999999994</v>
      </c>
      <c r="K603" s="3">
        <f t="shared" si="157"/>
        <v>87.65</v>
      </c>
      <c r="L603" s="34">
        <f t="shared" si="158"/>
        <v>83.75</v>
      </c>
      <c r="M603" s="3">
        <f t="shared" si="159"/>
        <v>-77.600000000000009</v>
      </c>
      <c r="N603" s="3">
        <f t="shared" si="160"/>
        <v>111.2</v>
      </c>
      <c r="O603" s="3"/>
      <c r="P603" s="3">
        <f t="shared" si="161"/>
        <v>88.26541102362205</v>
      </c>
      <c r="Q603" s="3">
        <f t="shared" si="162"/>
        <v>109.8176</v>
      </c>
      <c r="R603" s="3">
        <f>vd(DataTable[[#This Row],[Sentido]],DataTable[[#This Row],[Valor]])</f>
        <v>98.902362204724412</v>
      </c>
      <c r="S603" s="3">
        <f>IF(DataTable[[#This Row],[Valor]]&gt;1,1,1)</f>
        <v>1</v>
      </c>
      <c r="T603" s="3">
        <f>IF(DataTable[[#This Row],[Valor]]&gt;1,1,1)</f>
        <v>1</v>
      </c>
      <c r="U603" s="3">
        <f>angr(DataTable[[#This Row],[Sentido]],DataTable[[#This Row],[Valor]])</f>
        <v>45.357480314960625</v>
      </c>
      <c r="V603" s="3">
        <f>ANGI(DataTable[[#This Row],[Sentido]],DataTable[[#This Row],[Valor]])</f>
        <v>45.557480314960628</v>
      </c>
      <c r="W603" s="3">
        <f t="shared" si="163"/>
        <v>2</v>
      </c>
      <c r="X603" s="3">
        <f>IF(DataTable[[#This Row],[Valor]]&gt;1,1,1)</f>
        <v>1</v>
      </c>
      <c r="Y603" s="3">
        <f t="shared" si="164"/>
        <v>2</v>
      </c>
      <c r="Z603" s="3">
        <f>IF(AND(DataTable[[#This Row],[Sentido]]="URUGUAI para BRASIL",DataTable[[#This Row],[Valor]]&gt;350),1,0)</f>
        <v>0</v>
      </c>
      <c r="AA603" s="3">
        <f>IF(DataTable[[#This Row],[Valor]]&gt;1,0,0)</f>
        <v>0</v>
      </c>
    </row>
    <row r="604" spans="1:27" x14ac:dyDescent="0.25">
      <c r="A604" s="2" t="s">
        <v>18</v>
      </c>
      <c r="B604" s="2">
        <v>195</v>
      </c>
      <c r="C604" s="3">
        <f t="shared" si="150"/>
        <v>72.83</v>
      </c>
      <c r="D604" s="3">
        <f t="shared" si="151"/>
        <v>87.65</v>
      </c>
      <c r="E604" s="3">
        <f t="shared" si="152"/>
        <v>83.75</v>
      </c>
      <c r="F604" s="3">
        <f t="shared" si="153"/>
        <v>49.4</v>
      </c>
      <c r="G604" s="3">
        <f t="shared" si="154"/>
        <v>121.6</v>
      </c>
      <c r="H604" s="3">
        <f t="shared" si="155"/>
        <v>121.6</v>
      </c>
      <c r="I604" s="3"/>
      <c r="J604" s="3">
        <f t="shared" si="156"/>
        <v>79.849999999999994</v>
      </c>
      <c r="K604" s="3">
        <f t="shared" si="157"/>
        <v>87.65</v>
      </c>
      <c r="L604" s="34">
        <f t="shared" si="158"/>
        <v>83.75</v>
      </c>
      <c r="M604" s="3">
        <f t="shared" si="159"/>
        <v>-78</v>
      </c>
      <c r="N604" s="3">
        <f t="shared" si="160"/>
        <v>111</v>
      </c>
      <c r="O604" s="3"/>
      <c r="P604" s="3">
        <f t="shared" si="161"/>
        <v>88.604214173228357</v>
      </c>
      <c r="Q604" s="3">
        <f t="shared" si="162"/>
        <v>109.8176</v>
      </c>
      <c r="R604" s="3">
        <f>vd(DataTable[[#This Row],[Sentido]],DataTable[[#This Row],[Valor]])</f>
        <v>99.217322834645657</v>
      </c>
      <c r="S604" s="3">
        <f>IF(DataTable[[#This Row],[Valor]]&gt;1,1,1)</f>
        <v>1</v>
      </c>
      <c r="T604" s="3">
        <f>IF(DataTable[[#This Row],[Valor]]&gt;1,1,1)</f>
        <v>1</v>
      </c>
      <c r="U604" s="3">
        <f>angr(DataTable[[#This Row],[Sentido]],DataTable[[#This Row],[Valor]])</f>
        <v>45.188188976377951</v>
      </c>
      <c r="V604" s="3">
        <f>ANGI(DataTable[[#This Row],[Sentido]],DataTable[[#This Row],[Valor]])</f>
        <v>45.388188976377954</v>
      </c>
      <c r="W604" s="3">
        <f t="shared" si="163"/>
        <v>2</v>
      </c>
      <c r="X604" s="3">
        <f>IF(DataTable[[#This Row],[Valor]]&gt;1,1,1)</f>
        <v>1</v>
      </c>
      <c r="Y604" s="3">
        <f t="shared" si="164"/>
        <v>2</v>
      </c>
      <c r="Z604" s="3">
        <f>IF(AND(DataTable[[#This Row],[Sentido]]="URUGUAI para BRASIL",DataTable[[#This Row],[Valor]]&gt;350),1,0)</f>
        <v>0</v>
      </c>
      <c r="AA604" s="3">
        <f>IF(DataTable[[#This Row],[Valor]]&gt;1,0,0)</f>
        <v>0</v>
      </c>
    </row>
    <row r="605" spans="1:27" x14ac:dyDescent="0.25">
      <c r="A605" s="2" t="s">
        <v>18</v>
      </c>
      <c r="B605" s="2">
        <v>196</v>
      </c>
      <c r="C605" s="3">
        <f t="shared" si="150"/>
        <v>72.83</v>
      </c>
      <c r="D605" s="3">
        <f t="shared" si="151"/>
        <v>87.65</v>
      </c>
      <c r="E605" s="3">
        <f t="shared" si="152"/>
        <v>83.75</v>
      </c>
      <c r="F605" s="3">
        <f t="shared" si="153"/>
        <v>49.32</v>
      </c>
      <c r="G605" s="3">
        <f t="shared" si="154"/>
        <v>121.48</v>
      </c>
      <c r="H605" s="3">
        <f t="shared" si="155"/>
        <v>121.48</v>
      </c>
      <c r="I605" s="3"/>
      <c r="J605" s="3">
        <f t="shared" si="156"/>
        <v>79.849999999999994</v>
      </c>
      <c r="K605" s="3">
        <f t="shared" si="157"/>
        <v>87.65</v>
      </c>
      <c r="L605" s="34">
        <f t="shared" si="158"/>
        <v>83.75</v>
      </c>
      <c r="M605" s="3">
        <f t="shared" si="159"/>
        <v>-78.400000000000006</v>
      </c>
      <c r="N605" s="3">
        <f t="shared" si="160"/>
        <v>110.8</v>
      </c>
      <c r="O605" s="3"/>
      <c r="P605" s="3">
        <f t="shared" si="161"/>
        <v>88.943017322834663</v>
      </c>
      <c r="Q605" s="3">
        <f t="shared" si="162"/>
        <v>109.8176</v>
      </c>
      <c r="R605" s="3">
        <f>vd(DataTable[[#This Row],[Sentido]],DataTable[[#This Row],[Valor]])</f>
        <v>99.53228346456693</v>
      </c>
      <c r="S605" s="3">
        <f>IF(DataTable[[#This Row],[Valor]]&gt;1,1,1)</f>
        <v>1</v>
      </c>
      <c r="T605" s="3">
        <f>IF(DataTable[[#This Row],[Valor]]&gt;1,1,1)</f>
        <v>1</v>
      </c>
      <c r="U605" s="3">
        <f>angr(DataTable[[#This Row],[Sentido]],DataTable[[#This Row],[Valor]])</f>
        <v>45.01889763779527</v>
      </c>
      <c r="V605" s="3">
        <f>ANGI(DataTable[[#This Row],[Sentido]],DataTable[[#This Row],[Valor]])</f>
        <v>45.218897637795273</v>
      </c>
      <c r="W605" s="3">
        <f t="shared" si="163"/>
        <v>2</v>
      </c>
      <c r="X605" s="3">
        <f>IF(DataTable[[#This Row],[Valor]]&gt;1,1,1)</f>
        <v>1</v>
      </c>
      <c r="Y605" s="3">
        <f t="shared" si="164"/>
        <v>2</v>
      </c>
      <c r="Z605" s="3">
        <f>IF(AND(DataTable[[#This Row],[Sentido]]="URUGUAI para BRASIL",DataTable[[#This Row],[Valor]]&gt;350),1,0)</f>
        <v>0</v>
      </c>
      <c r="AA605" s="3">
        <f>IF(DataTable[[#This Row],[Valor]]&gt;1,0,0)</f>
        <v>0</v>
      </c>
    </row>
    <row r="606" spans="1:27" x14ac:dyDescent="0.25">
      <c r="A606" s="2" t="s">
        <v>18</v>
      </c>
      <c r="B606" s="2">
        <v>197</v>
      </c>
      <c r="C606" s="3">
        <f t="shared" si="150"/>
        <v>72.83</v>
      </c>
      <c r="D606" s="3">
        <f t="shared" si="151"/>
        <v>87.65</v>
      </c>
      <c r="E606" s="3">
        <f t="shared" si="152"/>
        <v>83.75</v>
      </c>
      <c r="F606" s="3">
        <f t="shared" si="153"/>
        <v>49.24</v>
      </c>
      <c r="G606" s="3">
        <f t="shared" si="154"/>
        <v>121.36</v>
      </c>
      <c r="H606" s="3">
        <f t="shared" si="155"/>
        <v>121.36</v>
      </c>
      <c r="I606" s="3"/>
      <c r="J606" s="3">
        <f t="shared" si="156"/>
        <v>79.849999999999994</v>
      </c>
      <c r="K606" s="3">
        <f t="shared" si="157"/>
        <v>87.65</v>
      </c>
      <c r="L606" s="34">
        <f t="shared" si="158"/>
        <v>83.75</v>
      </c>
      <c r="M606" s="3">
        <f t="shared" si="159"/>
        <v>-78.800000000000011</v>
      </c>
      <c r="N606" s="3">
        <f t="shared" si="160"/>
        <v>110.6</v>
      </c>
      <c r="O606" s="3"/>
      <c r="P606" s="3">
        <f t="shared" si="161"/>
        <v>89.281820472440955</v>
      </c>
      <c r="Q606" s="3">
        <f t="shared" si="162"/>
        <v>109.8176</v>
      </c>
      <c r="R606" s="3">
        <f>vd(DataTable[[#This Row],[Sentido]],DataTable[[#This Row],[Valor]])</f>
        <v>99.84724409448819</v>
      </c>
      <c r="S606" s="3">
        <f>IF(DataTable[[#This Row],[Valor]]&gt;1,1,1)</f>
        <v>1</v>
      </c>
      <c r="T606" s="3">
        <f>IF(DataTable[[#This Row],[Valor]]&gt;1,1,1)</f>
        <v>1</v>
      </c>
      <c r="U606" s="3">
        <f>angr(DataTable[[#This Row],[Sentido]],DataTable[[#This Row],[Valor]])</f>
        <v>44.849606299212596</v>
      </c>
      <c r="V606" s="3">
        <f>ANGI(DataTable[[#This Row],[Sentido]],DataTable[[#This Row],[Valor]])</f>
        <v>45.049606299212599</v>
      </c>
      <c r="W606" s="3">
        <f t="shared" si="163"/>
        <v>2</v>
      </c>
      <c r="X606" s="3">
        <f>IF(DataTable[[#This Row],[Valor]]&gt;1,1,1)</f>
        <v>1</v>
      </c>
      <c r="Y606" s="3">
        <f t="shared" si="164"/>
        <v>2</v>
      </c>
      <c r="Z606" s="3">
        <f>IF(AND(DataTable[[#This Row],[Sentido]]="URUGUAI para BRASIL",DataTable[[#This Row],[Valor]]&gt;350),1,0)</f>
        <v>0</v>
      </c>
      <c r="AA606" s="3">
        <f>IF(DataTable[[#This Row],[Valor]]&gt;1,0,0)</f>
        <v>0</v>
      </c>
    </row>
    <row r="607" spans="1:27" x14ac:dyDescent="0.25">
      <c r="A607" s="2" t="s">
        <v>18</v>
      </c>
      <c r="B607" s="2">
        <v>198</v>
      </c>
      <c r="C607" s="3">
        <f t="shared" si="150"/>
        <v>72.83</v>
      </c>
      <c r="D607" s="3">
        <f t="shared" si="151"/>
        <v>87.65</v>
      </c>
      <c r="E607" s="3">
        <f t="shared" si="152"/>
        <v>83.75</v>
      </c>
      <c r="F607" s="3">
        <f t="shared" si="153"/>
        <v>49.16</v>
      </c>
      <c r="G607" s="3">
        <f t="shared" si="154"/>
        <v>121.24000000000001</v>
      </c>
      <c r="H607" s="3">
        <f t="shared" si="155"/>
        <v>121.24000000000001</v>
      </c>
      <c r="I607" s="3"/>
      <c r="J607" s="3">
        <f t="shared" si="156"/>
        <v>79.849999999999994</v>
      </c>
      <c r="K607" s="3">
        <f t="shared" si="157"/>
        <v>87.65</v>
      </c>
      <c r="L607" s="34">
        <f t="shared" si="158"/>
        <v>83.75</v>
      </c>
      <c r="M607" s="3">
        <f t="shared" si="159"/>
        <v>-79.2</v>
      </c>
      <c r="N607" s="3">
        <f t="shared" si="160"/>
        <v>110.39999999999999</v>
      </c>
      <c r="O607" s="3"/>
      <c r="P607" s="3">
        <f t="shared" si="161"/>
        <v>89.620623622047248</v>
      </c>
      <c r="Q607" s="3">
        <f t="shared" si="162"/>
        <v>109.8176</v>
      </c>
      <c r="R607" s="3">
        <f>vd(DataTable[[#This Row],[Sentido]],DataTable[[#This Row],[Valor]])</f>
        <v>100.16220472440945</v>
      </c>
      <c r="S607" s="3">
        <f>IF(DataTable[[#This Row],[Valor]]&gt;1,1,1)</f>
        <v>1</v>
      </c>
      <c r="T607" s="3">
        <f>IF(DataTable[[#This Row],[Valor]]&gt;1,1,1)</f>
        <v>1</v>
      </c>
      <c r="U607" s="3">
        <f>angr(DataTable[[#This Row],[Sentido]],DataTable[[#This Row],[Valor]])</f>
        <v>44.680314960629921</v>
      </c>
      <c r="V607" s="3">
        <f>ANGI(DataTable[[#This Row],[Sentido]],DataTable[[#This Row],[Valor]])</f>
        <v>44.880314960629924</v>
      </c>
      <c r="W607" s="3">
        <f t="shared" si="163"/>
        <v>2</v>
      </c>
      <c r="X607" s="3">
        <f>IF(DataTable[[#This Row],[Valor]]&gt;1,1,1)</f>
        <v>1</v>
      </c>
      <c r="Y607" s="3">
        <f t="shared" si="164"/>
        <v>2</v>
      </c>
      <c r="Z607" s="3">
        <f>IF(AND(DataTable[[#This Row],[Sentido]]="URUGUAI para BRASIL",DataTable[[#This Row],[Valor]]&gt;350),1,0)</f>
        <v>0</v>
      </c>
      <c r="AA607" s="3">
        <f>IF(DataTable[[#This Row],[Valor]]&gt;1,0,0)</f>
        <v>0</v>
      </c>
    </row>
    <row r="608" spans="1:27" x14ac:dyDescent="0.25">
      <c r="A608" s="2" t="s">
        <v>18</v>
      </c>
      <c r="B608" s="2">
        <v>199</v>
      </c>
      <c r="C608" s="3">
        <f t="shared" si="150"/>
        <v>72.83</v>
      </c>
      <c r="D608" s="3">
        <f t="shared" si="151"/>
        <v>87.65</v>
      </c>
      <c r="E608" s="3">
        <f t="shared" si="152"/>
        <v>83.75</v>
      </c>
      <c r="F608" s="3">
        <f t="shared" si="153"/>
        <v>49.08</v>
      </c>
      <c r="G608" s="3">
        <f t="shared" si="154"/>
        <v>121.12</v>
      </c>
      <c r="H608" s="3">
        <f t="shared" si="155"/>
        <v>121.12</v>
      </c>
      <c r="I608" s="3"/>
      <c r="J608" s="3">
        <f t="shared" si="156"/>
        <v>79.849999999999994</v>
      </c>
      <c r="K608" s="3">
        <f t="shared" si="157"/>
        <v>87.65</v>
      </c>
      <c r="L608" s="34">
        <f t="shared" si="158"/>
        <v>83.75</v>
      </c>
      <c r="M608" s="3">
        <f t="shared" si="159"/>
        <v>-79.600000000000009</v>
      </c>
      <c r="N608" s="3">
        <f t="shared" si="160"/>
        <v>110.2</v>
      </c>
      <c r="O608" s="3"/>
      <c r="P608" s="3">
        <f t="shared" si="161"/>
        <v>89.959426771653554</v>
      </c>
      <c r="Q608" s="3">
        <f t="shared" si="162"/>
        <v>109.8176</v>
      </c>
      <c r="R608" s="3">
        <f>vd(DataTable[[#This Row],[Sentido]],DataTable[[#This Row],[Valor]])</f>
        <v>100.47716535433071</v>
      </c>
      <c r="S608" s="3">
        <f>IF(DataTable[[#This Row],[Valor]]&gt;1,1,1)</f>
        <v>1</v>
      </c>
      <c r="T608" s="3">
        <f>IF(DataTable[[#This Row],[Valor]]&gt;1,1,1)</f>
        <v>1</v>
      </c>
      <c r="U608" s="3">
        <f>angr(DataTable[[#This Row],[Sentido]],DataTable[[#This Row],[Valor]])</f>
        <v>44.51102362204724</v>
      </c>
      <c r="V608" s="3">
        <f>ANGI(DataTable[[#This Row],[Sentido]],DataTable[[#This Row],[Valor]])</f>
        <v>44.711023622047243</v>
      </c>
      <c r="W608" s="3">
        <f t="shared" si="163"/>
        <v>2</v>
      </c>
      <c r="X608" s="3">
        <f>IF(DataTable[[#This Row],[Valor]]&gt;1,1,1)</f>
        <v>1</v>
      </c>
      <c r="Y608" s="3">
        <f t="shared" si="164"/>
        <v>2</v>
      </c>
      <c r="Z608" s="3">
        <f>IF(AND(DataTable[[#This Row],[Sentido]]="URUGUAI para BRASIL",DataTable[[#This Row],[Valor]]&gt;350),1,0)</f>
        <v>0</v>
      </c>
      <c r="AA608" s="3">
        <f>IF(DataTable[[#This Row],[Valor]]&gt;1,0,0)</f>
        <v>0</v>
      </c>
    </row>
    <row r="609" spans="1:27" x14ac:dyDescent="0.25">
      <c r="A609" s="2" t="s">
        <v>18</v>
      </c>
      <c r="B609" s="2">
        <v>200</v>
      </c>
      <c r="C609" s="3">
        <f t="shared" si="150"/>
        <v>72.83</v>
      </c>
      <c r="D609" s="3">
        <f t="shared" si="151"/>
        <v>87.65</v>
      </c>
      <c r="E609" s="3">
        <f t="shared" si="152"/>
        <v>83.75</v>
      </c>
      <c r="F609" s="3">
        <f t="shared" si="153"/>
        <v>49</v>
      </c>
      <c r="G609" s="3">
        <f t="shared" si="154"/>
        <v>121</v>
      </c>
      <c r="H609" s="3">
        <f t="shared" si="155"/>
        <v>121</v>
      </c>
      <c r="I609" s="3"/>
      <c r="J609" s="3">
        <f t="shared" si="156"/>
        <v>79.849999999999994</v>
      </c>
      <c r="K609" s="3">
        <f t="shared" si="157"/>
        <v>87.65</v>
      </c>
      <c r="L609" s="34">
        <f t="shared" si="158"/>
        <v>83.75</v>
      </c>
      <c r="M609" s="3">
        <f t="shared" si="159"/>
        <v>-80</v>
      </c>
      <c r="N609" s="3">
        <f t="shared" si="160"/>
        <v>110</v>
      </c>
      <c r="O609" s="3"/>
      <c r="P609" s="3">
        <f t="shared" si="161"/>
        <v>90.298229921259846</v>
      </c>
      <c r="Q609" s="3">
        <f t="shared" si="162"/>
        <v>109.8176</v>
      </c>
      <c r="R609" s="3">
        <f>vd(DataTable[[#This Row],[Sentido]],DataTable[[#This Row],[Valor]])</f>
        <v>100.79212598425197</v>
      </c>
      <c r="S609" s="3">
        <f>IF(DataTable[[#This Row],[Valor]]&gt;1,1,1)</f>
        <v>1</v>
      </c>
      <c r="T609" s="3">
        <f>IF(DataTable[[#This Row],[Valor]]&gt;1,1,1)</f>
        <v>1</v>
      </c>
      <c r="U609" s="3">
        <f>angr(DataTable[[#This Row],[Sentido]],DataTable[[#This Row],[Valor]])</f>
        <v>44.341732283464566</v>
      </c>
      <c r="V609" s="3">
        <f>ANGI(DataTable[[#This Row],[Sentido]],DataTable[[#This Row],[Valor]])</f>
        <v>44.541732283464569</v>
      </c>
      <c r="W609" s="3">
        <f t="shared" si="163"/>
        <v>2</v>
      </c>
      <c r="X609" s="3">
        <f>IF(DataTable[[#This Row],[Valor]]&gt;1,1,1)</f>
        <v>1</v>
      </c>
      <c r="Y609" s="3">
        <f t="shared" si="164"/>
        <v>2</v>
      </c>
      <c r="Z609" s="3">
        <f>IF(AND(DataTable[[#This Row],[Sentido]]="URUGUAI para BRASIL",DataTable[[#This Row],[Valor]]&gt;350),1,0)</f>
        <v>0</v>
      </c>
      <c r="AA609" s="3">
        <f>IF(DataTable[[#This Row],[Valor]]&gt;1,0,0)</f>
        <v>0</v>
      </c>
    </row>
    <row r="610" spans="1:27" x14ac:dyDescent="0.25">
      <c r="A610" s="2" t="s">
        <v>18</v>
      </c>
      <c r="B610" s="2">
        <v>201</v>
      </c>
      <c r="C610" s="3">
        <f t="shared" si="150"/>
        <v>72.83</v>
      </c>
      <c r="D610" s="3">
        <f t="shared" si="151"/>
        <v>87.65</v>
      </c>
      <c r="E610" s="3">
        <f t="shared" si="152"/>
        <v>83.75</v>
      </c>
      <c r="F610" s="3">
        <f t="shared" si="153"/>
        <v>48.92</v>
      </c>
      <c r="G610" s="3">
        <f t="shared" si="154"/>
        <v>120.88</v>
      </c>
      <c r="H610" s="3">
        <f t="shared" si="155"/>
        <v>120.88</v>
      </c>
      <c r="I610" s="3"/>
      <c r="J610" s="3">
        <f t="shared" si="156"/>
        <v>79.849999999999994</v>
      </c>
      <c r="K610" s="3">
        <f t="shared" si="157"/>
        <v>87.65</v>
      </c>
      <c r="L610" s="34">
        <f t="shared" si="158"/>
        <v>83.75</v>
      </c>
      <c r="M610" s="3">
        <f t="shared" si="159"/>
        <v>-80.400000000000006</v>
      </c>
      <c r="N610" s="3">
        <f t="shared" si="160"/>
        <v>109.8</v>
      </c>
      <c r="O610" s="3"/>
      <c r="P610" s="3">
        <f t="shared" si="161"/>
        <v>90.637033070866138</v>
      </c>
      <c r="Q610" s="3">
        <f t="shared" si="162"/>
        <v>109.8176</v>
      </c>
      <c r="R610" s="3">
        <f>vd(DataTable[[#This Row],[Sentido]],DataTable[[#This Row],[Valor]])</f>
        <v>101.10708661417323</v>
      </c>
      <c r="S610" s="3">
        <f>IF(DataTable[[#This Row],[Valor]]&gt;1,1,1)</f>
        <v>1</v>
      </c>
      <c r="T610" s="3">
        <f>IF(DataTable[[#This Row],[Valor]]&gt;1,1,1)</f>
        <v>1</v>
      </c>
      <c r="U610" s="3">
        <f>angr(DataTable[[#This Row],[Sentido]],DataTable[[#This Row],[Valor]])</f>
        <v>44.172440944881885</v>
      </c>
      <c r="V610" s="3">
        <f>ANGI(DataTable[[#This Row],[Sentido]],DataTable[[#This Row],[Valor]])</f>
        <v>44.372440944881888</v>
      </c>
      <c r="W610" s="3">
        <f t="shared" si="163"/>
        <v>2</v>
      </c>
      <c r="X610" s="3">
        <f>IF(DataTable[[#This Row],[Valor]]&gt;1,1,1)</f>
        <v>1</v>
      </c>
      <c r="Y610" s="3">
        <f t="shared" si="164"/>
        <v>2</v>
      </c>
      <c r="Z610" s="3">
        <f>IF(AND(DataTable[[#This Row],[Sentido]]="URUGUAI para BRASIL",DataTable[[#This Row],[Valor]]&gt;350),1,0)</f>
        <v>0</v>
      </c>
      <c r="AA610" s="3">
        <f>IF(DataTable[[#This Row],[Valor]]&gt;1,0,0)</f>
        <v>0</v>
      </c>
    </row>
    <row r="611" spans="1:27" x14ac:dyDescent="0.25">
      <c r="A611" s="2" t="s">
        <v>18</v>
      </c>
      <c r="B611" s="2">
        <v>202</v>
      </c>
      <c r="C611" s="3">
        <f t="shared" si="150"/>
        <v>72.83</v>
      </c>
      <c r="D611" s="3">
        <f t="shared" si="151"/>
        <v>87.65</v>
      </c>
      <c r="E611" s="3">
        <f t="shared" si="152"/>
        <v>83.75</v>
      </c>
      <c r="F611" s="3">
        <f t="shared" si="153"/>
        <v>48.84</v>
      </c>
      <c r="G611" s="3">
        <f t="shared" si="154"/>
        <v>120.75999999999999</v>
      </c>
      <c r="H611" s="3">
        <f t="shared" si="155"/>
        <v>120.75999999999999</v>
      </c>
      <c r="I611" s="3"/>
      <c r="J611" s="3">
        <f t="shared" si="156"/>
        <v>79.849999999999994</v>
      </c>
      <c r="K611" s="3">
        <f t="shared" si="157"/>
        <v>87.65</v>
      </c>
      <c r="L611" s="34">
        <f t="shared" si="158"/>
        <v>83.75</v>
      </c>
      <c r="M611" s="3">
        <f t="shared" si="159"/>
        <v>-80.800000000000011</v>
      </c>
      <c r="N611" s="3">
        <f t="shared" si="160"/>
        <v>109.6</v>
      </c>
      <c r="O611" s="3"/>
      <c r="P611" s="3">
        <f t="shared" si="161"/>
        <v>90.975836220472445</v>
      </c>
      <c r="Q611" s="3">
        <f t="shared" si="162"/>
        <v>109.8176</v>
      </c>
      <c r="R611" s="3">
        <f>vd(DataTable[[#This Row],[Sentido]],DataTable[[#This Row],[Valor]])</f>
        <v>101.42204724409449</v>
      </c>
      <c r="S611" s="3">
        <f>IF(DataTable[[#This Row],[Valor]]&gt;1,1,1)</f>
        <v>1</v>
      </c>
      <c r="T611" s="3">
        <f>IF(DataTable[[#This Row],[Valor]]&gt;1,1,1)</f>
        <v>1</v>
      </c>
      <c r="U611" s="3">
        <f>angr(DataTable[[#This Row],[Sentido]],DataTable[[#This Row],[Valor]])</f>
        <v>44.00314960629921</v>
      </c>
      <c r="V611" s="3">
        <f>ANGI(DataTable[[#This Row],[Sentido]],DataTable[[#This Row],[Valor]])</f>
        <v>44.203149606299213</v>
      </c>
      <c r="W611" s="3">
        <f t="shared" si="163"/>
        <v>2</v>
      </c>
      <c r="X611" s="3">
        <f>IF(DataTable[[#This Row],[Valor]]&gt;1,1,1)</f>
        <v>1</v>
      </c>
      <c r="Y611" s="3">
        <f t="shared" si="164"/>
        <v>2</v>
      </c>
      <c r="Z611" s="3">
        <f>IF(AND(DataTable[[#This Row],[Sentido]]="URUGUAI para BRASIL",DataTable[[#This Row],[Valor]]&gt;350),1,0)</f>
        <v>0</v>
      </c>
      <c r="AA611" s="3">
        <f>IF(DataTable[[#This Row],[Valor]]&gt;1,0,0)</f>
        <v>0</v>
      </c>
    </row>
    <row r="612" spans="1:27" x14ac:dyDescent="0.25">
      <c r="A612" s="2" t="s">
        <v>18</v>
      </c>
      <c r="B612" s="2">
        <v>203</v>
      </c>
      <c r="C612" s="3">
        <f t="shared" si="150"/>
        <v>72.83</v>
      </c>
      <c r="D612" s="3">
        <f t="shared" si="151"/>
        <v>87.65</v>
      </c>
      <c r="E612" s="3">
        <f t="shared" si="152"/>
        <v>83.75</v>
      </c>
      <c r="F612" s="3">
        <f t="shared" si="153"/>
        <v>48.76</v>
      </c>
      <c r="G612" s="3">
        <f t="shared" si="154"/>
        <v>120.64</v>
      </c>
      <c r="H612" s="3">
        <f t="shared" si="155"/>
        <v>120.64</v>
      </c>
      <c r="I612" s="3"/>
      <c r="J612" s="3">
        <f t="shared" si="156"/>
        <v>79.849999999999994</v>
      </c>
      <c r="K612" s="3">
        <f t="shared" si="157"/>
        <v>87.65</v>
      </c>
      <c r="L612" s="34">
        <f t="shared" si="158"/>
        <v>83.75</v>
      </c>
      <c r="M612" s="3">
        <f t="shared" si="159"/>
        <v>-81.2</v>
      </c>
      <c r="N612" s="3">
        <f t="shared" si="160"/>
        <v>109.39999999999999</v>
      </c>
      <c r="O612" s="3"/>
      <c r="P612" s="3">
        <f t="shared" si="161"/>
        <v>91.314639370078751</v>
      </c>
      <c r="Q612" s="3">
        <f t="shared" si="162"/>
        <v>109.8176</v>
      </c>
      <c r="R612" s="3">
        <f>vd(DataTable[[#This Row],[Sentido]],DataTable[[#This Row],[Valor]])</f>
        <v>101.73700787401575</v>
      </c>
      <c r="S612" s="3">
        <f>IF(DataTable[[#This Row],[Valor]]&gt;1,1,1)</f>
        <v>1</v>
      </c>
      <c r="T612" s="3">
        <f>IF(DataTable[[#This Row],[Valor]]&gt;1,1,1)</f>
        <v>1</v>
      </c>
      <c r="U612" s="3">
        <f>angr(DataTable[[#This Row],[Sentido]],DataTable[[#This Row],[Valor]])</f>
        <v>43.833858267716529</v>
      </c>
      <c r="V612" s="3">
        <f>ANGI(DataTable[[#This Row],[Sentido]],DataTable[[#This Row],[Valor]])</f>
        <v>44.033858267716532</v>
      </c>
      <c r="W612" s="3">
        <f t="shared" si="163"/>
        <v>2</v>
      </c>
      <c r="X612" s="3">
        <f>IF(DataTable[[#This Row],[Valor]]&gt;1,1,1)</f>
        <v>1</v>
      </c>
      <c r="Y612" s="3">
        <f t="shared" si="164"/>
        <v>2</v>
      </c>
      <c r="Z612" s="3">
        <f>IF(AND(DataTable[[#This Row],[Sentido]]="URUGUAI para BRASIL",DataTable[[#This Row],[Valor]]&gt;350),1,0)</f>
        <v>0</v>
      </c>
      <c r="AA612" s="3">
        <f>IF(DataTable[[#This Row],[Valor]]&gt;1,0,0)</f>
        <v>0</v>
      </c>
    </row>
    <row r="613" spans="1:27" x14ac:dyDescent="0.25">
      <c r="A613" s="2" t="s">
        <v>18</v>
      </c>
      <c r="B613" s="2">
        <v>204</v>
      </c>
      <c r="C613" s="3">
        <f t="shared" si="150"/>
        <v>72.83</v>
      </c>
      <c r="D613" s="3">
        <f t="shared" si="151"/>
        <v>87.65</v>
      </c>
      <c r="E613" s="3">
        <f t="shared" si="152"/>
        <v>83.75</v>
      </c>
      <c r="F613" s="3">
        <f t="shared" si="153"/>
        <v>48.68</v>
      </c>
      <c r="G613" s="3">
        <f t="shared" si="154"/>
        <v>120.52000000000001</v>
      </c>
      <c r="H613" s="3">
        <f t="shared" si="155"/>
        <v>120.52000000000001</v>
      </c>
      <c r="I613" s="3"/>
      <c r="J613" s="3">
        <f t="shared" si="156"/>
        <v>79.849999999999994</v>
      </c>
      <c r="K613" s="3">
        <f t="shared" si="157"/>
        <v>87.65</v>
      </c>
      <c r="L613" s="34">
        <f t="shared" si="158"/>
        <v>83.75</v>
      </c>
      <c r="M613" s="3">
        <f t="shared" si="159"/>
        <v>-81.600000000000009</v>
      </c>
      <c r="N613" s="3">
        <f t="shared" si="160"/>
        <v>109.2</v>
      </c>
      <c r="O613" s="3"/>
      <c r="P613" s="3">
        <f t="shared" si="161"/>
        <v>91.653442519685044</v>
      </c>
      <c r="Q613" s="3">
        <f t="shared" si="162"/>
        <v>109.8176</v>
      </c>
      <c r="R613" s="3">
        <f>vd(DataTable[[#This Row],[Sentido]],DataTable[[#This Row],[Valor]])</f>
        <v>102.09073288915809</v>
      </c>
      <c r="S613" s="3">
        <f>IF(DataTable[[#This Row],[Valor]]&gt;1,1,1)</f>
        <v>1</v>
      </c>
      <c r="T613" s="3">
        <f>IF(DataTable[[#This Row],[Valor]]&gt;1,1,1)</f>
        <v>1</v>
      </c>
      <c r="U613" s="3">
        <f>angr(DataTable[[#This Row],[Sentido]],DataTable[[#This Row],[Valor]])</f>
        <v>43.630405814657777</v>
      </c>
      <c r="V613" s="3">
        <f>ANGI(DataTable[[#This Row],[Sentido]],DataTable[[#This Row],[Valor]])</f>
        <v>43.84251968503937</v>
      </c>
      <c r="W613" s="3">
        <f t="shared" si="163"/>
        <v>2</v>
      </c>
      <c r="X613" s="3">
        <f>IF(DataTable[[#This Row],[Valor]]&gt;1,1,1)</f>
        <v>1</v>
      </c>
      <c r="Y613" s="3">
        <f t="shared" si="164"/>
        <v>2</v>
      </c>
      <c r="Z613" s="3">
        <f>IF(AND(DataTable[[#This Row],[Sentido]]="URUGUAI para BRASIL",DataTable[[#This Row],[Valor]]&gt;350),1,0)</f>
        <v>0</v>
      </c>
      <c r="AA613" s="3">
        <f>IF(DataTable[[#This Row],[Valor]]&gt;1,0,0)</f>
        <v>0</v>
      </c>
    </row>
    <row r="614" spans="1:27" x14ac:dyDescent="0.25">
      <c r="A614" s="2" t="s">
        <v>18</v>
      </c>
      <c r="B614" s="2">
        <v>205</v>
      </c>
      <c r="C614" s="3">
        <f t="shared" si="150"/>
        <v>72.83</v>
      </c>
      <c r="D614" s="3">
        <f t="shared" si="151"/>
        <v>87.65</v>
      </c>
      <c r="E614" s="3">
        <f t="shared" si="152"/>
        <v>83.75</v>
      </c>
      <c r="F614" s="3">
        <f t="shared" si="153"/>
        <v>48.6</v>
      </c>
      <c r="G614" s="3">
        <f t="shared" si="154"/>
        <v>120.4</v>
      </c>
      <c r="H614" s="3">
        <f t="shared" si="155"/>
        <v>120.4</v>
      </c>
      <c r="I614" s="3"/>
      <c r="J614" s="3">
        <f t="shared" si="156"/>
        <v>79.849999999999994</v>
      </c>
      <c r="K614" s="3">
        <f t="shared" si="157"/>
        <v>87.65</v>
      </c>
      <c r="L614" s="34">
        <f t="shared" si="158"/>
        <v>83.75</v>
      </c>
      <c r="M614" s="3">
        <f t="shared" si="159"/>
        <v>-82</v>
      </c>
      <c r="N614" s="3">
        <f t="shared" si="160"/>
        <v>109</v>
      </c>
      <c r="O614" s="3"/>
      <c r="P614" s="3">
        <f t="shared" si="161"/>
        <v>91.99224566929135</v>
      </c>
      <c r="Q614" s="3">
        <f t="shared" si="162"/>
        <v>109.8176</v>
      </c>
      <c r="R614" s="3">
        <f>vd(DataTable[[#This Row],[Sentido]],DataTable[[#This Row],[Valor]])</f>
        <v>102.4541490006057</v>
      </c>
      <c r="S614" s="3">
        <f>IF(DataTable[[#This Row],[Valor]]&gt;1,1,1)</f>
        <v>1</v>
      </c>
      <c r="T614" s="3">
        <f>IF(DataTable[[#This Row],[Valor]]&gt;1,1,1)</f>
        <v>1</v>
      </c>
      <c r="U614" s="3">
        <f>angr(DataTable[[#This Row],[Sentido]],DataTable[[#This Row],[Valor]])</f>
        <v>43.41841308298001</v>
      </c>
      <c r="V614" s="3">
        <f>ANGI(DataTable[[#This Row],[Sentido]],DataTable[[#This Row],[Valor]])</f>
        <v>43.645669291338585</v>
      </c>
      <c r="W614" s="3">
        <f t="shared" si="163"/>
        <v>2</v>
      </c>
      <c r="X614" s="3">
        <f>IF(DataTable[[#This Row],[Valor]]&gt;1,1,1)</f>
        <v>1</v>
      </c>
      <c r="Y614" s="3">
        <f t="shared" si="164"/>
        <v>2</v>
      </c>
      <c r="Z614" s="3">
        <f>IF(AND(DataTable[[#This Row],[Sentido]]="URUGUAI para BRASIL",DataTable[[#This Row],[Valor]]&gt;350),1,0)</f>
        <v>0</v>
      </c>
      <c r="AA614" s="3">
        <f>IF(DataTable[[#This Row],[Valor]]&gt;1,0,0)</f>
        <v>0</v>
      </c>
    </row>
    <row r="615" spans="1:27" x14ac:dyDescent="0.25">
      <c r="A615" s="2" t="s">
        <v>18</v>
      </c>
      <c r="B615" s="2">
        <v>206</v>
      </c>
      <c r="C615" s="3">
        <f t="shared" si="150"/>
        <v>72.83</v>
      </c>
      <c r="D615" s="3">
        <f t="shared" si="151"/>
        <v>87.65</v>
      </c>
      <c r="E615" s="3">
        <f t="shared" si="152"/>
        <v>83.75</v>
      </c>
      <c r="F615" s="3">
        <f t="shared" si="153"/>
        <v>48.519999999999996</v>
      </c>
      <c r="G615" s="3">
        <f t="shared" si="154"/>
        <v>120.28</v>
      </c>
      <c r="H615" s="3">
        <f t="shared" si="155"/>
        <v>120.28</v>
      </c>
      <c r="I615" s="3"/>
      <c r="J615" s="3">
        <f t="shared" si="156"/>
        <v>79.849999999999994</v>
      </c>
      <c r="K615" s="3">
        <f t="shared" si="157"/>
        <v>87.65</v>
      </c>
      <c r="L615" s="34">
        <f t="shared" si="158"/>
        <v>83.75</v>
      </c>
      <c r="M615" s="3">
        <f t="shared" si="159"/>
        <v>-82.4</v>
      </c>
      <c r="N615" s="3">
        <f t="shared" si="160"/>
        <v>108.8</v>
      </c>
      <c r="O615" s="3"/>
      <c r="P615" s="3">
        <f t="shared" si="161"/>
        <v>92.331048818897642</v>
      </c>
      <c r="Q615" s="3">
        <f t="shared" si="162"/>
        <v>109.8176</v>
      </c>
      <c r="R615" s="3">
        <f>vd(DataTable[[#This Row],[Sentido]],DataTable[[#This Row],[Valor]])</f>
        <v>102.8175651120533</v>
      </c>
      <c r="S615" s="3">
        <f>IF(DataTable[[#This Row],[Valor]]&gt;1,1,1)</f>
        <v>1</v>
      </c>
      <c r="T615" s="3">
        <f>IF(DataTable[[#This Row],[Valor]]&gt;1,1,1)</f>
        <v>1</v>
      </c>
      <c r="U615" s="3">
        <f>angr(DataTable[[#This Row],[Sentido]],DataTable[[#This Row],[Valor]])</f>
        <v>43.206420351302235</v>
      </c>
      <c r="V615" s="3">
        <f>ANGI(DataTable[[#This Row],[Sentido]],DataTable[[#This Row],[Valor]])</f>
        <v>43.448818897637793</v>
      </c>
      <c r="W615" s="3">
        <f t="shared" si="163"/>
        <v>2</v>
      </c>
      <c r="X615" s="3">
        <f>IF(DataTable[[#This Row],[Valor]]&gt;1,1,1)</f>
        <v>1</v>
      </c>
      <c r="Y615" s="3">
        <f t="shared" si="164"/>
        <v>2</v>
      </c>
      <c r="Z615" s="3">
        <f>IF(AND(DataTable[[#This Row],[Sentido]]="URUGUAI para BRASIL",DataTable[[#This Row],[Valor]]&gt;350),1,0)</f>
        <v>0</v>
      </c>
      <c r="AA615" s="3">
        <f>IF(DataTable[[#This Row],[Valor]]&gt;1,0,0)</f>
        <v>0</v>
      </c>
    </row>
    <row r="616" spans="1:27" x14ac:dyDescent="0.25">
      <c r="A616" s="2" t="s">
        <v>18</v>
      </c>
      <c r="B616" s="2">
        <v>207</v>
      </c>
      <c r="C616" s="3">
        <f t="shared" si="150"/>
        <v>72.83</v>
      </c>
      <c r="D616" s="3">
        <f t="shared" si="151"/>
        <v>87.65</v>
      </c>
      <c r="E616" s="3">
        <f t="shared" si="152"/>
        <v>83.75</v>
      </c>
      <c r="F616" s="3">
        <f t="shared" si="153"/>
        <v>48.44</v>
      </c>
      <c r="G616" s="3">
        <f t="shared" si="154"/>
        <v>120.16</v>
      </c>
      <c r="H616" s="3">
        <f t="shared" si="155"/>
        <v>120.16</v>
      </c>
      <c r="I616" s="3"/>
      <c r="J616" s="3">
        <f t="shared" si="156"/>
        <v>79.849999999999994</v>
      </c>
      <c r="K616" s="3">
        <f t="shared" si="157"/>
        <v>87.65</v>
      </c>
      <c r="L616" s="34">
        <f t="shared" si="158"/>
        <v>83.75</v>
      </c>
      <c r="M616" s="3">
        <f t="shared" si="159"/>
        <v>-82.800000000000011</v>
      </c>
      <c r="N616" s="3">
        <f t="shared" si="160"/>
        <v>108.6</v>
      </c>
      <c r="O616" s="3"/>
      <c r="P616" s="3">
        <f t="shared" si="161"/>
        <v>92.669851968503934</v>
      </c>
      <c r="Q616" s="3">
        <f t="shared" si="162"/>
        <v>109.8176</v>
      </c>
      <c r="R616" s="3">
        <f>vd(DataTable[[#This Row],[Sentido]],DataTable[[#This Row],[Valor]])</f>
        <v>103.18098122350091</v>
      </c>
      <c r="S616" s="3">
        <f>IF(DataTable[[#This Row],[Valor]]&gt;1,1,1)</f>
        <v>1</v>
      </c>
      <c r="T616" s="3">
        <f>IF(DataTable[[#This Row],[Valor]]&gt;1,1,1)</f>
        <v>1</v>
      </c>
      <c r="U616" s="3">
        <f>angr(DataTable[[#This Row],[Sentido]],DataTable[[#This Row],[Valor]])</f>
        <v>42.994427619624467</v>
      </c>
      <c r="V616" s="3">
        <f>ANGI(DataTable[[#This Row],[Sentido]],DataTable[[#This Row],[Valor]])</f>
        <v>43.251968503937007</v>
      </c>
      <c r="W616" s="3">
        <f t="shared" si="163"/>
        <v>2</v>
      </c>
      <c r="X616" s="3">
        <f>IF(DataTable[[#This Row],[Valor]]&gt;1,1,1)</f>
        <v>1</v>
      </c>
      <c r="Y616" s="3">
        <f t="shared" si="164"/>
        <v>2</v>
      </c>
      <c r="Z616" s="3">
        <f>IF(AND(DataTable[[#This Row],[Sentido]]="URUGUAI para BRASIL",DataTable[[#This Row],[Valor]]&gt;350),1,0)</f>
        <v>0</v>
      </c>
      <c r="AA616" s="3">
        <f>IF(DataTable[[#This Row],[Valor]]&gt;1,0,0)</f>
        <v>0</v>
      </c>
    </row>
    <row r="617" spans="1:27" x14ac:dyDescent="0.25">
      <c r="A617" s="2" t="s">
        <v>18</v>
      </c>
      <c r="B617" s="2">
        <v>208</v>
      </c>
      <c r="C617" s="3">
        <f t="shared" si="150"/>
        <v>72.83</v>
      </c>
      <c r="D617" s="3">
        <f t="shared" si="151"/>
        <v>87.65</v>
      </c>
      <c r="E617" s="3">
        <f t="shared" si="152"/>
        <v>83.75</v>
      </c>
      <c r="F617" s="3">
        <f t="shared" si="153"/>
        <v>48.36</v>
      </c>
      <c r="G617" s="3">
        <f t="shared" si="154"/>
        <v>120.03999999999999</v>
      </c>
      <c r="H617" s="3">
        <f t="shared" si="155"/>
        <v>120.03999999999999</v>
      </c>
      <c r="I617" s="3"/>
      <c r="J617" s="3">
        <f t="shared" si="156"/>
        <v>79.849999999999994</v>
      </c>
      <c r="K617" s="3">
        <f t="shared" si="157"/>
        <v>87.65</v>
      </c>
      <c r="L617" s="34">
        <f t="shared" si="158"/>
        <v>83.75</v>
      </c>
      <c r="M617" s="3">
        <f t="shared" si="159"/>
        <v>-83.2</v>
      </c>
      <c r="N617" s="3">
        <f t="shared" si="160"/>
        <v>108.39999999999999</v>
      </c>
      <c r="O617" s="3"/>
      <c r="P617" s="3">
        <f t="shared" si="161"/>
        <v>93.008655118110241</v>
      </c>
      <c r="Q617" s="3">
        <f t="shared" si="162"/>
        <v>109.8176</v>
      </c>
      <c r="R617" s="3">
        <f>vd(DataTable[[#This Row],[Sentido]],DataTable[[#This Row],[Valor]])</f>
        <v>103.54439733494851</v>
      </c>
      <c r="S617" s="3">
        <f>IF(DataTable[[#This Row],[Valor]]&gt;1,1,1)</f>
        <v>1</v>
      </c>
      <c r="T617" s="3">
        <f>IF(DataTable[[#This Row],[Valor]]&gt;1,1,1)</f>
        <v>1</v>
      </c>
      <c r="U617" s="3">
        <f>angr(DataTable[[#This Row],[Sentido]],DataTable[[#This Row],[Valor]])</f>
        <v>42.7824348879467</v>
      </c>
      <c r="V617" s="3">
        <f>ANGI(DataTable[[#This Row],[Sentido]],DataTable[[#This Row],[Valor]])</f>
        <v>43.055118110236222</v>
      </c>
      <c r="W617" s="3">
        <f t="shared" si="163"/>
        <v>2</v>
      </c>
      <c r="X617" s="3">
        <f>IF(DataTable[[#This Row],[Valor]]&gt;1,1,1)</f>
        <v>1</v>
      </c>
      <c r="Y617" s="3">
        <f t="shared" si="164"/>
        <v>2</v>
      </c>
      <c r="Z617" s="3">
        <f>IF(AND(DataTable[[#This Row],[Sentido]]="URUGUAI para BRASIL",DataTable[[#This Row],[Valor]]&gt;350),1,0)</f>
        <v>0</v>
      </c>
      <c r="AA617" s="3">
        <f>IF(DataTable[[#This Row],[Valor]]&gt;1,0,0)</f>
        <v>0</v>
      </c>
    </row>
    <row r="618" spans="1:27" x14ac:dyDescent="0.25">
      <c r="A618" s="2" t="s">
        <v>18</v>
      </c>
      <c r="B618" s="2">
        <v>209</v>
      </c>
      <c r="C618" s="3">
        <f t="shared" si="150"/>
        <v>72.83</v>
      </c>
      <c r="D618" s="3">
        <f t="shared" si="151"/>
        <v>87.65</v>
      </c>
      <c r="E618" s="3">
        <f t="shared" si="152"/>
        <v>83.75</v>
      </c>
      <c r="F618" s="3">
        <f t="shared" si="153"/>
        <v>48.28</v>
      </c>
      <c r="G618" s="3">
        <f t="shared" si="154"/>
        <v>119.92</v>
      </c>
      <c r="H618" s="3">
        <f t="shared" si="155"/>
        <v>119.92</v>
      </c>
      <c r="I618" s="3"/>
      <c r="J618" s="3">
        <f t="shared" si="156"/>
        <v>79.849999999999994</v>
      </c>
      <c r="K618" s="3">
        <f t="shared" si="157"/>
        <v>87.65</v>
      </c>
      <c r="L618" s="34">
        <f t="shared" si="158"/>
        <v>83.75</v>
      </c>
      <c r="M618" s="3">
        <f t="shared" si="159"/>
        <v>-83.600000000000009</v>
      </c>
      <c r="N618" s="3">
        <f t="shared" si="160"/>
        <v>108.2</v>
      </c>
      <c r="O618" s="3"/>
      <c r="P618" s="3">
        <f t="shared" si="161"/>
        <v>93.347458267716547</v>
      </c>
      <c r="Q618" s="3">
        <f t="shared" si="162"/>
        <v>109.8176</v>
      </c>
      <c r="R618" s="3">
        <f>vd(DataTable[[#This Row],[Sentido]],DataTable[[#This Row],[Valor]])</f>
        <v>103.90781344639613</v>
      </c>
      <c r="S618" s="3">
        <f>IF(DataTable[[#This Row],[Valor]]&gt;1,1,1)</f>
        <v>1</v>
      </c>
      <c r="T618" s="3">
        <f>IF(DataTable[[#This Row],[Valor]]&gt;1,1,1)</f>
        <v>1</v>
      </c>
      <c r="U618" s="3">
        <f>angr(DataTable[[#This Row],[Sentido]],DataTable[[#This Row],[Valor]])</f>
        <v>42.570442156268918</v>
      </c>
      <c r="V618" s="3">
        <f>ANGI(DataTable[[#This Row],[Sentido]],DataTable[[#This Row],[Valor]])</f>
        <v>42.85826771653543</v>
      </c>
      <c r="W618" s="3">
        <f t="shared" si="163"/>
        <v>2</v>
      </c>
      <c r="X618" s="3">
        <f>IF(DataTable[[#This Row],[Valor]]&gt;1,1,1)</f>
        <v>1</v>
      </c>
      <c r="Y618" s="3">
        <f t="shared" si="164"/>
        <v>2</v>
      </c>
      <c r="Z618" s="3">
        <f>IF(AND(DataTable[[#This Row],[Sentido]]="URUGUAI para BRASIL",DataTable[[#This Row],[Valor]]&gt;350),1,0)</f>
        <v>0</v>
      </c>
      <c r="AA618" s="3">
        <f>IF(DataTable[[#This Row],[Valor]]&gt;1,0,0)</f>
        <v>0</v>
      </c>
    </row>
    <row r="619" spans="1:27" x14ac:dyDescent="0.25">
      <c r="A619" s="2" t="s">
        <v>18</v>
      </c>
      <c r="B619" s="2">
        <v>210</v>
      </c>
      <c r="C619" s="3">
        <f t="shared" si="150"/>
        <v>72.83</v>
      </c>
      <c r="D619" s="3">
        <f t="shared" si="151"/>
        <v>87.65</v>
      </c>
      <c r="E619" s="3">
        <f t="shared" si="152"/>
        <v>83.75</v>
      </c>
      <c r="F619" s="3">
        <f t="shared" si="153"/>
        <v>48.2</v>
      </c>
      <c r="G619" s="3">
        <f t="shared" si="154"/>
        <v>119.80000000000001</v>
      </c>
      <c r="H619" s="3">
        <f t="shared" si="155"/>
        <v>119.80000000000001</v>
      </c>
      <c r="I619" s="3"/>
      <c r="J619" s="3">
        <f t="shared" si="156"/>
        <v>79.849999999999994</v>
      </c>
      <c r="K619" s="3">
        <f t="shared" si="157"/>
        <v>87.65</v>
      </c>
      <c r="L619" s="34">
        <f t="shared" si="158"/>
        <v>83.75</v>
      </c>
      <c r="M619" s="3">
        <f t="shared" si="159"/>
        <v>-84</v>
      </c>
      <c r="N619" s="3">
        <f t="shared" si="160"/>
        <v>108</v>
      </c>
      <c r="O619" s="3"/>
      <c r="P619" s="3">
        <f t="shared" si="161"/>
        <v>93.686261417322839</v>
      </c>
      <c r="Q619" s="3">
        <f t="shared" si="162"/>
        <v>109.8176</v>
      </c>
      <c r="R619" s="3">
        <f>vd(DataTable[[#This Row],[Sentido]],DataTable[[#This Row],[Valor]])</f>
        <v>104.2</v>
      </c>
      <c r="S619" s="3">
        <f>IF(DataTable[[#This Row],[Valor]]&gt;1,1,1)</f>
        <v>1</v>
      </c>
      <c r="T619" s="3">
        <f>IF(DataTable[[#This Row],[Valor]]&gt;1,1,1)</f>
        <v>1</v>
      </c>
      <c r="U619" s="3">
        <f>angr(DataTable[[#This Row],[Sentido]],DataTable[[#This Row],[Valor]])</f>
        <v>42.4</v>
      </c>
      <c r="V619" s="3">
        <f>ANGI(DataTable[[#This Row],[Sentido]],DataTable[[#This Row],[Valor]])</f>
        <v>42.7</v>
      </c>
      <c r="W619" s="3">
        <f t="shared" si="163"/>
        <v>2</v>
      </c>
      <c r="X619" s="3">
        <f>IF(DataTable[[#This Row],[Valor]]&gt;1,1,1)</f>
        <v>1</v>
      </c>
      <c r="Y619" s="3">
        <f t="shared" si="164"/>
        <v>2</v>
      </c>
      <c r="Z619" s="3">
        <f>IF(AND(DataTable[[#This Row],[Sentido]]="URUGUAI para BRASIL",DataTable[[#This Row],[Valor]]&gt;350),1,0)</f>
        <v>0</v>
      </c>
      <c r="AA619" s="3">
        <f>IF(DataTable[[#This Row],[Valor]]&gt;1,0,0)</f>
        <v>0</v>
      </c>
    </row>
    <row r="620" spans="1:27" x14ac:dyDescent="0.25">
      <c r="A620" s="2" t="s">
        <v>18</v>
      </c>
      <c r="B620" s="2">
        <v>211</v>
      </c>
      <c r="C620" s="3">
        <f t="shared" si="150"/>
        <v>72.83</v>
      </c>
      <c r="D620" s="3">
        <f t="shared" si="151"/>
        <v>87.65</v>
      </c>
      <c r="E620" s="3">
        <f t="shared" si="152"/>
        <v>83.75</v>
      </c>
      <c r="F620" s="3">
        <f t="shared" si="153"/>
        <v>48.120000000000005</v>
      </c>
      <c r="G620" s="3">
        <f t="shared" si="154"/>
        <v>119.68</v>
      </c>
      <c r="H620" s="3">
        <f t="shared" si="155"/>
        <v>119.68</v>
      </c>
      <c r="I620" s="3"/>
      <c r="J620" s="3">
        <f t="shared" si="156"/>
        <v>79.849999999999994</v>
      </c>
      <c r="K620" s="3">
        <f t="shared" si="157"/>
        <v>87.65</v>
      </c>
      <c r="L620" s="34">
        <f t="shared" si="158"/>
        <v>83.75</v>
      </c>
      <c r="M620" s="3">
        <f t="shared" si="159"/>
        <v>-84.4</v>
      </c>
      <c r="N620" s="3">
        <f t="shared" si="160"/>
        <v>107.8</v>
      </c>
      <c r="O620" s="3"/>
      <c r="P620" s="3">
        <f t="shared" si="161"/>
        <v>94.025064566929146</v>
      </c>
      <c r="Q620" s="3">
        <f t="shared" si="162"/>
        <v>109.8176</v>
      </c>
      <c r="R620" s="3">
        <f>vd(DataTable[[#This Row],[Sentido]],DataTable[[#This Row],[Valor]])</f>
        <v>104.41067366579178</v>
      </c>
      <c r="S620" s="3">
        <f>IF(DataTable[[#This Row],[Valor]]&gt;1,1,1)</f>
        <v>1</v>
      </c>
      <c r="T620" s="3">
        <f>IF(DataTable[[#This Row],[Valor]]&gt;1,1,1)</f>
        <v>1</v>
      </c>
      <c r="U620" s="3">
        <f>angr(DataTable[[#This Row],[Sentido]],DataTable[[#This Row],[Valor]])</f>
        <v>42.2758530183727</v>
      </c>
      <c r="V620" s="3">
        <f>ANGI(DataTable[[#This Row],[Sentido]],DataTable[[#This Row],[Valor]])</f>
        <v>42.575853018372705</v>
      </c>
      <c r="W620" s="3">
        <f t="shared" si="163"/>
        <v>2</v>
      </c>
      <c r="X620" s="3">
        <f>IF(DataTable[[#This Row],[Valor]]&gt;1,1,1)</f>
        <v>1</v>
      </c>
      <c r="Y620" s="3">
        <f t="shared" si="164"/>
        <v>2</v>
      </c>
      <c r="Z620" s="3">
        <f>IF(AND(DataTable[[#This Row],[Sentido]]="URUGUAI para BRASIL",DataTable[[#This Row],[Valor]]&gt;350),1,0)</f>
        <v>0</v>
      </c>
      <c r="AA620" s="3">
        <f>IF(DataTable[[#This Row],[Valor]]&gt;1,0,0)</f>
        <v>0</v>
      </c>
    </row>
    <row r="621" spans="1:27" x14ac:dyDescent="0.25">
      <c r="A621" s="2" t="s">
        <v>18</v>
      </c>
      <c r="B621" s="2">
        <v>212</v>
      </c>
      <c r="C621" s="3">
        <f t="shared" si="150"/>
        <v>72.83</v>
      </c>
      <c r="D621" s="3">
        <f t="shared" si="151"/>
        <v>87.65</v>
      </c>
      <c r="E621" s="3">
        <f t="shared" si="152"/>
        <v>83.75</v>
      </c>
      <c r="F621" s="3">
        <f t="shared" si="153"/>
        <v>48.04</v>
      </c>
      <c r="G621" s="3">
        <f t="shared" si="154"/>
        <v>119.56</v>
      </c>
      <c r="H621" s="3">
        <f t="shared" si="155"/>
        <v>119.56</v>
      </c>
      <c r="I621" s="3"/>
      <c r="J621" s="3">
        <f t="shared" si="156"/>
        <v>79.849999999999994</v>
      </c>
      <c r="K621" s="3">
        <f t="shared" si="157"/>
        <v>87.65</v>
      </c>
      <c r="L621" s="34">
        <f t="shared" si="158"/>
        <v>83.75</v>
      </c>
      <c r="M621" s="3">
        <f t="shared" si="159"/>
        <v>-84.800000000000011</v>
      </c>
      <c r="N621" s="3">
        <f t="shared" si="160"/>
        <v>107.6</v>
      </c>
      <c r="O621" s="3"/>
      <c r="P621" s="3">
        <f t="shared" si="161"/>
        <v>94.363867716535438</v>
      </c>
      <c r="Q621" s="3">
        <f t="shared" si="162"/>
        <v>109.8176</v>
      </c>
      <c r="R621" s="3">
        <f>vd(DataTable[[#This Row],[Sentido]],DataTable[[#This Row],[Valor]])</f>
        <v>104.71688538932634</v>
      </c>
      <c r="S621" s="3">
        <f>IF(DataTable[[#This Row],[Valor]]&gt;1,1,1)</f>
        <v>1</v>
      </c>
      <c r="T621" s="3">
        <f>IF(DataTable[[#This Row],[Valor]]&gt;1,1,1)</f>
        <v>1</v>
      </c>
      <c r="U621" s="3">
        <f>angr(DataTable[[#This Row],[Sentido]],DataTable[[#This Row],[Valor]])</f>
        <v>42.095406824146984</v>
      </c>
      <c r="V621" s="3">
        <f>ANGI(DataTable[[#This Row],[Sentido]],DataTable[[#This Row],[Valor]])</f>
        <v>42.395406824146988</v>
      </c>
      <c r="W621" s="3">
        <f t="shared" si="163"/>
        <v>2</v>
      </c>
      <c r="X621" s="3">
        <f>IF(DataTable[[#This Row],[Valor]]&gt;1,1,1)</f>
        <v>1</v>
      </c>
      <c r="Y621" s="3">
        <f t="shared" si="164"/>
        <v>2</v>
      </c>
      <c r="Z621" s="3">
        <f>IF(AND(DataTable[[#This Row],[Sentido]]="URUGUAI para BRASIL",DataTable[[#This Row],[Valor]]&gt;350),1,0)</f>
        <v>0</v>
      </c>
      <c r="AA621" s="3">
        <f>IF(DataTable[[#This Row],[Valor]]&gt;1,0,0)</f>
        <v>0</v>
      </c>
    </row>
    <row r="622" spans="1:27" x14ac:dyDescent="0.25">
      <c r="A622" s="2" t="s">
        <v>18</v>
      </c>
      <c r="B622" s="2">
        <v>213</v>
      </c>
      <c r="C622" s="3">
        <f t="shared" si="150"/>
        <v>72.83</v>
      </c>
      <c r="D622" s="3">
        <f t="shared" si="151"/>
        <v>87.65</v>
      </c>
      <c r="E622" s="3">
        <f t="shared" si="152"/>
        <v>83.75</v>
      </c>
      <c r="F622" s="3">
        <f t="shared" si="153"/>
        <v>47.96</v>
      </c>
      <c r="G622" s="3">
        <f t="shared" si="154"/>
        <v>119.44</v>
      </c>
      <c r="H622" s="3">
        <f t="shared" si="155"/>
        <v>119.44</v>
      </c>
      <c r="I622" s="3"/>
      <c r="J622" s="3">
        <f t="shared" si="156"/>
        <v>79.849999999999994</v>
      </c>
      <c r="K622" s="3">
        <f t="shared" si="157"/>
        <v>87.65</v>
      </c>
      <c r="L622" s="34">
        <f t="shared" si="158"/>
        <v>83.75</v>
      </c>
      <c r="M622" s="3">
        <f t="shared" si="159"/>
        <v>-85.2</v>
      </c>
      <c r="N622" s="3">
        <f t="shared" si="160"/>
        <v>107.39999999999999</v>
      </c>
      <c r="O622" s="3"/>
      <c r="P622" s="3">
        <f t="shared" si="161"/>
        <v>94.702670866141744</v>
      </c>
      <c r="Q622" s="3">
        <f t="shared" si="162"/>
        <v>109.8176</v>
      </c>
      <c r="R622" s="3">
        <f>vd(DataTable[[#This Row],[Sentido]],DataTable[[#This Row],[Valor]])</f>
        <v>105.0230971128609</v>
      </c>
      <c r="S622" s="3">
        <f>IF(DataTable[[#This Row],[Valor]]&gt;1,1,1)</f>
        <v>1</v>
      </c>
      <c r="T622" s="3">
        <f>IF(DataTable[[#This Row],[Valor]]&gt;1,1,1)</f>
        <v>1</v>
      </c>
      <c r="U622" s="3">
        <f>angr(DataTable[[#This Row],[Sentido]],DataTable[[#This Row],[Valor]])</f>
        <v>41.914960629921254</v>
      </c>
      <c r="V622" s="3">
        <f>ANGI(DataTable[[#This Row],[Sentido]],DataTable[[#This Row],[Valor]])</f>
        <v>42.214960629921258</v>
      </c>
      <c r="W622" s="3">
        <f t="shared" si="163"/>
        <v>2</v>
      </c>
      <c r="X622" s="3">
        <f>IF(DataTable[[#This Row],[Valor]]&gt;1,1,1)</f>
        <v>1</v>
      </c>
      <c r="Y622" s="3">
        <f t="shared" si="164"/>
        <v>2</v>
      </c>
      <c r="Z622" s="3">
        <f>IF(AND(DataTable[[#This Row],[Sentido]]="URUGUAI para BRASIL",DataTable[[#This Row],[Valor]]&gt;350),1,0)</f>
        <v>0</v>
      </c>
      <c r="AA622" s="3">
        <f>IF(DataTable[[#This Row],[Valor]]&gt;1,0,0)</f>
        <v>0</v>
      </c>
    </row>
    <row r="623" spans="1:27" x14ac:dyDescent="0.25">
      <c r="A623" s="2" t="s">
        <v>18</v>
      </c>
      <c r="B623" s="2">
        <v>214</v>
      </c>
      <c r="C623" s="3">
        <f t="shared" si="150"/>
        <v>72.83</v>
      </c>
      <c r="D623" s="3">
        <f t="shared" si="151"/>
        <v>87.65</v>
      </c>
      <c r="E623" s="3">
        <f t="shared" si="152"/>
        <v>83.75</v>
      </c>
      <c r="F623" s="3">
        <f t="shared" si="153"/>
        <v>47.879999999999995</v>
      </c>
      <c r="G623" s="3">
        <f t="shared" si="154"/>
        <v>119.32</v>
      </c>
      <c r="H623" s="3">
        <f t="shared" si="155"/>
        <v>119.32</v>
      </c>
      <c r="I623" s="3"/>
      <c r="J623" s="3">
        <f t="shared" si="156"/>
        <v>79.849999999999994</v>
      </c>
      <c r="K623" s="3">
        <f t="shared" si="157"/>
        <v>87.65</v>
      </c>
      <c r="L623" s="34">
        <f t="shared" si="158"/>
        <v>83.75</v>
      </c>
      <c r="M623" s="3">
        <f t="shared" si="159"/>
        <v>-85.600000000000009</v>
      </c>
      <c r="N623" s="3">
        <f t="shared" si="160"/>
        <v>107.2</v>
      </c>
      <c r="O623" s="3"/>
      <c r="P623" s="3">
        <f t="shared" si="161"/>
        <v>95.041474015748037</v>
      </c>
      <c r="Q623" s="3">
        <f t="shared" si="162"/>
        <v>109.8176</v>
      </c>
      <c r="R623" s="3">
        <f>vd(DataTable[[#This Row],[Sentido]],DataTable[[#This Row],[Valor]])</f>
        <v>105.32930883639546</v>
      </c>
      <c r="S623" s="3">
        <f>IF(DataTable[[#This Row],[Valor]]&gt;1,1,1)</f>
        <v>1</v>
      </c>
      <c r="T623" s="3">
        <f>IF(DataTable[[#This Row],[Valor]]&gt;1,1,1)</f>
        <v>1</v>
      </c>
      <c r="U623" s="3">
        <f>angr(DataTable[[#This Row],[Sentido]],DataTable[[#This Row],[Valor]])</f>
        <v>41.734514435695537</v>
      </c>
      <c r="V623" s="3">
        <f>ANGI(DataTable[[#This Row],[Sentido]],DataTable[[#This Row],[Valor]])</f>
        <v>42.034514435695542</v>
      </c>
      <c r="W623" s="3">
        <f t="shared" si="163"/>
        <v>2</v>
      </c>
      <c r="X623" s="3">
        <f>IF(DataTable[[#This Row],[Valor]]&gt;1,1,1)</f>
        <v>1</v>
      </c>
      <c r="Y623" s="3">
        <f t="shared" si="164"/>
        <v>2</v>
      </c>
      <c r="Z623" s="3">
        <f>IF(AND(DataTable[[#This Row],[Sentido]]="URUGUAI para BRASIL",DataTable[[#This Row],[Valor]]&gt;350),1,0)</f>
        <v>0</v>
      </c>
      <c r="AA623" s="3">
        <f>IF(DataTable[[#This Row],[Valor]]&gt;1,0,0)</f>
        <v>0</v>
      </c>
    </row>
    <row r="624" spans="1:27" x14ac:dyDescent="0.25">
      <c r="A624" s="2" t="s">
        <v>18</v>
      </c>
      <c r="B624" s="2">
        <v>215</v>
      </c>
      <c r="C624" s="3">
        <f t="shared" si="150"/>
        <v>72.83</v>
      </c>
      <c r="D624" s="3">
        <f t="shared" si="151"/>
        <v>87.65</v>
      </c>
      <c r="E624" s="3">
        <f t="shared" si="152"/>
        <v>83.75</v>
      </c>
      <c r="F624" s="3">
        <f t="shared" si="153"/>
        <v>47.8</v>
      </c>
      <c r="G624" s="3">
        <f t="shared" si="154"/>
        <v>119.2</v>
      </c>
      <c r="H624" s="3">
        <f t="shared" si="155"/>
        <v>119.2</v>
      </c>
      <c r="I624" s="3"/>
      <c r="J624" s="3">
        <f t="shared" si="156"/>
        <v>79.849999999999994</v>
      </c>
      <c r="K624" s="3">
        <f t="shared" si="157"/>
        <v>87.65</v>
      </c>
      <c r="L624" s="34">
        <f t="shared" si="158"/>
        <v>83.75</v>
      </c>
      <c r="M624" s="3">
        <f t="shared" si="159"/>
        <v>-86</v>
      </c>
      <c r="N624" s="3">
        <f t="shared" si="160"/>
        <v>107</v>
      </c>
      <c r="O624" s="3"/>
      <c r="P624" s="3">
        <f t="shared" si="161"/>
        <v>95.380277165354329</v>
      </c>
      <c r="Q624" s="3">
        <f t="shared" si="162"/>
        <v>109.8176</v>
      </c>
      <c r="R624" s="3">
        <f>vd(DataTable[[#This Row],[Sentido]],DataTable[[#This Row],[Valor]])</f>
        <v>105.63552055993001</v>
      </c>
      <c r="S624" s="3">
        <f>IF(DataTable[[#This Row],[Valor]]&gt;1,1,1)</f>
        <v>1</v>
      </c>
      <c r="T624" s="3">
        <f>IF(DataTable[[#This Row],[Valor]]&gt;1,1,1)</f>
        <v>1</v>
      </c>
      <c r="U624" s="3">
        <f>angr(DataTable[[#This Row],[Sentido]],DataTable[[#This Row],[Valor]])</f>
        <v>41.554068241469814</v>
      </c>
      <c r="V624" s="3">
        <f>ANGI(DataTable[[#This Row],[Sentido]],DataTable[[#This Row],[Valor]])</f>
        <v>41.854068241469818</v>
      </c>
      <c r="W624" s="3">
        <f t="shared" si="163"/>
        <v>2</v>
      </c>
      <c r="X624" s="3">
        <f>IF(DataTable[[#This Row],[Valor]]&gt;1,1,1)</f>
        <v>1</v>
      </c>
      <c r="Y624" s="3">
        <f t="shared" si="164"/>
        <v>2</v>
      </c>
      <c r="Z624" s="3">
        <f>IF(AND(DataTable[[#This Row],[Sentido]]="URUGUAI para BRASIL",DataTable[[#This Row],[Valor]]&gt;350),1,0)</f>
        <v>0</v>
      </c>
      <c r="AA624" s="3">
        <f>IF(DataTable[[#This Row],[Valor]]&gt;1,0,0)</f>
        <v>0</v>
      </c>
    </row>
    <row r="625" spans="1:27" x14ac:dyDescent="0.25">
      <c r="A625" s="2" t="s">
        <v>18</v>
      </c>
      <c r="B625" s="2">
        <v>216</v>
      </c>
      <c r="C625" s="3">
        <f t="shared" si="150"/>
        <v>72.83</v>
      </c>
      <c r="D625" s="3">
        <f t="shared" si="151"/>
        <v>87.65</v>
      </c>
      <c r="E625" s="3">
        <f t="shared" si="152"/>
        <v>83.75</v>
      </c>
      <c r="F625" s="3">
        <f t="shared" si="153"/>
        <v>47.72</v>
      </c>
      <c r="G625" s="3">
        <f t="shared" si="154"/>
        <v>119.08</v>
      </c>
      <c r="H625" s="3">
        <f t="shared" si="155"/>
        <v>119.08</v>
      </c>
      <c r="I625" s="3"/>
      <c r="J625" s="3">
        <f t="shared" si="156"/>
        <v>79.849999999999994</v>
      </c>
      <c r="K625" s="3">
        <f t="shared" si="157"/>
        <v>87.65</v>
      </c>
      <c r="L625" s="34">
        <f t="shared" si="158"/>
        <v>83.75</v>
      </c>
      <c r="M625" s="3">
        <f t="shared" si="159"/>
        <v>-86.4</v>
      </c>
      <c r="N625" s="3">
        <f t="shared" si="160"/>
        <v>106.8</v>
      </c>
      <c r="O625" s="3"/>
      <c r="P625" s="3">
        <f t="shared" si="161"/>
        <v>95.719080314960635</v>
      </c>
      <c r="Q625" s="3">
        <f t="shared" si="162"/>
        <v>109.8176</v>
      </c>
      <c r="R625" s="3">
        <f>vd(DataTable[[#This Row],[Sentido]],DataTable[[#This Row],[Valor]])</f>
        <v>105.94173228346457</v>
      </c>
      <c r="S625" s="3">
        <f>IF(DataTable[[#This Row],[Valor]]&gt;1,1,1)</f>
        <v>1</v>
      </c>
      <c r="T625" s="3">
        <f>IF(DataTable[[#This Row],[Valor]]&gt;1,1,1)</f>
        <v>1</v>
      </c>
      <c r="U625" s="3">
        <f>angr(DataTable[[#This Row],[Sentido]],DataTable[[#This Row],[Valor]])</f>
        <v>41.373622047244091</v>
      </c>
      <c r="V625" s="3">
        <f>ANGI(DataTable[[#This Row],[Sentido]],DataTable[[#This Row],[Valor]])</f>
        <v>41.673622047244095</v>
      </c>
      <c r="W625" s="3">
        <f t="shared" si="163"/>
        <v>2</v>
      </c>
      <c r="X625" s="3">
        <f>IF(DataTable[[#This Row],[Valor]]&gt;1,1,1)</f>
        <v>1</v>
      </c>
      <c r="Y625" s="3">
        <f t="shared" si="164"/>
        <v>2</v>
      </c>
      <c r="Z625" s="3">
        <f>IF(AND(DataTable[[#This Row],[Sentido]]="URUGUAI para BRASIL",DataTable[[#This Row],[Valor]]&gt;350),1,0)</f>
        <v>0</v>
      </c>
      <c r="AA625" s="3">
        <f>IF(DataTable[[#This Row],[Valor]]&gt;1,0,0)</f>
        <v>0</v>
      </c>
    </row>
    <row r="626" spans="1:27" x14ac:dyDescent="0.25">
      <c r="A626" s="2" t="s">
        <v>18</v>
      </c>
      <c r="B626" s="2">
        <v>217</v>
      </c>
      <c r="C626" s="3">
        <f t="shared" si="150"/>
        <v>72.83</v>
      </c>
      <c r="D626" s="3">
        <f t="shared" si="151"/>
        <v>87.65</v>
      </c>
      <c r="E626" s="3">
        <f t="shared" si="152"/>
        <v>83.75</v>
      </c>
      <c r="F626" s="3">
        <f t="shared" si="153"/>
        <v>47.64</v>
      </c>
      <c r="G626" s="3">
        <f t="shared" si="154"/>
        <v>118.96000000000001</v>
      </c>
      <c r="H626" s="3">
        <f t="shared" si="155"/>
        <v>118.96000000000001</v>
      </c>
      <c r="I626" s="3"/>
      <c r="J626" s="3">
        <f t="shared" si="156"/>
        <v>79.849999999999994</v>
      </c>
      <c r="K626" s="3">
        <f t="shared" si="157"/>
        <v>87.65</v>
      </c>
      <c r="L626" s="34">
        <f t="shared" si="158"/>
        <v>83.75</v>
      </c>
      <c r="M626" s="3">
        <f t="shared" si="159"/>
        <v>-86.800000000000011</v>
      </c>
      <c r="N626" s="3">
        <f t="shared" si="160"/>
        <v>106.6</v>
      </c>
      <c r="O626" s="3"/>
      <c r="P626" s="3">
        <f t="shared" si="161"/>
        <v>96.057883464566942</v>
      </c>
      <c r="Q626" s="3">
        <f t="shared" si="162"/>
        <v>109.8176</v>
      </c>
      <c r="R626" s="3">
        <f>vd(DataTable[[#This Row],[Sentido]],DataTable[[#This Row],[Valor]])</f>
        <v>106.24794400699913</v>
      </c>
      <c r="S626" s="3">
        <f>IF(DataTable[[#This Row],[Valor]]&gt;1,1,1)</f>
        <v>1</v>
      </c>
      <c r="T626" s="3">
        <f>IF(DataTable[[#This Row],[Valor]]&gt;1,1,1)</f>
        <v>1</v>
      </c>
      <c r="U626" s="3">
        <f>angr(DataTable[[#This Row],[Sentido]],DataTable[[#This Row],[Valor]])</f>
        <v>41.193175853018374</v>
      </c>
      <c r="V626" s="3">
        <f>ANGI(DataTable[[#This Row],[Sentido]],DataTable[[#This Row],[Valor]])</f>
        <v>41.493175853018371</v>
      </c>
      <c r="W626" s="3">
        <f t="shared" si="163"/>
        <v>2</v>
      </c>
      <c r="X626" s="3">
        <f>IF(DataTable[[#This Row],[Valor]]&gt;1,1,1)</f>
        <v>1</v>
      </c>
      <c r="Y626" s="3">
        <f t="shared" si="164"/>
        <v>2</v>
      </c>
      <c r="Z626" s="3">
        <f>IF(AND(DataTable[[#This Row],[Sentido]]="URUGUAI para BRASIL",DataTable[[#This Row],[Valor]]&gt;350),1,0)</f>
        <v>0</v>
      </c>
      <c r="AA626" s="3">
        <f>IF(DataTable[[#This Row],[Valor]]&gt;1,0,0)</f>
        <v>0</v>
      </c>
    </row>
    <row r="627" spans="1:27" x14ac:dyDescent="0.25">
      <c r="A627" s="2" t="s">
        <v>18</v>
      </c>
      <c r="B627" s="2">
        <v>218</v>
      </c>
      <c r="C627" s="3">
        <f t="shared" si="150"/>
        <v>72.83</v>
      </c>
      <c r="D627" s="3">
        <f t="shared" si="151"/>
        <v>87.65</v>
      </c>
      <c r="E627" s="3">
        <f t="shared" si="152"/>
        <v>83.75</v>
      </c>
      <c r="F627" s="3">
        <f t="shared" si="153"/>
        <v>47.56</v>
      </c>
      <c r="G627" s="3">
        <f t="shared" si="154"/>
        <v>118.84</v>
      </c>
      <c r="H627" s="3">
        <f t="shared" si="155"/>
        <v>118.84</v>
      </c>
      <c r="I627" s="3"/>
      <c r="J627" s="3">
        <f t="shared" si="156"/>
        <v>79.849999999999994</v>
      </c>
      <c r="K627" s="3">
        <f t="shared" si="157"/>
        <v>87.65</v>
      </c>
      <c r="L627" s="34">
        <f t="shared" si="158"/>
        <v>83.75</v>
      </c>
      <c r="M627" s="3">
        <f t="shared" si="159"/>
        <v>-87.2</v>
      </c>
      <c r="N627" s="3">
        <f t="shared" si="160"/>
        <v>106.39999999999999</v>
      </c>
      <c r="O627" s="3"/>
      <c r="P627" s="3">
        <f t="shared" si="161"/>
        <v>96.396686614173234</v>
      </c>
      <c r="Q627" s="3">
        <f t="shared" si="162"/>
        <v>109.8176</v>
      </c>
      <c r="R627" s="3">
        <f>vd(DataTable[[#This Row],[Sentido]],DataTable[[#This Row],[Valor]])</f>
        <v>106.55415573053368</v>
      </c>
      <c r="S627" s="3">
        <f>IF(DataTable[[#This Row],[Valor]]&gt;1,1,1)</f>
        <v>1</v>
      </c>
      <c r="T627" s="3">
        <f>IF(DataTable[[#This Row],[Valor]]&gt;1,1,1)</f>
        <v>1</v>
      </c>
      <c r="U627" s="3">
        <f>angr(DataTable[[#This Row],[Sentido]],DataTable[[#This Row],[Valor]])</f>
        <v>41.012729658792651</v>
      </c>
      <c r="V627" s="3">
        <f>ANGI(DataTable[[#This Row],[Sentido]],DataTable[[#This Row],[Valor]])</f>
        <v>41.312729658792655</v>
      </c>
      <c r="W627" s="3">
        <f t="shared" si="163"/>
        <v>2</v>
      </c>
      <c r="X627" s="3">
        <f>IF(DataTable[[#This Row],[Valor]]&gt;1,1,1)</f>
        <v>1</v>
      </c>
      <c r="Y627" s="3">
        <f t="shared" si="164"/>
        <v>2</v>
      </c>
      <c r="Z627" s="3">
        <f>IF(AND(DataTable[[#This Row],[Sentido]]="URUGUAI para BRASIL",DataTable[[#This Row],[Valor]]&gt;350),1,0)</f>
        <v>0</v>
      </c>
      <c r="AA627" s="3">
        <f>IF(DataTable[[#This Row],[Valor]]&gt;1,0,0)</f>
        <v>0</v>
      </c>
    </row>
    <row r="628" spans="1:27" x14ac:dyDescent="0.25">
      <c r="A628" s="2" t="s">
        <v>18</v>
      </c>
      <c r="B628" s="2">
        <v>219</v>
      </c>
      <c r="C628" s="3">
        <f t="shared" si="150"/>
        <v>72.83</v>
      </c>
      <c r="D628" s="3">
        <f t="shared" si="151"/>
        <v>87.65</v>
      </c>
      <c r="E628" s="3">
        <f t="shared" si="152"/>
        <v>83.75</v>
      </c>
      <c r="F628" s="3">
        <f t="shared" si="153"/>
        <v>47.480000000000004</v>
      </c>
      <c r="G628" s="3">
        <f t="shared" si="154"/>
        <v>118.72</v>
      </c>
      <c r="H628" s="3">
        <f t="shared" si="155"/>
        <v>118.72</v>
      </c>
      <c r="I628" s="3"/>
      <c r="J628" s="3">
        <f t="shared" si="156"/>
        <v>79.849999999999994</v>
      </c>
      <c r="K628" s="3">
        <f t="shared" si="157"/>
        <v>87.65</v>
      </c>
      <c r="L628" s="34">
        <f t="shared" si="158"/>
        <v>83.75</v>
      </c>
      <c r="M628" s="3">
        <f t="shared" si="159"/>
        <v>-87.600000000000009</v>
      </c>
      <c r="N628" s="3">
        <f t="shared" si="160"/>
        <v>106.2</v>
      </c>
      <c r="O628" s="3"/>
      <c r="P628" s="3">
        <f t="shared" si="161"/>
        <v>96.73548976377954</v>
      </c>
      <c r="Q628" s="3">
        <f t="shared" si="162"/>
        <v>109.8176</v>
      </c>
      <c r="R628" s="3">
        <f>vd(DataTable[[#This Row],[Sentido]],DataTable[[#This Row],[Valor]])</f>
        <v>106.86036745406825</v>
      </c>
      <c r="S628" s="3">
        <f>IF(DataTable[[#This Row],[Valor]]&gt;1,1,1)</f>
        <v>1</v>
      </c>
      <c r="T628" s="3">
        <f>IF(DataTable[[#This Row],[Valor]]&gt;1,1,1)</f>
        <v>1</v>
      </c>
      <c r="U628" s="3">
        <f>angr(DataTable[[#This Row],[Sentido]],DataTable[[#This Row],[Valor]])</f>
        <v>40.832283464566927</v>
      </c>
      <c r="V628" s="3">
        <f>ANGI(DataTable[[#This Row],[Sentido]],DataTable[[#This Row],[Valor]])</f>
        <v>41.132283464566925</v>
      </c>
      <c r="W628" s="3">
        <f t="shared" si="163"/>
        <v>2</v>
      </c>
      <c r="X628" s="3">
        <f>IF(DataTable[[#This Row],[Valor]]&gt;1,1,1)</f>
        <v>1</v>
      </c>
      <c r="Y628" s="3">
        <f t="shared" si="164"/>
        <v>2</v>
      </c>
      <c r="Z628" s="3">
        <f>IF(AND(DataTable[[#This Row],[Sentido]]="URUGUAI para BRASIL",DataTable[[#This Row],[Valor]]&gt;350),1,0)</f>
        <v>0</v>
      </c>
      <c r="AA628" s="3">
        <f>IF(DataTable[[#This Row],[Valor]]&gt;1,0,0)</f>
        <v>0</v>
      </c>
    </row>
    <row r="629" spans="1:27" x14ac:dyDescent="0.25">
      <c r="A629" s="2" t="s">
        <v>18</v>
      </c>
      <c r="B629" s="2">
        <v>220</v>
      </c>
      <c r="C629" s="3">
        <f t="shared" si="150"/>
        <v>72.83</v>
      </c>
      <c r="D629" s="3">
        <f t="shared" si="151"/>
        <v>87.65</v>
      </c>
      <c r="E629" s="3">
        <f t="shared" si="152"/>
        <v>83.75</v>
      </c>
      <c r="F629" s="3">
        <f t="shared" si="153"/>
        <v>47.4</v>
      </c>
      <c r="G629" s="3">
        <f t="shared" si="154"/>
        <v>118.6</v>
      </c>
      <c r="H629" s="3">
        <f t="shared" si="155"/>
        <v>118.6</v>
      </c>
      <c r="I629" s="3"/>
      <c r="J629" s="3">
        <f t="shared" si="156"/>
        <v>79.849999999999994</v>
      </c>
      <c r="K629" s="3">
        <f t="shared" si="157"/>
        <v>87.65</v>
      </c>
      <c r="L629" s="34">
        <f t="shared" si="158"/>
        <v>83.75</v>
      </c>
      <c r="M629" s="3">
        <f t="shared" si="159"/>
        <v>-88</v>
      </c>
      <c r="N629" s="3">
        <f t="shared" si="160"/>
        <v>106</v>
      </c>
      <c r="O629" s="3"/>
      <c r="P629" s="3">
        <f t="shared" si="161"/>
        <v>97.074292913385847</v>
      </c>
      <c r="Q629" s="3">
        <f t="shared" si="162"/>
        <v>109.8176</v>
      </c>
      <c r="R629" s="3">
        <f>vd(DataTable[[#This Row],[Sentido]],DataTable[[#This Row],[Valor]])</f>
        <v>107.1665791776028</v>
      </c>
      <c r="S629" s="3">
        <f>IF(DataTable[[#This Row],[Valor]]&gt;1,1,1)</f>
        <v>1</v>
      </c>
      <c r="T629" s="3">
        <f>IF(DataTable[[#This Row],[Valor]]&gt;1,1,1)</f>
        <v>1</v>
      </c>
      <c r="U629" s="3">
        <f>angr(DataTable[[#This Row],[Sentido]],DataTable[[#This Row],[Valor]])</f>
        <v>40.651837270341204</v>
      </c>
      <c r="V629" s="3">
        <f>ANGI(DataTable[[#This Row],[Sentido]],DataTable[[#This Row],[Valor]])</f>
        <v>40.951837270341208</v>
      </c>
      <c r="W629" s="3">
        <f t="shared" si="163"/>
        <v>2</v>
      </c>
      <c r="X629" s="3">
        <f>IF(DataTable[[#This Row],[Valor]]&gt;1,1,1)</f>
        <v>1</v>
      </c>
      <c r="Y629" s="3">
        <f t="shared" si="164"/>
        <v>2</v>
      </c>
      <c r="Z629" s="3">
        <f>IF(AND(DataTable[[#This Row],[Sentido]]="URUGUAI para BRASIL",DataTable[[#This Row],[Valor]]&gt;350),1,0)</f>
        <v>0</v>
      </c>
      <c r="AA629" s="3">
        <f>IF(DataTable[[#This Row],[Valor]]&gt;1,0,0)</f>
        <v>0</v>
      </c>
    </row>
    <row r="630" spans="1:27" x14ac:dyDescent="0.25">
      <c r="A630" s="2" t="s">
        <v>18</v>
      </c>
      <c r="B630" s="2">
        <v>221</v>
      </c>
      <c r="C630" s="3">
        <f t="shared" si="150"/>
        <v>72.83</v>
      </c>
      <c r="D630" s="3">
        <f t="shared" si="151"/>
        <v>87.65</v>
      </c>
      <c r="E630" s="3">
        <f t="shared" si="152"/>
        <v>83.75</v>
      </c>
      <c r="F630" s="3">
        <f t="shared" si="153"/>
        <v>47.32</v>
      </c>
      <c r="G630" s="3">
        <f t="shared" si="154"/>
        <v>118.48</v>
      </c>
      <c r="H630" s="3">
        <f t="shared" si="155"/>
        <v>118.48</v>
      </c>
      <c r="I630" s="3"/>
      <c r="J630" s="3">
        <f t="shared" si="156"/>
        <v>79.849999999999994</v>
      </c>
      <c r="K630" s="3">
        <f t="shared" si="157"/>
        <v>87.65</v>
      </c>
      <c r="L630" s="34">
        <f t="shared" si="158"/>
        <v>83.75</v>
      </c>
      <c r="M630" s="3">
        <f t="shared" si="159"/>
        <v>-88.4</v>
      </c>
      <c r="N630" s="3">
        <f t="shared" si="160"/>
        <v>105.8</v>
      </c>
      <c r="O630" s="3"/>
      <c r="P630" s="3">
        <f t="shared" si="161"/>
        <v>97.413096062992139</v>
      </c>
      <c r="Q630" s="3">
        <f t="shared" si="162"/>
        <v>109.8176</v>
      </c>
      <c r="R630" s="3">
        <f>vd(DataTable[[#This Row],[Sentido]],DataTable[[#This Row],[Valor]])</f>
        <v>107.47279090113736</v>
      </c>
      <c r="S630" s="3">
        <f>IF(DataTable[[#This Row],[Valor]]&gt;1,1,1)</f>
        <v>1</v>
      </c>
      <c r="T630" s="3">
        <f>IF(DataTable[[#This Row],[Valor]]&gt;1,1,1)</f>
        <v>1</v>
      </c>
      <c r="U630" s="3">
        <f>angr(DataTable[[#This Row],[Sentido]],DataTable[[#This Row],[Valor]])</f>
        <v>40.471391076115488</v>
      </c>
      <c r="V630" s="3">
        <f>ANGI(DataTable[[#This Row],[Sentido]],DataTable[[#This Row],[Valor]])</f>
        <v>40.771391076115485</v>
      </c>
      <c r="W630" s="3">
        <f t="shared" si="163"/>
        <v>2</v>
      </c>
      <c r="X630" s="3">
        <f>IF(DataTable[[#This Row],[Valor]]&gt;1,1,1)</f>
        <v>1</v>
      </c>
      <c r="Y630" s="3">
        <f t="shared" si="164"/>
        <v>2</v>
      </c>
      <c r="Z630" s="3">
        <f>IF(AND(DataTable[[#This Row],[Sentido]]="URUGUAI para BRASIL",DataTable[[#This Row],[Valor]]&gt;350),1,0)</f>
        <v>0</v>
      </c>
      <c r="AA630" s="3">
        <f>IF(DataTable[[#This Row],[Valor]]&gt;1,0,0)</f>
        <v>0</v>
      </c>
    </row>
    <row r="631" spans="1:27" x14ac:dyDescent="0.25">
      <c r="A631" s="2" t="s">
        <v>18</v>
      </c>
      <c r="B631" s="2">
        <v>222</v>
      </c>
      <c r="C631" s="3">
        <f t="shared" si="150"/>
        <v>72.83</v>
      </c>
      <c r="D631" s="3">
        <f t="shared" si="151"/>
        <v>87.65</v>
      </c>
      <c r="E631" s="3">
        <f t="shared" si="152"/>
        <v>83.75</v>
      </c>
      <c r="F631" s="3">
        <f t="shared" si="153"/>
        <v>47.239999999999995</v>
      </c>
      <c r="G631" s="3">
        <f t="shared" si="154"/>
        <v>118.36</v>
      </c>
      <c r="H631" s="3">
        <f t="shared" si="155"/>
        <v>118.36</v>
      </c>
      <c r="I631" s="3"/>
      <c r="J631" s="3">
        <f t="shared" si="156"/>
        <v>79.849999999999994</v>
      </c>
      <c r="K631" s="3">
        <f t="shared" si="157"/>
        <v>87.65</v>
      </c>
      <c r="L631" s="34">
        <f t="shared" si="158"/>
        <v>83.75</v>
      </c>
      <c r="M631" s="3">
        <f t="shared" si="159"/>
        <v>-88.800000000000011</v>
      </c>
      <c r="N631" s="3">
        <f t="shared" si="160"/>
        <v>105.6</v>
      </c>
      <c r="O631" s="3"/>
      <c r="P631" s="3">
        <f t="shared" si="161"/>
        <v>97.751899212598431</v>
      </c>
      <c r="Q631" s="3">
        <f t="shared" si="162"/>
        <v>109.8176</v>
      </c>
      <c r="R631" s="3">
        <f>vd(DataTable[[#This Row],[Sentido]],DataTable[[#This Row],[Valor]])</f>
        <v>107.77900262467192</v>
      </c>
      <c r="S631" s="3">
        <f>IF(DataTable[[#This Row],[Valor]]&gt;1,1,1)</f>
        <v>1</v>
      </c>
      <c r="T631" s="3">
        <f>IF(DataTable[[#This Row],[Valor]]&gt;1,1,1)</f>
        <v>1</v>
      </c>
      <c r="U631" s="3">
        <f>angr(DataTable[[#This Row],[Sentido]],DataTable[[#This Row],[Valor]])</f>
        <v>40.290944881889764</v>
      </c>
      <c r="V631" s="3">
        <f>ANGI(DataTable[[#This Row],[Sentido]],DataTable[[#This Row],[Valor]])</f>
        <v>40.590944881889769</v>
      </c>
      <c r="W631" s="3">
        <f t="shared" si="163"/>
        <v>2</v>
      </c>
      <c r="X631" s="3">
        <f>IF(DataTable[[#This Row],[Valor]]&gt;1,1,1)</f>
        <v>1</v>
      </c>
      <c r="Y631" s="3">
        <f t="shared" si="164"/>
        <v>2</v>
      </c>
      <c r="Z631" s="3">
        <f>IF(AND(DataTable[[#This Row],[Sentido]]="URUGUAI para BRASIL",DataTable[[#This Row],[Valor]]&gt;350),1,0)</f>
        <v>0</v>
      </c>
      <c r="AA631" s="3">
        <f>IF(DataTable[[#This Row],[Valor]]&gt;1,0,0)</f>
        <v>0</v>
      </c>
    </row>
    <row r="632" spans="1:27" x14ac:dyDescent="0.25">
      <c r="A632" s="2" t="s">
        <v>18</v>
      </c>
      <c r="B632" s="2">
        <v>223</v>
      </c>
      <c r="C632" s="3">
        <f t="shared" si="150"/>
        <v>72.83</v>
      </c>
      <c r="D632" s="3">
        <f t="shared" si="151"/>
        <v>87.65</v>
      </c>
      <c r="E632" s="3">
        <f t="shared" si="152"/>
        <v>83.75</v>
      </c>
      <c r="F632" s="3">
        <f t="shared" si="153"/>
        <v>47.16</v>
      </c>
      <c r="G632" s="3">
        <f t="shared" si="154"/>
        <v>118.24000000000001</v>
      </c>
      <c r="H632" s="3">
        <f t="shared" si="155"/>
        <v>118.24000000000001</v>
      </c>
      <c r="I632" s="3"/>
      <c r="J632" s="3">
        <f t="shared" si="156"/>
        <v>79.849999999999994</v>
      </c>
      <c r="K632" s="3">
        <f t="shared" si="157"/>
        <v>87.65</v>
      </c>
      <c r="L632" s="34">
        <f t="shared" si="158"/>
        <v>83.75</v>
      </c>
      <c r="M632" s="3">
        <f t="shared" si="159"/>
        <v>-89.2</v>
      </c>
      <c r="N632" s="3">
        <f t="shared" si="160"/>
        <v>105.39999999999999</v>
      </c>
      <c r="O632" s="3"/>
      <c r="P632" s="3">
        <f t="shared" si="161"/>
        <v>98.090702362204738</v>
      </c>
      <c r="Q632" s="3">
        <f t="shared" si="162"/>
        <v>109.8176</v>
      </c>
      <c r="R632" s="3">
        <f>vd(DataTable[[#This Row],[Sentido]],DataTable[[#This Row],[Valor]])</f>
        <v>108.08521434820648</v>
      </c>
      <c r="S632" s="3">
        <f>IF(DataTable[[#This Row],[Valor]]&gt;1,1,1)</f>
        <v>1</v>
      </c>
      <c r="T632" s="3">
        <f>IF(DataTable[[#This Row],[Valor]]&gt;1,1,1)</f>
        <v>1</v>
      </c>
      <c r="U632" s="3">
        <f>angr(DataTable[[#This Row],[Sentido]],DataTable[[#This Row],[Valor]])</f>
        <v>40.110498687664041</v>
      </c>
      <c r="V632" s="3">
        <f>ANGI(DataTable[[#This Row],[Sentido]],DataTable[[#This Row],[Valor]])</f>
        <v>40.410498687664038</v>
      </c>
      <c r="W632" s="3">
        <f t="shared" si="163"/>
        <v>2</v>
      </c>
      <c r="X632" s="3">
        <f>IF(DataTable[[#This Row],[Valor]]&gt;1,1,1)</f>
        <v>1</v>
      </c>
      <c r="Y632" s="3">
        <f t="shared" si="164"/>
        <v>2</v>
      </c>
      <c r="Z632" s="3">
        <f>IF(AND(DataTable[[#This Row],[Sentido]]="URUGUAI para BRASIL",DataTable[[#This Row],[Valor]]&gt;350),1,0)</f>
        <v>0</v>
      </c>
      <c r="AA632" s="3">
        <f>IF(DataTable[[#This Row],[Valor]]&gt;1,0,0)</f>
        <v>0</v>
      </c>
    </row>
    <row r="633" spans="1:27" x14ac:dyDescent="0.25">
      <c r="A633" s="2" t="s">
        <v>18</v>
      </c>
      <c r="B633" s="2">
        <v>224</v>
      </c>
      <c r="C633" s="3">
        <f t="shared" si="150"/>
        <v>72.83</v>
      </c>
      <c r="D633" s="3">
        <f t="shared" si="151"/>
        <v>87.65</v>
      </c>
      <c r="E633" s="3">
        <f t="shared" si="152"/>
        <v>83.75</v>
      </c>
      <c r="F633" s="3">
        <f t="shared" si="153"/>
        <v>47.08</v>
      </c>
      <c r="G633" s="3">
        <f t="shared" si="154"/>
        <v>118.12</v>
      </c>
      <c r="H633" s="3">
        <f t="shared" si="155"/>
        <v>118.12</v>
      </c>
      <c r="I633" s="3"/>
      <c r="J633" s="3">
        <f t="shared" si="156"/>
        <v>79.849999999999994</v>
      </c>
      <c r="K633" s="3">
        <f t="shared" si="157"/>
        <v>87.65</v>
      </c>
      <c r="L633" s="34">
        <f t="shared" si="158"/>
        <v>83.75</v>
      </c>
      <c r="M633" s="3">
        <f t="shared" si="159"/>
        <v>-89.600000000000009</v>
      </c>
      <c r="N633" s="3">
        <f t="shared" si="160"/>
        <v>105.2</v>
      </c>
      <c r="O633" s="3"/>
      <c r="P633" s="3">
        <f t="shared" si="161"/>
        <v>98.42950551181103</v>
      </c>
      <c r="Q633" s="3">
        <f t="shared" si="162"/>
        <v>109.8176</v>
      </c>
      <c r="R633" s="3">
        <f>vd(DataTable[[#This Row],[Sentido]],DataTable[[#This Row],[Valor]])</f>
        <v>108.39142607174104</v>
      </c>
      <c r="S633" s="3">
        <f>IF(DataTable[[#This Row],[Valor]]&gt;1,1,1)</f>
        <v>1</v>
      </c>
      <c r="T633" s="3">
        <f>IF(DataTable[[#This Row],[Valor]]&gt;1,1,1)</f>
        <v>1</v>
      </c>
      <c r="U633" s="3">
        <f>angr(DataTable[[#This Row],[Sentido]],DataTable[[#This Row],[Valor]])</f>
        <v>39.930052493438318</v>
      </c>
      <c r="V633" s="3">
        <f>ANGI(DataTable[[#This Row],[Sentido]],DataTable[[#This Row],[Valor]])</f>
        <v>40.230052493438322</v>
      </c>
      <c r="W633" s="3">
        <f t="shared" si="163"/>
        <v>2</v>
      </c>
      <c r="X633" s="3">
        <f>IF(DataTable[[#This Row],[Valor]]&gt;1,1,1)</f>
        <v>1</v>
      </c>
      <c r="Y633" s="3">
        <f t="shared" si="164"/>
        <v>2</v>
      </c>
      <c r="Z633" s="3">
        <f>IF(AND(DataTable[[#This Row],[Sentido]]="URUGUAI para BRASIL",DataTable[[#This Row],[Valor]]&gt;350),1,0)</f>
        <v>0</v>
      </c>
      <c r="AA633" s="3">
        <f>IF(DataTable[[#This Row],[Valor]]&gt;1,0,0)</f>
        <v>0</v>
      </c>
    </row>
    <row r="634" spans="1:27" x14ac:dyDescent="0.25">
      <c r="A634" s="2" t="s">
        <v>18</v>
      </c>
      <c r="B634" s="2">
        <v>225</v>
      </c>
      <c r="C634" s="3">
        <f t="shared" si="150"/>
        <v>72.83</v>
      </c>
      <c r="D634" s="3">
        <f t="shared" si="151"/>
        <v>87.65</v>
      </c>
      <c r="E634" s="3">
        <f t="shared" si="152"/>
        <v>83.75</v>
      </c>
      <c r="F634" s="3">
        <f t="shared" si="153"/>
        <v>47</v>
      </c>
      <c r="G634" s="3">
        <f t="shared" si="154"/>
        <v>118</v>
      </c>
      <c r="H634" s="3">
        <f t="shared" si="155"/>
        <v>118</v>
      </c>
      <c r="I634" s="3"/>
      <c r="J634" s="3">
        <f t="shared" si="156"/>
        <v>79.849999999999994</v>
      </c>
      <c r="K634" s="3">
        <f t="shared" si="157"/>
        <v>87.65</v>
      </c>
      <c r="L634" s="34">
        <f t="shared" si="158"/>
        <v>83.75</v>
      </c>
      <c r="M634" s="3">
        <f t="shared" si="159"/>
        <v>-90</v>
      </c>
      <c r="N634" s="3">
        <f t="shared" si="160"/>
        <v>105</v>
      </c>
      <c r="O634" s="3"/>
      <c r="P634" s="3">
        <f t="shared" si="161"/>
        <v>98.768308661417322</v>
      </c>
      <c r="Q634" s="3">
        <f t="shared" si="162"/>
        <v>109.8176</v>
      </c>
      <c r="R634" s="3">
        <f>vd(DataTable[[#This Row],[Sentido]],DataTable[[#This Row],[Valor]])</f>
        <v>108.69763779527558</v>
      </c>
      <c r="S634" s="3">
        <f>IF(DataTable[[#This Row],[Valor]]&gt;1,1,1)</f>
        <v>1</v>
      </c>
      <c r="T634" s="3">
        <f>IF(DataTable[[#This Row],[Valor]]&gt;1,1,1)</f>
        <v>1</v>
      </c>
      <c r="U634" s="3">
        <f>angr(DataTable[[#This Row],[Sentido]],DataTable[[#This Row],[Valor]])</f>
        <v>39.749606299212601</v>
      </c>
      <c r="V634" s="3">
        <f>ANGI(DataTable[[#This Row],[Sentido]],DataTable[[#This Row],[Valor]])</f>
        <v>40.049606299212599</v>
      </c>
      <c r="W634" s="3">
        <f t="shared" si="163"/>
        <v>2</v>
      </c>
      <c r="X634" s="3">
        <f>IF(DataTable[[#This Row],[Valor]]&gt;1,1,1)</f>
        <v>1</v>
      </c>
      <c r="Y634" s="3">
        <f t="shared" si="164"/>
        <v>2</v>
      </c>
      <c r="Z634" s="3">
        <f>IF(AND(DataTable[[#This Row],[Sentido]]="URUGUAI para BRASIL",DataTable[[#This Row],[Valor]]&gt;350),1,0)</f>
        <v>0</v>
      </c>
      <c r="AA634" s="3">
        <f>IF(DataTable[[#This Row],[Valor]]&gt;1,0,0)</f>
        <v>0</v>
      </c>
    </row>
    <row r="635" spans="1:27" x14ac:dyDescent="0.25">
      <c r="A635" s="2" t="s">
        <v>18</v>
      </c>
      <c r="B635" s="2">
        <v>226</v>
      </c>
      <c r="C635" s="3">
        <f t="shared" si="150"/>
        <v>72.83</v>
      </c>
      <c r="D635" s="3">
        <f t="shared" si="151"/>
        <v>87.65</v>
      </c>
      <c r="E635" s="3">
        <f t="shared" si="152"/>
        <v>83.75</v>
      </c>
      <c r="F635" s="3">
        <f t="shared" si="153"/>
        <v>46.92</v>
      </c>
      <c r="G635" s="3">
        <f t="shared" si="154"/>
        <v>117.88</v>
      </c>
      <c r="H635" s="3">
        <f t="shared" si="155"/>
        <v>117.88</v>
      </c>
      <c r="I635" s="3"/>
      <c r="J635" s="3">
        <f t="shared" si="156"/>
        <v>79.849999999999994</v>
      </c>
      <c r="K635" s="3">
        <f t="shared" si="157"/>
        <v>87.65</v>
      </c>
      <c r="L635" s="34">
        <f t="shared" si="158"/>
        <v>83.75</v>
      </c>
      <c r="M635" s="3">
        <f t="shared" si="159"/>
        <v>-90.4</v>
      </c>
      <c r="N635" s="3">
        <f t="shared" si="160"/>
        <v>104.8</v>
      </c>
      <c r="O635" s="3"/>
      <c r="P635" s="3">
        <f t="shared" si="161"/>
        <v>99.107111811023643</v>
      </c>
      <c r="Q635" s="3">
        <f t="shared" si="162"/>
        <v>109.8176</v>
      </c>
      <c r="R635" s="3">
        <f>vd(DataTable[[#This Row],[Sentido]],DataTable[[#This Row],[Valor]])</f>
        <v>109.00384951881016</v>
      </c>
      <c r="S635" s="3">
        <f>IF(DataTable[[#This Row],[Valor]]&gt;1,1,1)</f>
        <v>1</v>
      </c>
      <c r="T635" s="3">
        <f>IF(DataTable[[#This Row],[Valor]]&gt;1,1,1)</f>
        <v>1</v>
      </c>
      <c r="U635" s="3">
        <f>angr(DataTable[[#This Row],[Sentido]],DataTable[[#This Row],[Valor]])</f>
        <v>39.569160104986878</v>
      </c>
      <c r="V635" s="3">
        <f>ANGI(DataTable[[#This Row],[Sentido]],DataTable[[#This Row],[Valor]])</f>
        <v>39.869160104986875</v>
      </c>
      <c r="W635" s="3">
        <f t="shared" si="163"/>
        <v>2</v>
      </c>
      <c r="X635" s="3">
        <f>IF(DataTable[[#This Row],[Valor]]&gt;1,1,1)</f>
        <v>1</v>
      </c>
      <c r="Y635" s="3">
        <f t="shared" si="164"/>
        <v>2</v>
      </c>
      <c r="Z635" s="3">
        <f>IF(AND(DataTable[[#This Row],[Sentido]]="URUGUAI para BRASIL",DataTable[[#This Row],[Valor]]&gt;350),1,0)</f>
        <v>0</v>
      </c>
      <c r="AA635" s="3">
        <f>IF(DataTable[[#This Row],[Valor]]&gt;1,0,0)</f>
        <v>0</v>
      </c>
    </row>
    <row r="636" spans="1:27" x14ac:dyDescent="0.25">
      <c r="A636" s="2" t="s">
        <v>18</v>
      </c>
      <c r="B636" s="2">
        <v>227</v>
      </c>
      <c r="C636" s="3">
        <f t="shared" si="150"/>
        <v>72.83</v>
      </c>
      <c r="D636" s="3">
        <f t="shared" si="151"/>
        <v>87.65</v>
      </c>
      <c r="E636" s="3">
        <f t="shared" si="152"/>
        <v>83.75</v>
      </c>
      <c r="F636" s="3">
        <f t="shared" si="153"/>
        <v>46.84</v>
      </c>
      <c r="G636" s="3">
        <f t="shared" si="154"/>
        <v>117.75999999999999</v>
      </c>
      <c r="H636" s="3">
        <f t="shared" si="155"/>
        <v>117.75999999999999</v>
      </c>
      <c r="I636" s="3"/>
      <c r="J636" s="3">
        <f t="shared" si="156"/>
        <v>79.849999999999994</v>
      </c>
      <c r="K636" s="3">
        <f t="shared" si="157"/>
        <v>87.65</v>
      </c>
      <c r="L636" s="34">
        <f t="shared" si="158"/>
        <v>83.75</v>
      </c>
      <c r="M636" s="3">
        <f t="shared" si="159"/>
        <v>-90.800000000000011</v>
      </c>
      <c r="N636" s="3">
        <f t="shared" si="160"/>
        <v>104.6</v>
      </c>
      <c r="O636" s="3"/>
      <c r="P636" s="3">
        <f t="shared" si="161"/>
        <v>99.445914960629935</v>
      </c>
      <c r="Q636" s="3">
        <f t="shared" si="162"/>
        <v>109.8176</v>
      </c>
      <c r="R636" s="3">
        <f>vd(DataTable[[#This Row],[Sentido]],DataTable[[#This Row],[Valor]])</f>
        <v>109.3100612423447</v>
      </c>
      <c r="S636" s="3">
        <f>IF(DataTable[[#This Row],[Valor]]&gt;1,1,1)</f>
        <v>1</v>
      </c>
      <c r="T636" s="3">
        <f>IF(DataTable[[#This Row],[Valor]]&gt;1,1,1)</f>
        <v>1</v>
      </c>
      <c r="U636" s="3">
        <f>angr(DataTable[[#This Row],[Sentido]],DataTable[[#This Row],[Valor]])</f>
        <v>39.388713910761155</v>
      </c>
      <c r="V636" s="3">
        <f>ANGI(DataTable[[#This Row],[Sentido]],DataTable[[#This Row],[Valor]])</f>
        <v>39.688713910761152</v>
      </c>
      <c r="W636" s="3">
        <f t="shared" si="163"/>
        <v>2</v>
      </c>
      <c r="X636" s="3">
        <f>IF(DataTable[[#This Row],[Valor]]&gt;1,1,1)</f>
        <v>1</v>
      </c>
      <c r="Y636" s="3">
        <f t="shared" si="164"/>
        <v>2</v>
      </c>
      <c r="Z636" s="3">
        <f>IF(AND(DataTable[[#This Row],[Sentido]]="URUGUAI para BRASIL",DataTable[[#This Row],[Valor]]&gt;350),1,0)</f>
        <v>0</v>
      </c>
      <c r="AA636" s="3">
        <f>IF(DataTable[[#This Row],[Valor]]&gt;1,0,0)</f>
        <v>0</v>
      </c>
    </row>
    <row r="637" spans="1:27" x14ac:dyDescent="0.25">
      <c r="A637" s="2" t="s">
        <v>18</v>
      </c>
      <c r="B637" s="2">
        <v>228</v>
      </c>
      <c r="C637" s="3">
        <f t="shared" si="150"/>
        <v>72.83</v>
      </c>
      <c r="D637" s="3">
        <f t="shared" si="151"/>
        <v>87.65</v>
      </c>
      <c r="E637" s="3">
        <f t="shared" si="152"/>
        <v>83.75</v>
      </c>
      <c r="F637" s="3">
        <f t="shared" si="153"/>
        <v>46.76</v>
      </c>
      <c r="G637" s="3">
        <f t="shared" si="154"/>
        <v>117.64</v>
      </c>
      <c r="H637" s="3">
        <f t="shared" si="155"/>
        <v>117.64</v>
      </c>
      <c r="I637" s="3"/>
      <c r="J637" s="3">
        <f t="shared" si="156"/>
        <v>79.849999999999994</v>
      </c>
      <c r="K637" s="3">
        <f t="shared" si="157"/>
        <v>87.65</v>
      </c>
      <c r="L637" s="34">
        <f t="shared" si="158"/>
        <v>83.75</v>
      </c>
      <c r="M637" s="3">
        <f t="shared" si="159"/>
        <v>-91.2</v>
      </c>
      <c r="N637" s="3">
        <f t="shared" si="160"/>
        <v>104.39999999999999</v>
      </c>
      <c r="O637" s="3"/>
      <c r="P637" s="3">
        <f t="shared" si="161"/>
        <v>99.784718110236227</v>
      </c>
      <c r="Q637" s="3">
        <f t="shared" si="162"/>
        <v>109.8176</v>
      </c>
      <c r="R637" s="3">
        <f>vd(DataTable[[#This Row],[Sentido]],DataTable[[#This Row],[Valor]])</f>
        <v>109.61627296587926</v>
      </c>
      <c r="S637" s="3">
        <f>IF(DataTable[[#This Row],[Valor]]&gt;1,1,1)</f>
        <v>1</v>
      </c>
      <c r="T637" s="3">
        <f>IF(DataTable[[#This Row],[Valor]]&gt;1,1,1)</f>
        <v>1</v>
      </c>
      <c r="U637" s="3">
        <f>angr(DataTable[[#This Row],[Sentido]],DataTable[[#This Row],[Valor]])</f>
        <v>39.208267716535438</v>
      </c>
      <c r="V637" s="3">
        <f>ANGI(DataTable[[#This Row],[Sentido]],DataTable[[#This Row],[Valor]])</f>
        <v>39.508267716535435</v>
      </c>
      <c r="W637" s="3">
        <f t="shared" si="163"/>
        <v>2</v>
      </c>
      <c r="X637" s="3">
        <f>IF(DataTable[[#This Row],[Valor]]&gt;1,1,1)</f>
        <v>1</v>
      </c>
      <c r="Y637" s="3">
        <f t="shared" si="164"/>
        <v>2</v>
      </c>
      <c r="Z637" s="3">
        <f>IF(AND(DataTable[[#This Row],[Sentido]]="URUGUAI para BRASIL",DataTable[[#This Row],[Valor]]&gt;350),1,0)</f>
        <v>0</v>
      </c>
      <c r="AA637" s="3">
        <f>IF(DataTable[[#This Row],[Valor]]&gt;1,0,0)</f>
        <v>0</v>
      </c>
    </row>
    <row r="638" spans="1:27" x14ac:dyDescent="0.25">
      <c r="A638" s="2" t="s">
        <v>18</v>
      </c>
      <c r="B638" s="2">
        <v>229</v>
      </c>
      <c r="C638" s="3">
        <f t="shared" si="150"/>
        <v>72.83</v>
      </c>
      <c r="D638" s="3">
        <f t="shared" si="151"/>
        <v>87.65</v>
      </c>
      <c r="E638" s="3">
        <f t="shared" si="152"/>
        <v>83.75</v>
      </c>
      <c r="F638" s="3">
        <f t="shared" si="153"/>
        <v>46.68</v>
      </c>
      <c r="G638" s="3">
        <f t="shared" si="154"/>
        <v>117.52000000000001</v>
      </c>
      <c r="H638" s="3">
        <f t="shared" si="155"/>
        <v>117.52000000000001</v>
      </c>
      <c r="I638" s="3"/>
      <c r="J638" s="3">
        <f t="shared" si="156"/>
        <v>79.849999999999994</v>
      </c>
      <c r="K638" s="3">
        <f t="shared" si="157"/>
        <v>87.65</v>
      </c>
      <c r="L638" s="34">
        <f t="shared" si="158"/>
        <v>83.75</v>
      </c>
      <c r="M638" s="3">
        <f t="shared" si="159"/>
        <v>-91.600000000000009</v>
      </c>
      <c r="N638" s="3">
        <f t="shared" si="160"/>
        <v>104.2</v>
      </c>
      <c r="O638" s="3"/>
      <c r="P638" s="3">
        <f t="shared" si="161"/>
        <v>100.12352125984253</v>
      </c>
      <c r="Q638" s="3">
        <f t="shared" si="162"/>
        <v>109.8176</v>
      </c>
      <c r="R638" s="3">
        <f>vd(DataTable[[#This Row],[Sentido]],DataTable[[#This Row],[Valor]])</f>
        <v>109.8</v>
      </c>
      <c r="S638" s="3">
        <f>IF(DataTable[[#This Row],[Valor]]&gt;1,1,1)</f>
        <v>1</v>
      </c>
      <c r="T638" s="3">
        <f>IF(DataTable[[#This Row],[Valor]]&gt;1,1,1)</f>
        <v>1</v>
      </c>
      <c r="U638" s="3">
        <f>angr(DataTable[[#This Row],[Sentido]],DataTable[[#This Row],[Valor]])</f>
        <v>39.041800753166726</v>
      </c>
      <c r="V638" s="3">
        <f>ANGI(DataTable[[#This Row],[Sentido]],DataTable[[#This Row],[Valor]])</f>
        <v>39.341800753166723</v>
      </c>
      <c r="W638" s="3">
        <f t="shared" si="163"/>
        <v>2</v>
      </c>
      <c r="X638" s="3">
        <f>IF(DataTable[[#This Row],[Valor]]&gt;1,1,1)</f>
        <v>1</v>
      </c>
      <c r="Y638" s="3">
        <f t="shared" si="164"/>
        <v>2</v>
      </c>
      <c r="Z638" s="3">
        <f>IF(AND(DataTable[[#This Row],[Sentido]]="URUGUAI para BRASIL",DataTable[[#This Row],[Valor]]&gt;350),1,0)</f>
        <v>0</v>
      </c>
      <c r="AA638" s="3">
        <f>IF(DataTable[[#This Row],[Valor]]&gt;1,0,0)</f>
        <v>0</v>
      </c>
    </row>
    <row r="639" spans="1:27" x14ac:dyDescent="0.25">
      <c r="A639" s="2" t="s">
        <v>18</v>
      </c>
      <c r="B639" s="2">
        <v>230</v>
      </c>
      <c r="C639" s="3">
        <f t="shared" si="150"/>
        <v>72.83</v>
      </c>
      <c r="D639" s="3">
        <f t="shared" si="151"/>
        <v>87.65</v>
      </c>
      <c r="E639" s="3">
        <f t="shared" si="152"/>
        <v>83.75</v>
      </c>
      <c r="F639" s="3">
        <f t="shared" si="153"/>
        <v>46.599999999999994</v>
      </c>
      <c r="G639" s="3">
        <f t="shared" si="154"/>
        <v>117.4</v>
      </c>
      <c r="H639" s="3">
        <f t="shared" si="155"/>
        <v>117.4</v>
      </c>
      <c r="I639" s="3"/>
      <c r="J639" s="3">
        <f t="shared" si="156"/>
        <v>79.849999999999994</v>
      </c>
      <c r="K639" s="3">
        <f t="shared" si="157"/>
        <v>87.65</v>
      </c>
      <c r="L639" s="34">
        <f t="shared" si="158"/>
        <v>83.75</v>
      </c>
      <c r="M639" s="3">
        <f t="shared" si="159"/>
        <v>-92</v>
      </c>
      <c r="N639" s="3">
        <f t="shared" si="160"/>
        <v>104</v>
      </c>
      <c r="O639" s="3"/>
      <c r="P639" s="3">
        <f t="shared" si="161"/>
        <v>100.46232440944883</v>
      </c>
      <c r="Q639" s="3">
        <f t="shared" si="162"/>
        <v>109.8176</v>
      </c>
      <c r="R639" s="3">
        <f>vd(DataTable[[#This Row],[Sentido]],DataTable[[#This Row],[Valor]])</f>
        <v>109.8</v>
      </c>
      <c r="S639" s="3">
        <f>IF(DataTable[[#This Row],[Valor]]&gt;1,1,1)</f>
        <v>1</v>
      </c>
      <c r="T639" s="3">
        <f>IF(DataTable[[#This Row],[Valor]]&gt;1,1,1)</f>
        <v>1</v>
      </c>
      <c r="U639" s="3">
        <f>angr(DataTable[[#This Row],[Sentido]],DataTable[[#This Row],[Valor]])</f>
        <v>38.896302636083533</v>
      </c>
      <c r="V639" s="3">
        <f>ANGI(DataTable[[#This Row],[Sentido]],DataTable[[#This Row],[Valor]])</f>
        <v>39.19630263608353</v>
      </c>
      <c r="W639" s="3">
        <f t="shared" si="163"/>
        <v>2</v>
      </c>
      <c r="X639" s="3">
        <f>IF(DataTable[[#This Row],[Valor]]&gt;1,1,1)</f>
        <v>1</v>
      </c>
      <c r="Y639" s="3">
        <f t="shared" si="164"/>
        <v>2</v>
      </c>
      <c r="Z639" s="3">
        <f>IF(AND(DataTable[[#This Row],[Sentido]]="URUGUAI para BRASIL",DataTable[[#This Row],[Valor]]&gt;350),1,0)</f>
        <v>0</v>
      </c>
      <c r="AA639" s="3">
        <f>IF(DataTable[[#This Row],[Valor]]&gt;1,0,0)</f>
        <v>0</v>
      </c>
    </row>
    <row r="640" spans="1:27" x14ac:dyDescent="0.25">
      <c r="A640" s="2" t="s">
        <v>18</v>
      </c>
      <c r="B640" s="2">
        <v>231</v>
      </c>
      <c r="C640" s="3">
        <f t="shared" si="150"/>
        <v>72.83</v>
      </c>
      <c r="D640" s="3">
        <f t="shared" si="151"/>
        <v>87.65</v>
      </c>
      <c r="E640" s="3">
        <f t="shared" si="152"/>
        <v>83.75</v>
      </c>
      <c r="F640" s="3">
        <f t="shared" si="153"/>
        <v>46.519999999999996</v>
      </c>
      <c r="G640" s="3">
        <f t="shared" si="154"/>
        <v>117.28</v>
      </c>
      <c r="H640" s="3">
        <f t="shared" si="155"/>
        <v>117.28</v>
      </c>
      <c r="I640" s="3"/>
      <c r="J640" s="3">
        <f t="shared" si="156"/>
        <v>79.849999999999994</v>
      </c>
      <c r="K640" s="3">
        <f t="shared" si="157"/>
        <v>87.65</v>
      </c>
      <c r="L640" s="34">
        <f t="shared" si="158"/>
        <v>83.75</v>
      </c>
      <c r="M640" s="3">
        <f t="shared" si="159"/>
        <v>-92.4</v>
      </c>
      <c r="N640" s="3">
        <f t="shared" si="160"/>
        <v>103.8</v>
      </c>
      <c r="O640" s="3"/>
      <c r="P640" s="3">
        <f t="shared" si="161"/>
        <v>100.80112755905512</v>
      </c>
      <c r="Q640" s="3">
        <f t="shared" si="162"/>
        <v>109.8176</v>
      </c>
      <c r="R640" s="3">
        <f>vd(DataTable[[#This Row],[Sentido]],DataTable[[#This Row],[Valor]])</f>
        <v>109.8</v>
      </c>
      <c r="S640" s="3">
        <f>IF(DataTable[[#This Row],[Valor]]&gt;1,1,1)</f>
        <v>1</v>
      </c>
      <c r="T640" s="3">
        <f>IF(DataTable[[#This Row],[Valor]]&gt;1,1,1)</f>
        <v>1</v>
      </c>
      <c r="U640" s="3">
        <f>angr(DataTable[[#This Row],[Sentido]],DataTable[[#This Row],[Valor]])</f>
        <v>38.75080451900034</v>
      </c>
      <c r="V640" s="3">
        <f>ANGI(DataTable[[#This Row],[Sentido]],DataTable[[#This Row],[Valor]])</f>
        <v>39.050804519000344</v>
      </c>
      <c r="W640" s="3">
        <f t="shared" si="163"/>
        <v>2</v>
      </c>
      <c r="X640" s="3">
        <f>IF(DataTable[[#This Row],[Valor]]&gt;1,1,1)</f>
        <v>1</v>
      </c>
      <c r="Y640" s="3">
        <f t="shared" si="164"/>
        <v>2</v>
      </c>
      <c r="Z640" s="3">
        <f>IF(AND(DataTable[[#This Row],[Sentido]]="URUGUAI para BRASIL",DataTable[[#This Row],[Valor]]&gt;350),1,0)</f>
        <v>0</v>
      </c>
      <c r="AA640" s="3">
        <f>IF(DataTable[[#This Row],[Valor]]&gt;1,0,0)</f>
        <v>0</v>
      </c>
    </row>
    <row r="641" spans="1:27" x14ac:dyDescent="0.25">
      <c r="A641" s="2" t="s">
        <v>18</v>
      </c>
      <c r="B641" s="2">
        <v>232</v>
      </c>
      <c r="C641" s="3">
        <f t="shared" si="150"/>
        <v>72.83</v>
      </c>
      <c r="D641" s="3">
        <f t="shared" si="151"/>
        <v>87.65</v>
      </c>
      <c r="E641" s="3">
        <f t="shared" si="152"/>
        <v>83.75</v>
      </c>
      <c r="F641" s="3">
        <f t="shared" si="153"/>
        <v>46.44</v>
      </c>
      <c r="G641" s="3">
        <f t="shared" si="154"/>
        <v>117.16</v>
      </c>
      <c r="H641" s="3">
        <f t="shared" si="155"/>
        <v>117.16</v>
      </c>
      <c r="I641" s="3"/>
      <c r="J641" s="3">
        <f t="shared" si="156"/>
        <v>79.849999999999994</v>
      </c>
      <c r="K641" s="3">
        <f t="shared" si="157"/>
        <v>87.65</v>
      </c>
      <c r="L641" s="34">
        <f t="shared" si="158"/>
        <v>83.75</v>
      </c>
      <c r="M641" s="3">
        <f t="shared" si="159"/>
        <v>-92.800000000000011</v>
      </c>
      <c r="N641" s="3">
        <f t="shared" si="160"/>
        <v>103.6</v>
      </c>
      <c r="O641" s="3"/>
      <c r="P641" s="3">
        <f t="shared" si="161"/>
        <v>101.13993070866141</v>
      </c>
      <c r="Q641" s="3">
        <f t="shared" si="162"/>
        <v>109.8176</v>
      </c>
      <c r="R641" s="3">
        <f>vd(DataTable[[#This Row],[Sentido]],DataTable[[#This Row],[Valor]])</f>
        <v>109.8</v>
      </c>
      <c r="S641" s="3">
        <f>IF(DataTable[[#This Row],[Valor]]&gt;1,1,1)</f>
        <v>1</v>
      </c>
      <c r="T641" s="3">
        <f>IF(DataTable[[#This Row],[Valor]]&gt;1,1,1)</f>
        <v>1</v>
      </c>
      <c r="U641" s="3">
        <f>angr(DataTable[[#This Row],[Sentido]],DataTable[[#This Row],[Valor]])</f>
        <v>38.605306401917154</v>
      </c>
      <c r="V641" s="3">
        <f>ANGI(DataTable[[#This Row],[Sentido]],DataTable[[#This Row],[Valor]])</f>
        <v>38.905306401917152</v>
      </c>
      <c r="W641" s="3">
        <f t="shared" si="163"/>
        <v>2</v>
      </c>
      <c r="X641" s="3">
        <f>IF(DataTable[[#This Row],[Valor]]&gt;1,1,1)</f>
        <v>1</v>
      </c>
      <c r="Y641" s="3">
        <f t="shared" si="164"/>
        <v>2</v>
      </c>
      <c r="Z641" s="3">
        <f>IF(AND(DataTable[[#This Row],[Sentido]]="URUGUAI para BRASIL",DataTable[[#This Row],[Valor]]&gt;350),1,0)</f>
        <v>0</v>
      </c>
      <c r="AA641" s="3">
        <f>IF(DataTable[[#This Row],[Valor]]&gt;1,0,0)</f>
        <v>0</v>
      </c>
    </row>
    <row r="642" spans="1:27" x14ac:dyDescent="0.25">
      <c r="A642" s="2" t="s">
        <v>18</v>
      </c>
      <c r="B642" s="2">
        <v>233</v>
      </c>
      <c r="C642" s="3">
        <f t="shared" si="150"/>
        <v>72.83</v>
      </c>
      <c r="D642" s="3">
        <f t="shared" si="151"/>
        <v>87.65</v>
      </c>
      <c r="E642" s="3">
        <f t="shared" si="152"/>
        <v>83.75</v>
      </c>
      <c r="F642" s="3">
        <f t="shared" si="153"/>
        <v>46.36</v>
      </c>
      <c r="G642" s="3">
        <f t="shared" si="154"/>
        <v>117.03999999999999</v>
      </c>
      <c r="H642" s="3">
        <f t="shared" si="155"/>
        <v>117.03999999999999</v>
      </c>
      <c r="I642" s="3"/>
      <c r="J642" s="3">
        <f t="shared" si="156"/>
        <v>79.849999999999994</v>
      </c>
      <c r="K642" s="3">
        <f t="shared" si="157"/>
        <v>87.65</v>
      </c>
      <c r="L642" s="34">
        <f t="shared" si="158"/>
        <v>83.75</v>
      </c>
      <c r="M642" s="3">
        <f t="shared" si="159"/>
        <v>-93.2</v>
      </c>
      <c r="N642" s="3">
        <f t="shared" si="160"/>
        <v>103.39999999999999</v>
      </c>
      <c r="O642" s="3"/>
      <c r="P642" s="3">
        <f t="shared" si="161"/>
        <v>101.47873385826773</v>
      </c>
      <c r="Q642" s="3">
        <f t="shared" si="162"/>
        <v>109.8176</v>
      </c>
      <c r="R642" s="3">
        <f>vd(DataTable[[#This Row],[Sentido]],DataTable[[#This Row],[Valor]])</f>
        <v>109.8</v>
      </c>
      <c r="S642" s="3">
        <f>IF(DataTable[[#This Row],[Valor]]&gt;1,1,1)</f>
        <v>1</v>
      </c>
      <c r="T642" s="3">
        <f>IF(DataTable[[#This Row],[Valor]]&gt;1,1,1)</f>
        <v>1</v>
      </c>
      <c r="U642" s="3">
        <f>angr(DataTable[[#This Row],[Sentido]],DataTable[[#This Row],[Valor]])</f>
        <v>38.459808284833962</v>
      </c>
      <c r="V642" s="3">
        <f>ANGI(DataTable[[#This Row],[Sentido]],DataTable[[#This Row],[Valor]])</f>
        <v>38.759808284833959</v>
      </c>
      <c r="W642" s="3">
        <f t="shared" si="163"/>
        <v>2</v>
      </c>
      <c r="X642" s="3">
        <f>IF(DataTable[[#This Row],[Valor]]&gt;1,1,1)</f>
        <v>1</v>
      </c>
      <c r="Y642" s="3">
        <f t="shared" si="164"/>
        <v>2</v>
      </c>
      <c r="Z642" s="3">
        <f>IF(AND(DataTable[[#This Row],[Sentido]]="URUGUAI para BRASIL",DataTable[[#This Row],[Valor]]&gt;350),1,0)</f>
        <v>0</v>
      </c>
      <c r="AA642" s="3">
        <f>IF(DataTable[[#This Row],[Valor]]&gt;1,0,0)</f>
        <v>0</v>
      </c>
    </row>
    <row r="643" spans="1:27" x14ac:dyDescent="0.25">
      <c r="A643" s="2" t="s">
        <v>18</v>
      </c>
      <c r="B643" s="2">
        <v>234</v>
      </c>
      <c r="C643" s="3">
        <f t="shared" si="150"/>
        <v>72.83</v>
      </c>
      <c r="D643" s="3">
        <f t="shared" si="151"/>
        <v>87.65</v>
      </c>
      <c r="E643" s="3">
        <f t="shared" si="152"/>
        <v>83.75</v>
      </c>
      <c r="F643" s="3">
        <f t="shared" si="153"/>
        <v>46.28</v>
      </c>
      <c r="G643" s="3">
        <f t="shared" si="154"/>
        <v>116.92</v>
      </c>
      <c r="H643" s="3">
        <f t="shared" si="155"/>
        <v>116.92</v>
      </c>
      <c r="I643" s="3"/>
      <c r="J643" s="3">
        <f t="shared" si="156"/>
        <v>79.849999999999994</v>
      </c>
      <c r="K643" s="3">
        <f t="shared" si="157"/>
        <v>87.65</v>
      </c>
      <c r="L643" s="34">
        <f t="shared" si="158"/>
        <v>83.75</v>
      </c>
      <c r="M643" s="3">
        <f t="shared" si="159"/>
        <v>-93.600000000000009</v>
      </c>
      <c r="N643" s="3">
        <f t="shared" si="160"/>
        <v>103.2</v>
      </c>
      <c r="O643" s="3"/>
      <c r="P643" s="3">
        <f t="shared" si="161"/>
        <v>101.81753700787402</v>
      </c>
      <c r="Q643" s="3">
        <f t="shared" si="162"/>
        <v>109.8178431496063</v>
      </c>
      <c r="R643" s="3">
        <f>vd(DataTable[[#This Row],[Sentido]],DataTable[[#This Row],[Valor]])</f>
        <v>109.8</v>
      </c>
      <c r="S643" s="3">
        <f>IF(DataTable[[#This Row],[Valor]]&gt;1,1,1)</f>
        <v>1</v>
      </c>
      <c r="T643" s="3">
        <f>IF(DataTable[[#This Row],[Valor]]&gt;1,1,1)</f>
        <v>1</v>
      </c>
      <c r="U643" s="3">
        <f>angr(DataTable[[#This Row],[Sentido]],DataTable[[#This Row],[Valor]])</f>
        <v>38.314310167750769</v>
      </c>
      <c r="V643" s="3">
        <f>ANGI(DataTable[[#This Row],[Sentido]],DataTable[[#This Row],[Valor]])</f>
        <v>38.614310167750773</v>
      </c>
      <c r="W643" s="3">
        <f t="shared" si="163"/>
        <v>2</v>
      </c>
      <c r="X643" s="3">
        <f>IF(DataTable[[#This Row],[Valor]]&gt;1,1,1)</f>
        <v>1</v>
      </c>
      <c r="Y643" s="3">
        <f t="shared" si="164"/>
        <v>2</v>
      </c>
      <c r="Z643" s="3">
        <f>IF(AND(DataTable[[#This Row],[Sentido]]="URUGUAI para BRASIL",DataTable[[#This Row],[Valor]]&gt;350),1,0)</f>
        <v>0</v>
      </c>
      <c r="AA643" s="3">
        <f>IF(DataTable[[#This Row],[Valor]]&gt;1,0,0)</f>
        <v>0</v>
      </c>
    </row>
    <row r="644" spans="1:27" x14ac:dyDescent="0.25">
      <c r="A644" s="2" t="s">
        <v>18</v>
      </c>
      <c r="B644" s="2">
        <v>235</v>
      </c>
      <c r="C644" s="3">
        <f t="shared" si="150"/>
        <v>72.83</v>
      </c>
      <c r="D644" s="3">
        <f t="shared" si="151"/>
        <v>87.65</v>
      </c>
      <c r="E644" s="3">
        <f t="shared" si="152"/>
        <v>83.75</v>
      </c>
      <c r="F644" s="3">
        <f t="shared" si="153"/>
        <v>46.2</v>
      </c>
      <c r="G644" s="3">
        <f t="shared" si="154"/>
        <v>116.80000000000001</v>
      </c>
      <c r="H644" s="3">
        <f t="shared" si="155"/>
        <v>116.80000000000001</v>
      </c>
      <c r="I644" s="3"/>
      <c r="J644" s="3">
        <f t="shared" si="156"/>
        <v>79.849999999999994</v>
      </c>
      <c r="K644" s="3">
        <f t="shared" si="157"/>
        <v>87.65</v>
      </c>
      <c r="L644" s="34">
        <f t="shared" si="158"/>
        <v>83.75</v>
      </c>
      <c r="M644" s="3">
        <f t="shared" si="159"/>
        <v>-94</v>
      </c>
      <c r="N644" s="3">
        <f t="shared" si="160"/>
        <v>103</v>
      </c>
      <c r="O644" s="3"/>
      <c r="P644" s="3">
        <f t="shared" si="161"/>
        <v>102.15634015748032</v>
      </c>
      <c r="Q644" s="3">
        <f t="shared" si="162"/>
        <v>110.58150299212598</v>
      </c>
      <c r="R644" s="3">
        <f>vd(DataTable[[#This Row],[Sentido]],DataTable[[#This Row],[Valor]])</f>
        <v>109.8</v>
      </c>
      <c r="S644" s="3">
        <f>IF(DataTable[[#This Row],[Valor]]&gt;1,1,1)</f>
        <v>1</v>
      </c>
      <c r="T644" s="3">
        <f>IF(DataTable[[#This Row],[Valor]]&gt;1,1,1)</f>
        <v>1</v>
      </c>
      <c r="U644" s="3">
        <f>angr(DataTable[[#This Row],[Sentido]],DataTable[[#This Row],[Valor]])</f>
        <v>38.168812050667583</v>
      </c>
      <c r="V644" s="3">
        <f>ANGI(DataTable[[#This Row],[Sentido]],DataTable[[#This Row],[Valor]])</f>
        <v>38.46881205066758</v>
      </c>
      <c r="W644" s="3">
        <f t="shared" si="163"/>
        <v>2</v>
      </c>
      <c r="X644" s="3">
        <f>IF(DataTable[[#This Row],[Valor]]&gt;1,1,1)</f>
        <v>1</v>
      </c>
      <c r="Y644" s="3">
        <f t="shared" si="164"/>
        <v>2</v>
      </c>
      <c r="Z644" s="3">
        <f>IF(AND(DataTable[[#This Row],[Sentido]]="URUGUAI para BRASIL",DataTable[[#This Row],[Valor]]&gt;350),1,0)</f>
        <v>0</v>
      </c>
      <c r="AA644" s="3">
        <f>IF(DataTable[[#This Row],[Valor]]&gt;1,0,0)</f>
        <v>0</v>
      </c>
    </row>
    <row r="645" spans="1:27" x14ac:dyDescent="0.25">
      <c r="A645" s="2" t="s">
        <v>18</v>
      </c>
      <c r="B645" s="2">
        <v>236</v>
      </c>
      <c r="C645" s="3">
        <f t="shared" ref="C645:C708" si="165">MiniVWVB(A645,B645,E645)</f>
        <v>72.83</v>
      </c>
      <c r="D645" s="3">
        <f t="shared" ref="D645:D708" si="166">MaxVWV(A645,B645)</f>
        <v>87.65</v>
      </c>
      <c r="E645" s="3">
        <f t="shared" ref="E645:E708" si="167">RatedVWV(B645)</f>
        <v>83.75</v>
      </c>
      <c r="F645" s="3">
        <f t="shared" ref="F645:F708" si="168">MinQB(A645,B645)</f>
        <v>46.120000000000005</v>
      </c>
      <c r="G645" s="3">
        <f t="shared" ref="G645:G708" si="169">MaxQB3F(A645,B645)</f>
        <v>116.68</v>
      </c>
      <c r="H645" s="3">
        <f t="shared" ref="H645:H708" si="170">MaxQB4F(A645,B645)</f>
        <v>116.68</v>
      </c>
      <c r="I645" s="3"/>
      <c r="J645" s="3">
        <f t="shared" ref="J645:J708" si="171">MiniVWVU(A645,B645,L645)</f>
        <v>79.849999999999994</v>
      </c>
      <c r="K645" s="3">
        <f t="shared" ref="K645:K708" si="172">MaxVWV(A645,B645)</f>
        <v>87.65</v>
      </c>
      <c r="L645" s="34">
        <f t="shared" ref="L645:L708" si="173">RatedVWV(B645)</f>
        <v>83.75</v>
      </c>
      <c r="M645" s="3">
        <f t="shared" ref="M645:M708" si="174">MinQU(A645,B645)</f>
        <v>-94.4</v>
      </c>
      <c r="N645" s="3">
        <f t="shared" ref="N645:N708" si="175">MaxQU(A645,B645)</f>
        <v>102.8</v>
      </c>
      <c r="O645" s="3"/>
      <c r="P645" s="3">
        <f t="shared" ref="P645:P708" si="176">MiniUpper(A645,B645)</f>
        <v>102.49514330708662</v>
      </c>
      <c r="Q645" s="3">
        <f t="shared" ref="Q645:Q708" si="177">MaxUpper(A645,B645)</f>
        <v>111.34516283464568</v>
      </c>
      <c r="R645" s="3">
        <f>vd(DataTable[[#This Row],[Sentido]],DataTable[[#This Row],[Valor]])</f>
        <v>109.8</v>
      </c>
      <c r="S645" s="3">
        <f>IF(DataTable[[#This Row],[Valor]]&gt;1,1,1)</f>
        <v>1</v>
      </c>
      <c r="T645" s="3">
        <f>IF(DataTable[[#This Row],[Valor]]&gt;1,1,1)</f>
        <v>1</v>
      </c>
      <c r="U645" s="3">
        <f>angr(DataTable[[#This Row],[Sentido]],DataTable[[#This Row],[Valor]])</f>
        <v>38.023313933584383</v>
      </c>
      <c r="V645" s="3">
        <f>ANGI(DataTable[[#This Row],[Sentido]],DataTable[[#This Row],[Valor]])</f>
        <v>38.323313933584387</v>
      </c>
      <c r="W645" s="3">
        <f t="shared" ref="W645:W708" si="178">IF(A646="URUGUAI para BRASIL",IF(B645&gt;119,IF(B645&gt;240,3,2),1),IF(B645&gt;120,IF(B645&gt;240,3,2),1))</f>
        <v>2</v>
      </c>
      <c r="X645" s="3">
        <f>IF(DataTable[[#This Row],[Valor]]&gt;1,1,1)</f>
        <v>1</v>
      </c>
      <c r="Y645" s="3">
        <f t="shared" ref="Y645:Y708" si="179">IF(A646="URUGUAI para BRASIL",IF(B645&gt;119,IF(B645&gt;240,3,2),1),IF(B645&gt;120,IF(B645&gt;240,3,2),1))</f>
        <v>2</v>
      </c>
      <c r="Z645" s="3">
        <f>IF(AND(DataTable[[#This Row],[Sentido]]="URUGUAI para BRASIL",DataTable[[#This Row],[Valor]]&gt;350),1,0)</f>
        <v>0</v>
      </c>
      <c r="AA645" s="3">
        <f>IF(DataTable[[#This Row],[Valor]]&gt;1,0,0)</f>
        <v>0</v>
      </c>
    </row>
    <row r="646" spans="1:27" x14ac:dyDescent="0.25">
      <c r="A646" s="2" t="s">
        <v>18</v>
      </c>
      <c r="B646" s="2">
        <v>237</v>
      </c>
      <c r="C646" s="3">
        <f t="shared" si="165"/>
        <v>73.559999999999988</v>
      </c>
      <c r="D646" s="3">
        <f t="shared" si="166"/>
        <v>87.65</v>
      </c>
      <c r="E646" s="3">
        <f t="shared" si="167"/>
        <v>83.75</v>
      </c>
      <c r="F646" s="3">
        <f t="shared" si="168"/>
        <v>46.04</v>
      </c>
      <c r="G646" s="3">
        <f t="shared" si="169"/>
        <v>116.56</v>
      </c>
      <c r="H646" s="3">
        <f t="shared" si="170"/>
        <v>116.56</v>
      </c>
      <c r="I646" s="3"/>
      <c r="J646" s="3">
        <f t="shared" si="171"/>
        <v>79.849999999999994</v>
      </c>
      <c r="K646" s="3">
        <f t="shared" si="172"/>
        <v>87.65</v>
      </c>
      <c r="L646" s="34">
        <f t="shared" si="173"/>
        <v>83.75</v>
      </c>
      <c r="M646" s="3">
        <f t="shared" si="174"/>
        <v>-94.800000000000011</v>
      </c>
      <c r="N646" s="3">
        <f t="shared" si="175"/>
        <v>102.6</v>
      </c>
      <c r="O646" s="3"/>
      <c r="P646" s="3">
        <f t="shared" si="176"/>
        <v>102.83394645669293</v>
      </c>
      <c r="Q646" s="3">
        <f t="shared" si="177"/>
        <v>112.10882267716536</v>
      </c>
      <c r="R646" s="3">
        <f>vd(DataTable[[#This Row],[Sentido]],DataTable[[#This Row],[Valor]])</f>
        <v>109.8</v>
      </c>
      <c r="S646" s="3">
        <f>IF(DataTable[[#This Row],[Valor]]&gt;1,1,1)</f>
        <v>1</v>
      </c>
      <c r="T646" s="3">
        <f>IF(DataTable[[#This Row],[Valor]]&gt;1,1,1)</f>
        <v>1</v>
      </c>
      <c r="U646" s="3">
        <f>angr(DataTable[[#This Row],[Sentido]],DataTable[[#This Row],[Valor]])</f>
        <v>37.877815816501197</v>
      </c>
      <c r="V646" s="3">
        <f>ANGI(DataTable[[#This Row],[Sentido]],DataTable[[#This Row],[Valor]])</f>
        <v>38.177815816501194</v>
      </c>
      <c r="W646" s="3">
        <f t="shared" si="178"/>
        <v>2</v>
      </c>
      <c r="X646" s="3">
        <f>IF(DataTable[[#This Row],[Valor]]&gt;1,1,1)</f>
        <v>1</v>
      </c>
      <c r="Y646" s="3">
        <f t="shared" si="179"/>
        <v>2</v>
      </c>
      <c r="Z646" s="3">
        <f>IF(AND(DataTable[[#This Row],[Sentido]]="URUGUAI para BRASIL",DataTable[[#This Row],[Valor]]&gt;350),1,0)</f>
        <v>0</v>
      </c>
      <c r="AA646" s="3">
        <f>IF(DataTable[[#This Row],[Valor]]&gt;1,0,0)</f>
        <v>0</v>
      </c>
    </row>
    <row r="647" spans="1:27" x14ac:dyDescent="0.25">
      <c r="A647" s="2" t="s">
        <v>18</v>
      </c>
      <c r="B647" s="2">
        <v>238</v>
      </c>
      <c r="C647" s="3">
        <f t="shared" si="165"/>
        <v>73.984999999999985</v>
      </c>
      <c r="D647" s="3">
        <f t="shared" si="166"/>
        <v>87.65</v>
      </c>
      <c r="E647" s="3">
        <f t="shared" si="167"/>
        <v>83.75</v>
      </c>
      <c r="F647" s="3">
        <f t="shared" si="168"/>
        <v>45.96</v>
      </c>
      <c r="G647" s="3">
        <f t="shared" si="169"/>
        <v>116.44</v>
      </c>
      <c r="H647" s="3">
        <f t="shared" si="170"/>
        <v>116.44</v>
      </c>
      <c r="I647" s="3"/>
      <c r="J647" s="3">
        <f t="shared" si="171"/>
        <v>79.849999999999994</v>
      </c>
      <c r="K647" s="3">
        <f t="shared" si="172"/>
        <v>87.65</v>
      </c>
      <c r="L647" s="34">
        <f t="shared" si="173"/>
        <v>83.75</v>
      </c>
      <c r="M647" s="3">
        <f t="shared" si="174"/>
        <v>-95.2</v>
      </c>
      <c r="N647" s="3">
        <f t="shared" si="175"/>
        <v>102.39999999999999</v>
      </c>
      <c r="O647" s="3"/>
      <c r="P647" s="3">
        <f t="shared" si="176"/>
        <v>103.17274960629922</v>
      </c>
      <c r="Q647" s="3">
        <f t="shared" si="177"/>
        <v>112.87248251968504</v>
      </c>
      <c r="R647" s="3">
        <f>vd(DataTable[[#This Row],[Sentido]],DataTable[[#This Row],[Valor]])</f>
        <v>109.8</v>
      </c>
      <c r="S647" s="3">
        <f>IF(DataTable[[#This Row],[Valor]]&gt;1,1,1)</f>
        <v>1</v>
      </c>
      <c r="T647" s="3">
        <f>IF(DataTable[[#This Row],[Valor]]&gt;1,1,1)</f>
        <v>1</v>
      </c>
      <c r="U647" s="3">
        <f>angr(DataTable[[#This Row],[Sentido]],DataTable[[#This Row],[Valor]])</f>
        <v>37.732317699418005</v>
      </c>
      <c r="V647" s="3">
        <f>ANGI(DataTable[[#This Row],[Sentido]],DataTable[[#This Row],[Valor]])</f>
        <v>38.032317699418009</v>
      </c>
      <c r="W647" s="3">
        <f t="shared" si="178"/>
        <v>2</v>
      </c>
      <c r="X647" s="3">
        <f>IF(DataTable[[#This Row],[Valor]]&gt;1,1,1)</f>
        <v>1</v>
      </c>
      <c r="Y647" s="3">
        <f t="shared" si="179"/>
        <v>2</v>
      </c>
      <c r="Z647" s="3">
        <f>IF(AND(DataTable[[#This Row],[Sentido]]="URUGUAI para BRASIL",DataTable[[#This Row],[Valor]]&gt;350),1,0)</f>
        <v>0</v>
      </c>
      <c r="AA647" s="3">
        <f>IF(DataTable[[#This Row],[Valor]]&gt;1,0,0)</f>
        <v>0</v>
      </c>
    </row>
    <row r="648" spans="1:27" x14ac:dyDescent="0.25">
      <c r="A648" s="2" t="s">
        <v>18</v>
      </c>
      <c r="B648" s="2">
        <v>239</v>
      </c>
      <c r="C648" s="3">
        <f t="shared" si="165"/>
        <v>74.41</v>
      </c>
      <c r="D648" s="3">
        <f t="shared" si="166"/>
        <v>87.65</v>
      </c>
      <c r="E648" s="3">
        <f t="shared" si="167"/>
        <v>83.75</v>
      </c>
      <c r="F648" s="3">
        <f t="shared" si="168"/>
        <v>45.879999999999995</v>
      </c>
      <c r="G648" s="3">
        <f t="shared" si="169"/>
        <v>116.32</v>
      </c>
      <c r="H648" s="3">
        <f t="shared" si="170"/>
        <v>116.32</v>
      </c>
      <c r="I648" s="3"/>
      <c r="J648" s="3">
        <f t="shared" si="171"/>
        <v>79.849999999999994</v>
      </c>
      <c r="K648" s="3">
        <f t="shared" si="172"/>
        <v>87.65</v>
      </c>
      <c r="L648" s="34">
        <f t="shared" si="173"/>
        <v>83.75</v>
      </c>
      <c r="M648" s="3">
        <f t="shared" si="174"/>
        <v>-95.600000000000009</v>
      </c>
      <c r="N648" s="3">
        <f t="shared" si="175"/>
        <v>102.2</v>
      </c>
      <c r="O648" s="3"/>
      <c r="P648" s="3">
        <f t="shared" si="176"/>
        <v>103.51155275590551</v>
      </c>
      <c r="Q648" s="3">
        <f t="shared" si="177"/>
        <v>113.63614236220474</v>
      </c>
      <c r="R648" s="3">
        <f>vd(DataTable[[#This Row],[Sentido]],DataTable[[#This Row],[Valor]])</f>
        <v>109.8</v>
      </c>
      <c r="S648" s="3">
        <f>IF(DataTable[[#This Row],[Valor]]&gt;1,1,1)</f>
        <v>1</v>
      </c>
      <c r="T648" s="3">
        <f>IF(DataTable[[#This Row],[Valor]]&gt;1,1,1)</f>
        <v>1</v>
      </c>
      <c r="U648" s="3">
        <f>angr(DataTable[[#This Row],[Sentido]],DataTable[[#This Row],[Valor]])</f>
        <v>37.586819582334812</v>
      </c>
      <c r="V648" s="3">
        <f>ANGI(DataTable[[#This Row],[Sentido]],DataTable[[#This Row],[Valor]])</f>
        <v>37.886819582334816</v>
      </c>
      <c r="W648" s="3">
        <f t="shared" si="178"/>
        <v>2</v>
      </c>
      <c r="X648" s="3">
        <f>IF(DataTable[[#This Row],[Valor]]&gt;1,1,1)</f>
        <v>1</v>
      </c>
      <c r="Y648" s="3">
        <f t="shared" si="179"/>
        <v>2</v>
      </c>
      <c r="Z648" s="3">
        <f>IF(AND(DataTable[[#This Row],[Sentido]]="URUGUAI para BRASIL",DataTable[[#This Row],[Valor]]&gt;350),1,0)</f>
        <v>0</v>
      </c>
      <c r="AA648" s="3">
        <f>IF(DataTable[[#This Row],[Valor]]&gt;1,0,0)</f>
        <v>0</v>
      </c>
    </row>
    <row r="649" spans="1:27" x14ac:dyDescent="0.25">
      <c r="A649" s="2" t="s">
        <v>18</v>
      </c>
      <c r="B649" s="2">
        <v>240</v>
      </c>
      <c r="C649" s="3">
        <f t="shared" si="165"/>
        <v>74.834999999999994</v>
      </c>
      <c r="D649" s="3">
        <f t="shared" si="166"/>
        <v>87.65</v>
      </c>
      <c r="E649" s="3">
        <f t="shared" si="167"/>
        <v>83.75</v>
      </c>
      <c r="F649" s="3">
        <f t="shared" si="168"/>
        <v>45.8</v>
      </c>
      <c r="G649" s="3">
        <f t="shared" si="169"/>
        <v>116.2</v>
      </c>
      <c r="H649" s="3">
        <f t="shared" si="170"/>
        <v>116.2</v>
      </c>
      <c r="I649" s="3"/>
      <c r="J649" s="3">
        <f t="shared" si="171"/>
        <v>79.849999999999994</v>
      </c>
      <c r="K649" s="3">
        <f t="shared" si="172"/>
        <v>87.65</v>
      </c>
      <c r="L649" s="34">
        <f t="shared" si="173"/>
        <v>83.75</v>
      </c>
      <c r="M649" s="3">
        <f t="shared" si="174"/>
        <v>-96</v>
      </c>
      <c r="N649" s="3">
        <f t="shared" si="175"/>
        <v>102</v>
      </c>
      <c r="O649" s="3"/>
      <c r="P649" s="3">
        <f t="shared" si="176"/>
        <v>83.998740157480313</v>
      </c>
      <c r="Q649" s="3">
        <f t="shared" si="177"/>
        <v>114.39980220472441</v>
      </c>
      <c r="R649" s="3">
        <f>vd(DataTable[[#This Row],[Sentido]],DataTable[[#This Row],[Valor]])</f>
        <v>109.8</v>
      </c>
      <c r="S649" s="3">
        <f>IF(DataTable[[#This Row],[Valor]]&gt;1,1,1)</f>
        <v>1</v>
      </c>
      <c r="T649" s="3">
        <f>IF(DataTable[[#This Row],[Valor]]&gt;1,1,1)</f>
        <v>1</v>
      </c>
      <c r="U649" s="3">
        <f>angr(DataTable[[#This Row],[Sentido]],DataTable[[#This Row],[Valor]])</f>
        <v>37.441321465251619</v>
      </c>
      <c r="V649" s="3">
        <f>ANGI(DataTable[[#This Row],[Sentido]],DataTable[[#This Row],[Valor]])</f>
        <v>37.741321465251623</v>
      </c>
      <c r="W649" s="3">
        <f t="shared" si="178"/>
        <v>2</v>
      </c>
      <c r="X649" s="3">
        <f>IF(DataTable[[#This Row],[Valor]]&gt;1,1,1)</f>
        <v>1</v>
      </c>
      <c r="Y649" s="3">
        <f t="shared" si="179"/>
        <v>2</v>
      </c>
      <c r="Z649" s="3">
        <f>IF(AND(DataTable[[#This Row],[Sentido]]="URUGUAI para BRASIL",DataTable[[#This Row],[Valor]]&gt;350),1,0)</f>
        <v>0</v>
      </c>
      <c r="AA649" s="3">
        <f>IF(DataTable[[#This Row],[Valor]]&gt;1,0,0)</f>
        <v>0</v>
      </c>
    </row>
    <row r="650" spans="1:27" x14ac:dyDescent="0.25">
      <c r="A650" s="2" t="s">
        <v>18</v>
      </c>
      <c r="B650" s="2">
        <v>241</v>
      </c>
      <c r="C650" s="3">
        <f t="shared" si="165"/>
        <v>75.259999999999991</v>
      </c>
      <c r="D650" s="3">
        <f t="shared" si="166"/>
        <v>87.65</v>
      </c>
      <c r="E650" s="3">
        <f t="shared" si="167"/>
        <v>83.75</v>
      </c>
      <c r="F650" s="3">
        <f t="shared" si="168"/>
        <v>45.72</v>
      </c>
      <c r="G650" s="3">
        <f t="shared" si="169"/>
        <v>116.08</v>
      </c>
      <c r="H650" s="3">
        <f t="shared" si="170"/>
        <v>116.08</v>
      </c>
      <c r="I650" s="3"/>
      <c r="J650" s="3">
        <f t="shared" si="171"/>
        <v>79.849999999999994</v>
      </c>
      <c r="K650" s="3">
        <f t="shared" si="172"/>
        <v>87.65</v>
      </c>
      <c r="L650" s="34">
        <f t="shared" si="173"/>
        <v>83.75</v>
      </c>
      <c r="M650" s="3">
        <f t="shared" si="174"/>
        <v>-96.4</v>
      </c>
      <c r="N650" s="3">
        <f t="shared" si="175"/>
        <v>101.8</v>
      </c>
      <c r="O650" s="3"/>
      <c r="P650" s="3">
        <f t="shared" si="176"/>
        <v>84.251401574803154</v>
      </c>
      <c r="Q650" s="3">
        <f t="shared" si="177"/>
        <v>115.1634620472441</v>
      </c>
      <c r="R650" s="3">
        <f>vd(DataTable[[#This Row],[Sentido]],DataTable[[#This Row],[Valor]])</f>
        <v>92.877486147564895</v>
      </c>
      <c r="S650" s="3">
        <f>IF(DataTable[[#This Row],[Valor]]&gt;1,1,1)</f>
        <v>1</v>
      </c>
      <c r="T650" s="3">
        <f>IF(DataTable[[#This Row],[Valor]]&gt;1,1,1)</f>
        <v>1</v>
      </c>
      <c r="U650" s="3">
        <f>angr(DataTable[[#This Row],[Sentido]],DataTable[[#This Row],[Valor]])</f>
        <v>46.600816564596094</v>
      </c>
      <c r="V650" s="3">
        <f>ANGI(DataTable[[#This Row],[Sentido]],DataTable[[#This Row],[Valor]])</f>
        <v>46.806036745406821</v>
      </c>
      <c r="W650" s="3">
        <f t="shared" si="178"/>
        <v>3</v>
      </c>
      <c r="X650" s="3">
        <f>IF(DataTable[[#This Row],[Valor]]&gt;1,1,1)</f>
        <v>1</v>
      </c>
      <c r="Y650" s="3">
        <f t="shared" si="179"/>
        <v>3</v>
      </c>
      <c r="Z650" s="3">
        <f>IF(AND(DataTable[[#This Row],[Sentido]]="URUGUAI para BRASIL",DataTable[[#This Row],[Valor]]&gt;350),1,0)</f>
        <v>0</v>
      </c>
      <c r="AA650" s="3">
        <f>IF(DataTable[[#This Row],[Valor]]&gt;1,0,0)</f>
        <v>0</v>
      </c>
    </row>
    <row r="651" spans="1:27" x14ac:dyDescent="0.25">
      <c r="A651" s="2" t="s">
        <v>18</v>
      </c>
      <c r="B651" s="2">
        <v>242</v>
      </c>
      <c r="C651" s="3">
        <f t="shared" si="165"/>
        <v>75.684999999999988</v>
      </c>
      <c r="D651" s="3">
        <f t="shared" si="166"/>
        <v>87.65</v>
      </c>
      <c r="E651" s="3">
        <f t="shared" si="167"/>
        <v>83.75</v>
      </c>
      <c r="F651" s="3">
        <f t="shared" si="168"/>
        <v>45.64</v>
      </c>
      <c r="G651" s="3">
        <f t="shared" si="169"/>
        <v>115.96000000000001</v>
      </c>
      <c r="H651" s="3">
        <f t="shared" si="170"/>
        <v>115.96000000000001</v>
      </c>
      <c r="I651" s="3"/>
      <c r="J651" s="3">
        <f t="shared" si="171"/>
        <v>79.849999999999994</v>
      </c>
      <c r="K651" s="3">
        <f t="shared" si="172"/>
        <v>87.65</v>
      </c>
      <c r="L651" s="34">
        <f t="shared" si="173"/>
        <v>83.75</v>
      </c>
      <c r="M651" s="3">
        <f t="shared" si="174"/>
        <v>-96.800000000000011</v>
      </c>
      <c r="N651" s="3">
        <f t="shared" si="175"/>
        <v>101.6</v>
      </c>
      <c r="O651" s="3"/>
      <c r="P651" s="3">
        <f t="shared" si="176"/>
        <v>84.504062992125981</v>
      </c>
      <c r="Q651" s="3">
        <f t="shared" si="177"/>
        <v>115.92712188976377</v>
      </c>
      <c r="R651" s="3">
        <f>vd(DataTable[[#This Row],[Sentido]],DataTable[[#This Row],[Valor]])</f>
        <v>93.125371828521438</v>
      </c>
      <c r="S651" s="3">
        <f>IF(DataTable[[#This Row],[Valor]]&gt;1,1,1)</f>
        <v>1</v>
      </c>
      <c r="T651" s="3">
        <f>IF(DataTable[[#This Row],[Valor]]&gt;1,1,1)</f>
        <v>1</v>
      </c>
      <c r="U651" s="3">
        <f>angr(DataTable[[#This Row],[Sentido]],DataTable[[#This Row],[Valor]])</f>
        <v>46.462292213473319</v>
      </c>
      <c r="V651" s="3">
        <f>ANGI(DataTable[[#This Row],[Sentido]],DataTable[[#This Row],[Valor]])</f>
        <v>46.674803149606298</v>
      </c>
      <c r="W651" s="3">
        <f t="shared" si="178"/>
        <v>3</v>
      </c>
      <c r="X651" s="3">
        <f>IF(DataTable[[#This Row],[Valor]]&gt;1,1,1)</f>
        <v>1</v>
      </c>
      <c r="Y651" s="3">
        <f t="shared" si="179"/>
        <v>3</v>
      </c>
      <c r="Z651" s="3">
        <f>IF(AND(DataTable[[#This Row],[Sentido]]="URUGUAI para BRASIL",DataTable[[#This Row],[Valor]]&gt;350),1,0)</f>
        <v>0</v>
      </c>
      <c r="AA651" s="3">
        <f>IF(DataTable[[#This Row],[Valor]]&gt;1,0,0)</f>
        <v>0</v>
      </c>
    </row>
    <row r="652" spans="1:27" x14ac:dyDescent="0.25">
      <c r="A652" s="2" t="s">
        <v>18</v>
      </c>
      <c r="B652" s="2">
        <v>243</v>
      </c>
      <c r="C652" s="3">
        <f t="shared" si="165"/>
        <v>76.11</v>
      </c>
      <c r="D652" s="3">
        <f t="shared" si="166"/>
        <v>87.65</v>
      </c>
      <c r="E652" s="3">
        <f t="shared" si="167"/>
        <v>83.75</v>
      </c>
      <c r="F652" s="3">
        <f t="shared" si="168"/>
        <v>45.56</v>
      </c>
      <c r="G652" s="3">
        <f t="shared" si="169"/>
        <v>115.84</v>
      </c>
      <c r="H652" s="3">
        <f t="shared" si="170"/>
        <v>115.84</v>
      </c>
      <c r="I652" s="3"/>
      <c r="J652" s="3">
        <f t="shared" si="171"/>
        <v>79.849999999999994</v>
      </c>
      <c r="K652" s="3">
        <f t="shared" si="172"/>
        <v>87.65</v>
      </c>
      <c r="L652" s="34">
        <f t="shared" si="173"/>
        <v>83.75</v>
      </c>
      <c r="M652" s="3">
        <f t="shared" si="174"/>
        <v>-97.2</v>
      </c>
      <c r="N652" s="3">
        <f t="shared" si="175"/>
        <v>101.39999999999999</v>
      </c>
      <c r="O652" s="3"/>
      <c r="P652" s="3">
        <f t="shared" si="176"/>
        <v>84.756724409448822</v>
      </c>
      <c r="Q652" s="3">
        <f t="shared" si="177"/>
        <v>116.69078173228347</v>
      </c>
      <c r="R652" s="3">
        <f>vd(DataTable[[#This Row],[Sentido]],DataTable[[#This Row],[Valor]])</f>
        <v>93.373257509477995</v>
      </c>
      <c r="S652" s="3">
        <f>IF(DataTable[[#This Row],[Valor]]&gt;1,1,1)</f>
        <v>1</v>
      </c>
      <c r="T652" s="3">
        <f>IF(DataTable[[#This Row],[Valor]]&gt;1,1,1)</f>
        <v>1</v>
      </c>
      <c r="U652" s="3">
        <f>angr(DataTable[[#This Row],[Sentido]],DataTable[[#This Row],[Valor]])</f>
        <v>46.323767862350536</v>
      </c>
      <c r="V652" s="3">
        <f>ANGI(DataTable[[#This Row],[Sentido]],DataTable[[#This Row],[Valor]])</f>
        <v>46.543569553805767</v>
      </c>
      <c r="W652" s="3">
        <f t="shared" si="178"/>
        <v>3</v>
      </c>
      <c r="X652" s="3">
        <f>IF(DataTable[[#This Row],[Valor]]&gt;1,1,1)</f>
        <v>1</v>
      </c>
      <c r="Y652" s="3">
        <f t="shared" si="179"/>
        <v>3</v>
      </c>
      <c r="Z652" s="3">
        <f>IF(AND(DataTable[[#This Row],[Sentido]]="URUGUAI para BRASIL",DataTable[[#This Row],[Valor]]&gt;350),1,0)</f>
        <v>0</v>
      </c>
      <c r="AA652" s="3">
        <f>IF(DataTable[[#This Row],[Valor]]&gt;1,0,0)</f>
        <v>0</v>
      </c>
    </row>
    <row r="653" spans="1:27" x14ac:dyDescent="0.25">
      <c r="A653" s="2" t="s">
        <v>18</v>
      </c>
      <c r="B653" s="2">
        <v>244</v>
      </c>
      <c r="C653" s="3">
        <f t="shared" si="165"/>
        <v>76.534999999999997</v>
      </c>
      <c r="D653" s="3">
        <f t="shared" si="166"/>
        <v>87.65</v>
      </c>
      <c r="E653" s="3">
        <f t="shared" si="167"/>
        <v>83.75</v>
      </c>
      <c r="F653" s="3">
        <f t="shared" si="168"/>
        <v>45.480000000000004</v>
      </c>
      <c r="G653" s="3">
        <f t="shared" si="169"/>
        <v>115.72</v>
      </c>
      <c r="H653" s="3">
        <f t="shared" si="170"/>
        <v>115.72</v>
      </c>
      <c r="I653" s="3"/>
      <c r="J653" s="3">
        <f t="shared" si="171"/>
        <v>79.849999999999994</v>
      </c>
      <c r="K653" s="3">
        <f t="shared" si="172"/>
        <v>87.65</v>
      </c>
      <c r="L653" s="34">
        <f t="shared" si="173"/>
        <v>83.75</v>
      </c>
      <c r="M653" s="3">
        <f t="shared" si="174"/>
        <v>-97.600000000000009</v>
      </c>
      <c r="N653" s="3">
        <f t="shared" si="175"/>
        <v>101.2</v>
      </c>
      <c r="O653" s="3"/>
      <c r="P653" s="3">
        <f t="shared" si="176"/>
        <v>85.009385826771648</v>
      </c>
      <c r="Q653" s="3">
        <f t="shared" si="177"/>
        <v>117.45444157480316</v>
      </c>
      <c r="R653" s="3">
        <f>vd(DataTable[[#This Row],[Sentido]],DataTable[[#This Row],[Valor]])</f>
        <v>93.621143190434537</v>
      </c>
      <c r="S653" s="3">
        <f>IF(DataTable[[#This Row],[Valor]]&gt;1,1,1)</f>
        <v>1</v>
      </c>
      <c r="T653" s="3">
        <f>IF(DataTable[[#This Row],[Valor]]&gt;1,1,1)</f>
        <v>1</v>
      </c>
      <c r="U653" s="3">
        <f>angr(DataTable[[#This Row],[Sentido]],DataTable[[#This Row],[Valor]])</f>
        <v>46.18524351122776</v>
      </c>
      <c r="V653" s="3">
        <f>ANGI(DataTable[[#This Row],[Sentido]],DataTable[[#This Row],[Valor]])</f>
        <v>46.412335958005251</v>
      </c>
      <c r="W653" s="3">
        <f t="shared" si="178"/>
        <v>3</v>
      </c>
      <c r="X653" s="3">
        <f>IF(DataTable[[#This Row],[Valor]]&gt;1,1,1)</f>
        <v>1</v>
      </c>
      <c r="Y653" s="3">
        <f t="shared" si="179"/>
        <v>3</v>
      </c>
      <c r="Z653" s="3">
        <f>IF(AND(DataTable[[#This Row],[Sentido]]="URUGUAI para BRASIL",DataTable[[#This Row],[Valor]]&gt;350),1,0)</f>
        <v>0</v>
      </c>
      <c r="AA653" s="3">
        <f>IF(DataTable[[#This Row],[Valor]]&gt;1,0,0)</f>
        <v>0</v>
      </c>
    </row>
    <row r="654" spans="1:27" x14ac:dyDescent="0.25">
      <c r="A654" s="2" t="s">
        <v>18</v>
      </c>
      <c r="B654" s="2">
        <v>245</v>
      </c>
      <c r="C654" s="3">
        <f t="shared" si="165"/>
        <v>76.959999999999994</v>
      </c>
      <c r="D654" s="3">
        <f t="shared" si="166"/>
        <v>87.65</v>
      </c>
      <c r="E654" s="3">
        <f t="shared" si="167"/>
        <v>83.75</v>
      </c>
      <c r="F654" s="3">
        <f t="shared" si="168"/>
        <v>45.4</v>
      </c>
      <c r="G654" s="3">
        <f t="shared" si="169"/>
        <v>115.6</v>
      </c>
      <c r="H654" s="3">
        <f t="shared" si="170"/>
        <v>115.6</v>
      </c>
      <c r="I654" s="3"/>
      <c r="J654" s="3">
        <f t="shared" si="171"/>
        <v>79.849999999999994</v>
      </c>
      <c r="K654" s="3">
        <f t="shared" si="172"/>
        <v>87.65</v>
      </c>
      <c r="L654" s="34">
        <f t="shared" si="173"/>
        <v>83.75</v>
      </c>
      <c r="M654" s="3">
        <f t="shared" si="174"/>
        <v>-98</v>
      </c>
      <c r="N654" s="3">
        <f t="shared" si="175"/>
        <v>101</v>
      </c>
      <c r="O654" s="3"/>
      <c r="P654" s="3">
        <f t="shared" si="176"/>
        <v>85.262047244094489</v>
      </c>
      <c r="Q654" s="3">
        <f t="shared" si="177"/>
        <v>118.21810141732283</v>
      </c>
      <c r="R654" s="3">
        <f>vd(DataTable[[#This Row],[Sentido]],DataTable[[#This Row],[Valor]])</f>
        <v>93.86902887139108</v>
      </c>
      <c r="S654" s="3">
        <f>IF(DataTable[[#This Row],[Valor]]&gt;1,1,1)</f>
        <v>1</v>
      </c>
      <c r="T654" s="3">
        <f>IF(DataTable[[#This Row],[Valor]]&gt;1,1,1)</f>
        <v>1</v>
      </c>
      <c r="U654" s="3">
        <f>angr(DataTable[[#This Row],[Sentido]],DataTable[[#This Row],[Valor]])</f>
        <v>46.046719160104985</v>
      </c>
      <c r="V654" s="3">
        <f>ANGI(DataTable[[#This Row],[Sentido]],DataTable[[#This Row],[Valor]])</f>
        <v>46.281102362204727</v>
      </c>
      <c r="W654" s="3">
        <f t="shared" si="178"/>
        <v>3</v>
      </c>
      <c r="X654" s="3">
        <f>IF(DataTable[[#This Row],[Valor]]&gt;1,1,1)</f>
        <v>1</v>
      </c>
      <c r="Y654" s="3">
        <f t="shared" si="179"/>
        <v>3</v>
      </c>
      <c r="Z654" s="3">
        <f>IF(AND(DataTable[[#This Row],[Sentido]]="URUGUAI para BRASIL",DataTable[[#This Row],[Valor]]&gt;350),1,0)</f>
        <v>0</v>
      </c>
      <c r="AA654" s="3">
        <f>IF(DataTable[[#This Row],[Valor]]&gt;1,0,0)</f>
        <v>0</v>
      </c>
    </row>
    <row r="655" spans="1:27" x14ac:dyDescent="0.25">
      <c r="A655" s="2" t="s">
        <v>18</v>
      </c>
      <c r="B655" s="2">
        <v>246</v>
      </c>
      <c r="C655" s="3">
        <f t="shared" si="165"/>
        <v>77.384999999999991</v>
      </c>
      <c r="D655" s="3">
        <f t="shared" si="166"/>
        <v>87.65</v>
      </c>
      <c r="E655" s="3">
        <f t="shared" si="167"/>
        <v>83.75</v>
      </c>
      <c r="F655" s="3">
        <f t="shared" si="168"/>
        <v>45.32</v>
      </c>
      <c r="G655" s="3">
        <f t="shared" si="169"/>
        <v>115.48</v>
      </c>
      <c r="H655" s="3">
        <f t="shared" si="170"/>
        <v>115.48</v>
      </c>
      <c r="I655" s="3"/>
      <c r="J655" s="3">
        <f t="shared" si="171"/>
        <v>79.849999999999994</v>
      </c>
      <c r="K655" s="3">
        <f t="shared" si="172"/>
        <v>87.65</v>
      </c>
      <c r="L655" s="34">
        <f t="shared" si="173"/>
        <v>83.75</v>
      </c>
      <c r="M655" s="3">
        <f t="shared" si="174"/>
        <v>-98.4</v>
      </c>
      <c r="N655" s="3">
        <f t="shared" si="175"/>
        <v>100.8</v>
      </c>
      <c r="O655" s="3"/>
      <c r="P655" s="3">
        <f t="shared" si="176"/>
        <v>85.51470866141733</v>
      </c>
      <c r="Q655" s="3">
        <f t="shared" si="177"/>
        <v>118.98176125984253</v>
      </c>
      <c r="R655" s="3">
        <f>vd(DataTable[[#This Row],[Sentido]],DataTable[[#This Row],[Valor]])</f>
        <v>94.116914552347623</v>
      </c>
      <c r="S655" s="3">
        <f>IF(DataTable[[#This Row],[Valor]]&gt;1,1,1)</f>
        <v>1</v>
      </c>
      <c r="T655" s="3">
        <f>IF(DataTable[[#This Row],[Valor]]&gt;1,1,1)</f>
        <v>1</v>
      </c>
      <c r="U655" s="3">
        <f>angr(DataTable[[#This Row],[Sentido]],DataTable[[#This Row],[Valor]])</f>
        <v>45.908194808982209</v>
      </c>
      <c r="V655" s="3">
        <f>ANGI(DataTable[[#This Row],[Sentido]],DataTable[[#This Row],[Valor]])</f>
        <v>46.149868766404197</v>
      </c>
      <c r="W655" s="3">
        <f t="shared" si="178"/>
        <v>3</v>
      </c>
      <c r="X655" s="3">
        <f>IF(DataTable[[#This Row],[Valor]]&gt;1,1,1)</f>
        <v>1</v>
      </c>
      <c r="Y655" s="3">
        <f t="shared" si="179"/>
        <v>3</v>
      </c>
      <c r="Z655" s="3">
        <f>IF(AND(DataTable[[#This Row],[Sentido]]="URUGUAI para BRASIL",DataTable[[#This Row],[Valor]]&gt;350),1,0)</f>
        <v>0</v>
      </c>
      <c r="AA655" s="3">
        <f>IF(DataTable[[#This Row],[Valor]]&gt;1,0,0)</f>
        <v>0</v>
      </c>
    </row>
    <row r="656" spans="1:27" x14ac:dyDescent="0.25">
      <c r="A656" s="2" t="s">
        <v>18</v>
      </c>
      <c r="B656" s="2">
        <v>247</v>
      </c>
      <c r="C656" s="3">
        <f t="shared" si="165"/>
        <v>77.809999999999988</v>
      </c>
      <c r="D656" s="3">
        <f t="shared" si="166"/>
        <v>87.65</v>
      </c>
      <c r="E656" s="3">
        <f t="shared" si="167"/>
        <v>83.75</v>
      </c>
      <c r="F656" s="3">
        <f t="shared" si="168"/>
        <v>45.239999999999995</v>
      </c>
      <c r="G656" s="3">
        <f t="shared" si="169"/>
        <v>115.36</v>
      </c>
      <c r="H656" s="3">
        <f t="shared" si="170"/>
        <v>115.36</v>
      </c>
      <c r="I656" s="3"/>
      <c r="J656" s="3">
        <f t="shared" si="171"/>
        <v>79.849999999999994</v>
      </c>
      <c r="K656" s="3">
        <f t="shared" si="172"/>
        <v>87.65</v>
      </c>
      <c r="L656" s="34">
        <f t="shared" si="173"/>
        <v>83.75</v>
      </c>
      <c r="M656" s="3">
        <f t="shared" si="174"/>
        <v>-98.800000000000011</v>
      </c>
      <c r="N656" s="3">
        <f t="shared" si="175"/>
        <v>100.6</v>
      </c>
      <c r="O656" s="3"/>
      <c r="P656" s="3">
        <f t="shared" si="176"/>
        <v>85.767370078740157</v>
      </c>
      <c r="Q656" s="3">
        <f t="shared" si="177"/>
        <v>119.7454211023622</v>
      </c>
      <c r="R656" s="3">
        <f>vd(DataTable[[#This Row],[Sentido]],DataTable[[#This Row],[Valor]])</f>
        <v>94.364800233304166</v>
      </c>
      <c r="S656" s="3">
        <f>IF(DataTable[[#This Row],[Valor]]&gt;1,1,1)</f>
        <v>1</v>
      </c>
      <c r="T656" s="3">
        <f>IF(DataTable[[#This Row],[Valor]]&gt;1,1,1)</f>
        <v>1</v>
      </c>
      <c r="U656" s="3">
        <f>angr(DataTable[[#This Row],[Sentido]],DataTable[[#This Row],[Valor]])</f>
        <v>45.769670457859434</v>
      </c>
      <c r="V656" s="3">
        <f>ANGI(DataTable[[#This Row],[Sentido]],DataTable[[#This Row],[Valor]])</f>
        <v>46.018635170603673</v>
      </c>
      <c r="W656" s="3">
        <f t="shared" si="178"/>
        <v>3</v>
      </c>
      <c r="X656" s="3">
        <f>IF(DataTable[[#This Row],[Valor]]&gt;1,1,1)</f>
        <v>1</v>
      </c>
      <c r="Y656" s="3">
        <f t="shared" si="179"/>
        <v>3</v>
      </c>
      <c r="Z656" s="3">
        <f>IF(AND(DataTable[[#This Row],[Sentido]]="URUGUAI para BRASIL",DataTable[[#This Row],[Valor]]&gt;350),1,0)</f>
        <v>0</v>
      </c>
      <c r="AA656" s="3">
        <f>IF(DataTable[[#This Row],[Valor]]&gt;1,0,0)</f>
        <v>0</v>
      </c>
    </row>
    <row r="657" spans="1:27" x14ac:dyDescent="0.25">
      <c r="A657" s="2" t="s">
        <v>18</v>
      </c>
      <c r="B657" s="2">
        <v>248</v>
      </c>
      <c r="C657" s="3">
        <f t="shared" si="165"/>
        <v>78.234999999999985</v>
      </c>
      <c r="D657" s="3">
        <f t="shared" si="166"/>
        <v>87.65</v>
      </c>
      <c r="E657" s="3">
        <f t="shared" si="167"/>
        <v>83.75</v>
      </c>
      <c r="F657" s="3">
        <f t="shared" si="168"/>
        <v>45.16</v>
      </c>
      <c r="G657" s="3">
        <f t="shared" si="169"/>
        <v>115.24000000000001</v>
      </c>
      <c r="H657" s="3">
        <f t="shared" si="170"/>
        <v>115.24000000000001</v>
      </c>
      <c r="I657" s="3"/>
      <c r="J657" s="3">
        <f t="shared" si="171"/>
        <v>79.849999999999994</v>
      </c>
      <c r="K657" s="3">
        <f t="shared" si="172"/>
        <v>87.65</v>
      </c>
      <c r="L657" s="34">
        <f t="shared" si="173"/>
        <v>83.75</v>
      </c>
      <c r="M657" s="3">
        <f t="shared" si="174"/>
        <v>-99.2</v>
      </c>
      <c r="N657" s="3">
        <f t="shared" si="175"/>
        <v>100.39999999999999</v>
      </c>
      <c r="O657" s="3"/>
      <c r="P657" s="3">
        <f t="shared" si="176"/>
        <v>86.020031496062998</v>
      </c>
      <c r="Q657" s="3">
        <f t="shared" si="177"/>
        <v>120.50908094488189</v>
      </c>
      <c r="R657" s="3">
        <f>vd(DataTable[[#This Row],[Sentido]],DataTable[[#This Row],[Valor]])</f>
        <v>94.612685914260709</v>
      </c>
      <c r="S657" s="3">
        <f>IF(DataTable[[#This Row],[Valor]]&gt;1,1,1)</f>
        <v>1</v>
      </c>
      <c r="T657" s="3">
        <f>IF(DataTable[[#This Row],[Valor]]&gt;1,1,1)</f>
        <v>1</v>
      </c>
      <c r="U657" s="3">
        <f>angr(DataTable[[#This Row],[Sentido]],DataTable[[#This Row],[Valor]])</f>
        <v>45.631146106736658</v>
      </c>
      <c r="V657" s="3">
        <f>ANGI(DataTable[[#This Row],[Sentido]],DataTable[[#This Row],[Valor]])</f>
        <v>45.88740157480315</v>
      </c>
      <c r="W657" s="3">
        <f t="shared" si="178"/>
        <v>3</v>
      </c>
      <c r="X657" s="3">
        <f>IF(DataTable[[#This Row],[Valor]]&gt;1,1,1)</f>
        <v>1</v>
      </c>
      <c r="Y657" s="3">
        <f t="shared" si="179"/>
        <v>3</v>
      </c>
      <c r="Z657" s="3">
        <f>IF(AND(DataTable[[#This Row],[Sentido]]="URUGUAI para BRASIL",DataTable[[#This Row],[Valor]]&gt;350),1,0)</f>
        <v>0</v>
      </c>
      <c r="AA657" s="3">
        <f>IF(DataTable[[#This Row],[Valor]]&gt;1,0,0)</f>
        <v>0</v>
      </c>
    </row>
    <row r="658" spans="1:27" x14ac:dyDescent="0.25">
      <c r="A658" s="2" t="s">
        <v>18</v>
      </c>
      <c r="B658" s="2">
        <v>249</v>
      </c>
      <c r="C658" s="3">
        <f t="shared" si="165"/>
        <v>78.66</v>
      </c>
      <c r="D658" s="3">
        <f t="shared" si="166"/>
        <v>87.65</v>
      </c>
      <c r="E658" s="3">
        <f t="shared" si="167"/>
        <v>83.75</v>
      </c>
      <c r="F658" s="3">
        <f t="shared" si="168"/>
        <v>45.08</v>
      </c>
      <c r="G658" s="3">
        <f t="shared" si="169"/>
        <v>115.12</v>
      </c>
      <c r="H658" s="3">
        <f t="shared" si="170"/>
        <v>115.12</v>
      </c>
      <c r="I658" s="3"/>
      <c r="J658" s="3">
        <f t="shared" si="171"/>
        <v>79.849999999999994</v>
      </c>
      <c r="K658" s="3">
        <f t="shared" si="172"/>
        <v>87.65</v>
      </c>
      <c r="L658" s="34">
        <f t="shared" si="173"/>
        <v>83.75</v>
      </c>
      <c r="M658" s="3">
        <f t="shared" si="174"/>
        <v>-99.600000000000009</v>
      </c>
      <c r="N658" s="3">
        <f t="shared" si="175"/>
        <v>100.2</v>
      </c>
      <c r="O658" s="3"/>
      <c r="P658" s="3">
        <f t="shared" si="176"/>
        <v>86.272692913385839</v>
      </c>
      <c r="Q658" s="3">
        <f t="shared" si="177"/>
        <v>121.27274078740159</v>
      </c>
      <c r="R658" s="3">
        <f>vd(DataTable[[#This Row],[Sentido]],DataTable[[#This Row],[Valor]])</f>
        <v>94.860571595217266</v>
      </c>
      <c r="S658" s="3">
        <f>IF(DataTable[[#This Row],[Valor]]&gt;1,1,1)</f>
        <v>1</v>
      </c>
      <c r="T658" s="3">
        <f>IF(DataTable[[#This Row],[Valor]]&gt;1,1,1)</f>
        <v>1</v>
      </c>
      <c r="U658" s="3">
        <f>angr(DataTable[[#This Row],[Sentido]],DataTable[[#This Row],[Valor]])</f>
        <v>45.492621755613875</v>
      </c>
      <c r="V658" s="3">
        <f>ANGI(DataTable[[#This Row],[Sentido]],DataTable[[#This Row],[Valor]])</f>
        <v>45.756167979002619</v>
      </c>
      <c r="W658" s="3">
        <f t="shared" si="178"/>
        <v>3</v>
      </c>
      <c r="X658" s="3">
        <f>IF(DataTable[[#This Row],[Valor]]&gt;1,1,1)</f>
        <v>1</v>
      </c>
      <c r="Y658" s="3">
        <f t="shared" si="179"/>
        <v>3</v>
      </c>
      <c r="Z658" s="3">
        <f>IF(AND(DataTable[[#This Row],[Sentido]]="URUGUAI para BRASIL",DataTable[[#This Row],[Valor]]&gt;350),1,0)</f>
        <v>0</v>
      </c>
      <c r="AA658" s="3">
        <f>IF(DataTable[[#This Row],[Valor]]&gt;1,0,0)</f>
        <v>0</v>
      </c>
    </row>
    <row r="659" spans="1:27" x14ac:dyDescent="0.25">
      <c r="A659" s="2" t="s">
        <v>18</v>
      </c>
      <c r="B659" s="2">
        <v>250</v>
      </c>
      <c r="C659" s="3">
        <f t="shared" si="165"/>
        <v>79.084999999999994</v>
      </c>
      <c r="D659" s="3">
        <f t="shared" si="166"/>
        <v>87.65</v>
      </c>
      <c r="E659" s="3">
        <f t="shared" si="167"/>
        <v>83.75</v>
      </c>
      <c r="F659" s="3">
        <f t="shared" si="168"/>
        <v>45</v>
      </c>
      <c r="G659" s="3">
        <f t="shared" si="169"/>
        <v>115</v>
      </c>
      <c r="H659" s="3">
        <f t="shared" si="170"/>
        <v>115</v>
      </c>
      <c r="I659" s="3"/>
      <c r="J659" s="3">
        <f t="shared" si="171"/>
        <v>79.849999999999994</v>
      </c>
      <c r="K659" s="3">
        <f t="shared" si="172"/>
        <v>87.65</v>
      </c>
      <c r="L659" s="34">
        <f t="shared" si="173"/>
        <v>83.75</v>
      </c>
      <c r="M659" s="3">
        <f t="shared" si="174"/>
        <v>-100</v>
      </c>
      <c r="N659" s="3">
        <f t="shared" si="175"/>
        <v>100</v>
      </c>
      <c r="O659" s="3"/>
      <c r="P659" s="3">
        <f t="shared" si="176"/>
        <v>86.525354330708666</v>
      </c>
      <c r="Q659" s="3">
        <f t="shared" si="177"/>
        <v>122.03640062992126</v>
      </c>
      <c r="R659" s="3">
        <f>vd(DataTable[[#This Row],[Sentido]],DataTable[[#This Row],[Valor]])</f>
        <v>95.108457276173809</v>
      </c>
      <c r="S659" s="3">
        <f>IF(DataTable[[#This Row],[Valor]]&gt;1,1,1)</f>
        <v>1</v>
      </c>
      <c r="T659" s="3">
        <f>IF(DataTable[[#This Row],[Valor]]&gt;1,1,1)</f>
        <v>1</v>
      </c>
      <c r="U659" s="3">
        <f>angr(DataTable[[#This Row],[Sentido]],DataTable[[#This Row],[Valor]])</f>
        <v>45.3540974044911</v>
      </c>
      <c r="V659" s="3">
        <f>ANGI(DataTable[[#This Row],[Sentido]],DataTable[[#This Row],[Valor]])</f>
        <v>45.624934383202095</v>
      </c>
      <c r="W659" s="3">
        <f t="shared" si="178"/>
        <v>3</v>
      </c>
      <c r="X659" s="3">
        <f>IF(DataTable[[#This Row],[Valor]]&gt;1,1,1)</f>
        <v>1</v>
      </c>
      <c r="Y659" s="3">
        <f t="shared" si="179"/>
        <v>3</v>
      </c>
      <c r="Z659" s="3">
        <f>IF(AND(DataTable[[#This Row],[Sentido]]="URUGUAI para BRASIL",DataTable[[#This Row],[Valor]]&gt;350),1,0)</f>
        <v>0</v>
      </c>
      <c r="AA659" s="3">
        <f>IF(DataTable[[#This Row],[Valor]]&gt;1,0,0)</f>
        <v>0</v>
      </c>
    </row>
    <row r="660" spans="1:27" x14ac:dyDescent="0.25">
      <c r="A660" s="2" t="s">
        <v>18</v>
      </c>
      <c r="B660" s="2">
        <v>251</v>
      </c>
      <c r="C660" s="3">
        <f t="shared" si="165"/>
        <v>79.509999999999991</v>
      </c>
      <c r="D660" s="3">
        <f t="shared" si="166"/>
        <v>87.65</v>
      </c>
      <c r="E660" s="3">
        <f t="shared" si="167"/>
        <v>83.75</v>
      </c>
      <c r="F660" s="3">
        <f t="shared" si="168"/>
        <v>44.879999999999995</v>
      </c>
      <c r="G660" s="3">
        <f t="shared" si="169"/>
        <v>114.8</v>
      </c>
      <c r="H660" s="3">
        <f t="shared" si="170"/>
        <v>114.8</v>
      </c>
      <c r="I660" s="3"/>
      <c r="J660" s="3">
        <f t="shared" si="171"/>
        <v>79.849999999999994</v>
      </c>
      <c r="K660" s="3">
        <f t="shared" si="172"/>
        <v>87.65</v>
      </c>
      <c r="L660" s="34">
        <f t="shared" si="173"/>
        <v>83.75</v>
      </c>
      <c r="M660" s="3">
        <f t="shared" si="174"/>
        <v>-100.2</v>
      </c>
      <c r="N660" s="3">
        <f t="shared" si="175"/>
        <v>99.76</v>
      </c>
      <c r="O660" s="3"/>
      <c r="P660" s="3">
        <f t="shared" si="176"/>
        <v>86.778015748031493</v>
      </c>
      <c r="Q660" s="3">
        <f t="shared" si="177"/>
        <v>122.80006047244095</v>
      </c>
      <c r="R660" s="3">
        <f>vd(DataTable[[#This Row],[Sentido]],DataTable[[#This Row],[Valor]])</f>
        <v>95.356342957130352</v>
      </c>
      <c r="S660" s="3">
        <f>IF(DataTable[[#This Row],[Valor]]&gt;1,1,1)</f>
        <v>1</v>
      </c>
      <c r="T660" s="3">
        <f>IF(DataTable[[#This Row],[Valor]]&gt;1,1,1)</f>
        <v>1</v>
      </c>
      <c r="U660" s="3">
        <f>angr(DataTable[[#This Row],[Sentido]],DataTable[[#This Row],[Valor]])</f>
        <v>45.215573053368324</v>
      </c>
      <c r="V660" s="3">
        <f>ANGI(DataTable[[#This Row],[Sentido]],DataTable[[#This Row],[Valor]])</f>
        <v>45.493700787401579</v>
      </c>
      <c r="W660" s="3">
        <f t="shared" si="178"/>
        <v>3</v>
      </c>
      <c r="X660" s="3">
        <f>IF(DataTable[[#This Row],[Valor]]&gt;1,1,1)</f>
        <v>1</v>
      </c>
      <c r="Y660" s="3">
        <f t="shared" si="179"/>
        <v>3</v>
      </c>
      <c r="Z660" s="3">
        <f>IF(AND(DataTable[[#This Row],[Sentido]]="URUGUAI para BRASIL",DataTable[[#This Row],[Valor]]&gt;350),1,0)</f>
        <v>0</v>
      </c>
      <c r="AA660" s="3">
        <f>IF(DataTable[[#This Row],[Valor]]&gt;1,0,0)</f>
        <v>0</v>
      </c>
    </row>
    <row r="661" spans="1:27" x14ac:dyDescent="0.25">
      <c r="A661" s="2" t="s">
        <v>18</v>
      </c>
      <c r="B661" s="2">
        <v>252</v>
      </c>
      <c r="C661" s="3">
        <f t="shared" si="165"/>
        <v>79.934999999999988</v>
      </c>
      <c r="D661" s="3">
        <f t="shared" si="166"/>
        <v>87.65</v>
      </c>
      <c r="E661" s="3">
        <f t="shared" si="167"/>
        <v>83.75</v>
      </c>
      <c r="F661" s="3">
        <f t="shared" si="168"/>
        <v>44.760000000000005</v>
      </c>
      <c r="G661" s="3">
        <f t="shared" si="169"/>
        <v>114.6</v>
      </c>
      <c r="H661" s="3">
        <f t="shared" si="170"/>
        <v>114.6</v>
      </c>
      <c r="I661" s="3"/>
      <c r="J661" s="3">
        <f t="shared" si="171"/>
        <v>79.849999999999994</v>
      </c>
      <c r="K661" s="3">
        <f t="shared" si="172"/>
        <v>87.65</v>
      </c>
      <c r="L661" s="34">
        <f t="shared" si="173"/>
        <v>83.75</v>
      </c>
      <c r="M661" s="3">
        <f t="shared" si="174"/>
        <v>-100.4</v>
      </c>
      <c r="N661" s="3">
        <f t="shared" si="175"/>
        <v>99.52</v>
      </c>
      <c r="O661" s="3"/>
      <c r="P661" s="3">
        <f t="shared" si="176"/>
        <v>87.030677165354319</v>
      </c>
      <c r="Q661" s="3">
        <f t="shared" si="177"/>
        <v>123.56372031496062</v>
      </c>
      <c r="R661" s="3">
        <f>vd(DataTable[[#This Row],[Sentido]],DataTable[[#This Row],[Valor]])</f>
        <v>95.604228638086894</v>
      </c>
      <c r="S661" s="3">
        <f>IF(DataTable[[#This Row],[Valor]]&gt;1,1,1)</f>
        <v>1</v>
      </c>
      <c r="T661" s="3">
        <f>IF(DataTable[[#This Row],[Valor]]&gt;1,1,1)</f>
        <v>1</v>
      </c>
      <c r="U661" s="3">
        <f>angr(DataTable[[#This Row],[Sentido]],DataTable[[#This Row],[Valor]])</f>
        <v>45.077048702245555</v>
      </c>
      <c r="V661" s="3">
        <f>ANGI(DataTable[[#This Row],[Sentido]],DataTable[[#This Row],[Valor]])</f>
        <v>45.362467191601056</v>
      </c>
      <c r="W661" s="3">
        <f t="shared" si="178"/>
        <v>3</v>
      </c>
      <c r="X661" s="3">
        <f>IF(DataTable[[#This Row],[Valor]]&gt;1,1,1)</f>
        <v>1</v>
      </c>
      <c r="Y661" s="3">
        <f t="shared" si="179"/>
        <v>3</v>
      </c>
      <c r="Z661" s="3">
        <f>IF(AND(DataTable[[#This Row],[Sentido]]="URUGUAI para BRASIL",DataTable[[#This Row],[Valor]]&gt;350),1,0)</f>
        <v>0</v>
      </c>
      <c r="AA661" s="3">
        <f>IF(DataTable[[#This Row],[Valor]]&gt;1,0,0)</f>
        <v>0</v>
      </c>
    </row>
    <row r="662" spans="1:27" x14ac:dyDescent="0.25">
      <c r="A662" s="2" t="s">
        <v>18</v>
      </c>
      <c r="B662" s="2">
        <v>253</v>
      </c>
      <c r="C662" s="3">
        <f t="shared" si="165"/>
        <v>80.36</v>
      </c>
      <c r="D662" s="3">
        <f t="shared" si="166"/>
        <v>87.65</v>
      </c>
      <c r="E662" s="3">
        <f t="shared" si="167"/>
        <v>83.75</v>
      </c>
      <c r="F662" s="3">
        <f t="shared" si="168"/>
        <v>44.64</v>
      </c>
      <c r="G662" s="3">
        <f t="shared" si="169"/>
        <v>114.4</v>
      </c>
      <c r="H662" s="3">
        <f t="shared" si="170"/>
        <v>114.4</v>
      </c>
      <c r="I662" s="3"/>
      <c r="J662" s="3">
        <f t="shared" si="171"/>
        <v>79.849999999999994</v>
      </c>
      <c r="K662" s="3">
        <f t="shared" si="172"/>
        <v>87.65</v>
      </c>
      <c r="L662" s="34">
        <f t="shared" si="173"/>
        <v>83.75</v>
      </c>
      <c r="M662" s="3">
        <f t="shared" si="174"/>
        <v>-100.6</v>
      </c>
      <c r="N662" s="3">
        <f t="shared" si="175"/>
        <v>99.28</v>
      </c>
      <c r="O662" s="3"/>
      <c r="P662" s="3">
        <f t="shared" si="176"/>
        <v>87.283338582677175</v>
      </c>
      <c r="Q662" s="3">
        <f t="shared" si="177"/>
        <v>124.32738015748032</v>
      </c>
      <c r="R662" s="3">
        <f>vd(DataTable[[#This Row],[Sentido]],DataTable[[#This Row],[Valor]])</f>
        <v>95.852114319043451</v>
      </c>
      <c r="S662" s="3">
        <f>IF(DataTable[[#This Row],[Valor]]&gt;1,1,1)</f>
        <v>1</v>
      </c>
      <c r="T662" s="3">
        <f>IF(DataTable[[#This Row],[Valor]]&gt;1,1,1)</f>
        <v>1</v>
      </c>
      <c r="U662" s="3">
        <f>angr(DataTable[[#This Row],[Sentido]],DataTable[[#This Row],[Valor]])</f>
        <v>44.938524351122773</v>
      </c>
      <c r="V662" s="3">
        <f>ANGI(DataTable[[#This Row],[Sentido]],DataTable[[#This Row],[Valor]])</f>
        <v>45.231233595800525</v>
      </c>
      <c r="W662" s="3">
        <f t="shared" si="178"/>
        <v>3</v>
      </c>
      <c r="X662" s="3">
        <f>IF(DataTable[[#This Row],[Valor]]&gt;1,1,1)</f>
        <v>1</v>
      </c>
      <c r="Y662" s="3">
        <f t="shared" si="179"/>
        <v>3</v>
      </c>
      <c r="Z662" s="3">
        <f>IF(AND(DataTable[[#This Row],[Sentido]]="URUGUAI para BRASIL",DataTable[[#This Row],[Valor]]&gt;350),1,0)</f>
        <v>0</v>
      </c>
      <c r="AA662" s="3">
        <f>IF(DataTable[[#This Row],[Valor]]&gt;1,0,0)</f>
        <v>0</v>
      </c>
    </row>
    <row r="663" spans="1:27" x14ac:dyDescent="0.25">
      <c r="A663" s="2" t="s">
        <v>18</v>
      </c>
      <c r="B663" s="2">
        <v>254</v>
      </c>
      <c r="C663" s="3">
        <f t="shared" si="165"/>
        <v>80.784999999999997</v>
      </c>
      <c r="D663" s="3">
        <f t="shared" si="166"/>
        <v>87.65</v>
      </c>
      <c r="E663" s="3">
        <f t="shared" si="167"/>
        <v>83.75</v>
      </c>
      <c r="F663" s="3">
        <f t="shared" si="168"/>
        <v>44.519999999999996</v>
      </c>
      <c r="G663" s="3">
        <f t="shared" si="169"/>
        <v>114.2</v>
      </c>
      <c r="H663" s="3">
        <f t="shared" si="170"/>
        <v>114.2</v>
      </c>
      <c r="I663" s="3"/>
      <c r="J663" s="3">
        <f t="shared" si="171"/>
        <v>79.849999999999994</v>
      </c>
      <c r="K663" s="3">
        <f t="shared" si="172"/>
        <v>87.65</v>
      </c>
      <c r="L663" s="34">
        <f t="shared" si="173"/>
        <v>83.75</v>
      </c>
      <c r="M663" s="3">
        <f t="shared" si="174"/>
        <v>-100.8</v>
      </c>
      <c r="N663" s="3">
        <f t="shared" si="175"/>
        <v>99.04</v>
      </c>
      <c r="O663" s="3"/>
      <c r="P663" s="3">
        <f t="shared" si="176"/>
        <v>87.536000000000001</v>
      </c>
      <c r="Q663" s="3">
        <f t="shared" si="177"/>
        <v>125.09103999999999</v>
      </c>
      <c r="R663" s="3">
        <f>vd(DataTable[[#This Row],[Sentido]],DataTable[[#This Row],[Valor]])</f>
        <v>96.1</v>
      </c>
      <c r="S663" s="3">
        <f>IF(DataTable[[#This Row],[Valor]]&gt;1,1,1)</f>
        <v>1</v>
      </c>
      <c r="T663" s="3">
        <f>IF(DataTable[[#This Row],[Valor]]&gt;1,1,1)</f>
        <v>1</v>
      </c>
      <c r="U663" s="3">
        <f>angr(DataTable[[#This Row],[Sentido]],DataTable[[#This Row],[Valor]])</f>
        <v>44.8</v>
      </c>
      <c r="V663" s="3">
        <f>ANGI(DataTable[[#This Row],[Sentido]],DataTable[[#This Row],[Valor]])</f>
        <v>45.1</v>
      </c>
      <c r="W663" s="3">
        <f t="shared" si="178"/>
        <v>3</v>
      </c>
      <c r="X663" s="3">
        <f>IF(DataTable[[#This Row],[Valor]]&gt;1,1,1)</f>
        <v>1</v>
      </c>
      <c r="Y663" s="3">
        <f t="shared" si="179"/>
        <v>3</v>
      </c>
      <c r="Z663" s="3">
        <f>IF(AND(DataTable[[#This Row],[Sentido]]="URUGUAI para BRASIL",DataTable[[#This Row],[Valor]]&gt;350),1,0)</f>
        <v>0</v>
      </c>
      <c r="AA663" s="3">
        <f>IF(DataTable[[#This Row],[Valor]]&gt;1,0,0)</f>
        <v>0</v>
      </c>
    </row>
    <row r="664" spans="1:27" x14ac:dyDescent="0.25">
      <c r="A664" s="2" t="s">
        <v>18</v>
      </c>
      <c r="B664" s="2">
        <v>255</v>
      </c>
      <c r="C664" s="3">
        <f t="shared" si="165"/>
        <v>81.20999999999998</v>
      </c>
      <c r="D664" s="3">
        <f t="shared" si="166"/>
        <v>87.65</v>
      </c>
      <c r="E664" s="3">
        <f t="shared" si="167"/>
        <v>83.75</v>
      </c>
      <c r="F664" s="3">
        <f t="shared" si="168"/>
        <v>44.4</v>
      </c>
      <c r="G664" s="3">
        <f t="shared" si="169"/>
        <v>114</v>
      </c>
      <c r="H664" s="3">
        <f t="shared" si="170"/>
        <v>114</v>
      </c>
      <c r="I664" s="3"/>
      <c r="J664" s="3">
        <f t="shared" si="171"/>
        <v>79.849999999999994</v>
      </c>
      <c r="K664" s="3">
        <f t="shared" si="172"/>
        <v>87.65</v>
      </c>
      <c r="L664" s="34">
        <f t="shared" si="173"/>
        <v>83.75</v>
      </c>
      <c r="M664" s="3">
        <f t="shared" si="174"/>
        <v>-101</v>
      </c>
      <c r="N664" s="3">
        <f t="shared" si="175"/>
        <v>98.8</v>
      </c>
      <c r="O664" s="3"/>
      <c r="P664" s="3">
        <f t="shared" si="176"/>
        <v>87.788661417322828</v>
      </c>
      <c r="Q664" s="3">
        <f t="shared" si="177"/>
        <v>125.85469984251968</v>
      </c>
      <c r="R664" s="3">
        <f>vd(DataTable[[#This Row],[Sentido]],DataTable[[#This Row],[Valor]])</f>
        <v>96.411023622047239</v>
      </c>
      <c r="S664" s="3">
        <f>IF(DataTable[[#This Row],[Valor]]&gt;1,1,1)</f>
        <v>1</v>
      </c>
      <c r="T664" s="3">
        <f>IF(DataTable[[#This Row],[Valor]]&gt;1,1,1)</f>
        <v>1</v>
      </c>
      <c r="U664" s="3">
        <f>angr(DataTable[[#This Row],[Sentido]],DataTable[[#This Row],[Valor]])</f>
        <v>44.670078740157479</v>
      </c>
      <c r="V664" s="3">
        <f>ANGI(DataTable[[#This Row],[Sentido]],DataTable[[#This Row],[Valor]])</f>
        <v>44.974015748031498</v>
      </c>
      <c r="W664" s="3">
        <f t="shared" si="178"/>
        <v>3</v>
      </c>
      <c r="X664" s="3">
        <f>IF(DataTable[[#This Row],[Valor]]&gt;1,1,1)</f>
        <v>1</v>
      </c>
      <c r="Y664" s="3">
        <f t="shared" si="179"/>
        <v>3</v>
      </c>
      <c r="Z664" s="3">
        <f>IF(AND(DataTable[[#This Row],[Sentido]]="URUGUAI para BRASIL",DataTable[[#This Row],[Valor]]&gt;350),1,0)</f>
        <v>0</v>
      </c>
      <c r="AA664" s="3">
        <f>IF(DataTable[[#This Row],[Valor]]&gt;1,0,0)</f>
        <v>0</v>
      </c>
    </row>
    <row r="665" spans="1:27" x14ac:dyDescent="0.25">
      <c r="A665" s="2" t="s">
        <v>18</v>
      </c>
      <c r="B665" s="2">
        <v>256</v>
      </c>
      <c r="C665" s="3">
        <f t="shared" si="165"/>
        <v>81.634999999999991</v>
      </c>
      <c r="D665" s="3">
        <f t="shared" si="166"/>
        <v>87.65</v>
      </c>
      <c r="E665" s="3">
        <f t="shared" si="167"/>
        <v>83.75</v>
      </c>
      <c r="F665" s="3">
        <f t="shared" si="168"/>
        <v>44.28</v>
      </c>
      <c r="G665" s="3">
        <f t="shared" si="169"/>
        <v>113.8</v>
      </c>
      <c r="H665" s="3">
        <f t="shared" si="170"/>
        <v>113.8</v>
      </c>
      <c r="I665" s="3"/>
      <c r="J665" s="3">
        <f t="shared" si="171"/>
        <v>79.849999999999994</v>
      </c>
      <c r="K665" s="3">
        <f t="shared" si="172"/>
        <v>87.65</v>
      </c>
      <c r="L665" s="34">
        <f t="shared" si="173"/>
        <v>83.75</v>
      </c>
      <c r="M665" s="3">
        <f t="shared" si="174"/>
        <v>-101.2</v>
      </c>
      <c r="N665" s="3">
        <f t="shared" si="175"/>
        <v>98.56</v>
      </c>
      <c r="O665" s="3"/>
      <c r="P665" s="3">
        <f t="shared" si="176"/>
        <v>88.041322834645683</v>
      </c>
      <c r="Q665" s="3">
        <f t="shared" si="177"/>
        <v>126.61835968503938</v>
      </c>
      <c r="R665" s="3">
        <f>vd(DataTable[[#This Row],[Sentido]],DataTable[[#This Row],[Valor]])</f>
        <v>96.722047244094483</v>
      </c>
      <c r="S665" s="3">
        <f>IF(DataTable[[#This Row],[Valor]]&gt;1,1,1)</f>
        <v>1</v>
      </c>
      <c r="T665" s="3">
        <f>IF(DataTable[[#This Row],[Valor]]&gt;1,1,1)</f>
        <v>1</v>
      </c>
      <c r="U665" s="3">
        <f>angr(DataTable[[#This Row],[Sentido]],DataTable[[#This Row],[Valor]])</f>
        <v>44.540157480314953</v>
      </c>
      <c r="V665" s="3">
        <f>ANGI(DataTable[[#This Row],[Sentido]],DataTable[[#This Row],[Valor]])</f>
        <v>44.848031496062994</v>
      </c>
      <c r="W665" s="3">
        <f t="shared" si="178"/>
        <v>3</v>
      </c>
      <c r="X665" s="3">
        <f>IF(DataTable[[#This Row],[Valor]]&gt;1,1,1)</f>
        <v>1</v>
      </c>
      <c r="Y665" s="3">
        <f t="shared" si="179"/>
        <v>3</v>
      </c>
      <c r="Z665" s="3">
        <f>IF(AND(DataTable[[#This Row],[Sentido]]="URUGUAI para BRASIL",DataTable[[#This Row],[Valor]]&gt;350),1,0)</f>
        <v>0</v>
      </c>
      <c r="AA665" s="3">
        <f>IF(DataTable[[#This Row],[Valor]]&gt;1,0,0)</f>
        <v>0</v>
      </c>
    </row>
    <row r="666" spans="1:27" x14ac:dyDescent="0.25">
      <c r="A666" s="2" t="s">
        <v>18</v>
      </c>
      <c r="B666" s="2">
        <v>257</v>
      </c>
      <c r="C666" s="3">
        <f t="shared" si="165"/>
        <v>82.059999999999988</v>
      </c>
      <c r="D666" s="3">
        <f t="shared" si="166"/>
        <v>87.65</v>
      </c>
      <c r="E666" s="3">
        <f t="shared" si="167"/>
        <v>83.75</v>
      </c>
      <c r="F666" s="3">
        <f t="shared" si="168"/>
        <v>44.16</v>
      </c>
      <c r="G666" s="3">
        <f t="shared" si="169"/>
        <v>113.6</v>
      </c>
      <c r="H666" s="3">
        <f t="shared" si="170"/>
        <v>113.6</v>
      </c>
      <c r="I666" s="3"/>
      <c r="J666" s="3">
        <f t="shared" si="171"/>
        <v>79.849999999999994</v>
      </c>
      <c r="K666" s="3">
        <f t="shared" si="172"/>
        <v>87.65</v>
      </c>
      <c r="L666" s="34">
        <f t="shared" si="173"/>
        <v>83.75</v>
      </c>
      <c r="M666" s="3">
        <f t="shared" si="174"/>
        <v>-101.4</v>
      </c>
      <c r="N666" s="3">
        <f t="shared" si="175"/>
        <v>98.32</v>
      </c>
      <c r="O666" s="3"/>
      <c r="P666" s="3">
        <f t="shared" si="176"/>
        <v>88.29398425196851</v>
      </c>
      <c r="Q666" s="3">
        <f t="shared" si="177"/>
        <v>127.38201952755905</v>
      </c>
      <c r="R666" s="3">
        <f>vd(DataTable[[#This Row],[Sentido]],DataTable[[#This Row],[Valor]])</f>
        <v>97.033070866141728</v>
      </c>
      <c r="S666" s="3">
        <f>IF(DataTable[[#This Row],[Valor]]&gt;1,1,1)</f>
        <v>1</v>
      </c>
      <c r="T666" s="3">
        <f>IF(DataTable[[#This Row],[Valor]]&gt;1,1,1)</f>
        <v>1</v>
      </c>
      <c r="U666" s="3">
        <f>angr(DataTable[[#This Row],[Sentido]],DataTable[[#This Row],[Valor]])</f>
        <v>44.410236220472441</v>
      </c>
      <c r="V666" s="3">
        <f>ANGI(DataTable[[#This Row],[Sentido]],DataTable[[#This Row],[Valor]])</f>
        <v>44.72204724409449</v>
      </c>
      <c r="W666" s="3">
        <f t="shared" si="178"/>
        <v>3</v>
      </c>
      <c r="X666" s="3">
        <f>IF(DataTable[[#This Row],[Valor]]&gt;1,1,1)</f>
        <v>1</v>
      </c>
      <c r="Y666" s="3">
        <f t="shared" si="179"/>
        <v>3</v>
      </c>
      <c r="Z666" s="3">
        <f>IF(AND(DataTable[[#This Row],[Sentido]]="URUGUAI para BRASIL",DataTable[[#This Row],[Valor]]&gt;350),1,0)</f>
        <v>0</v>
      </c>
      <c r="AA666" s="3">
        <f>IF(DataTable[[#This Row],[Valor]]&gt;1,0,0)</f>
        <v>0</v>
      </c>
    </row>
    <row r="667" spans="1:27" x14ac:dyDescent="0.25">
      <c r="A667" s="2" t="s">
        <v>18</v>
      </c>
      <c r="B667" s="2">
        <v>258</v>
      </c>
      <c r="C667" s="3">
        <f t="shared" si="165"/>
        <v>82.484999999999985</v>
      </c>
      <c r="D667" s="3">
        <f t="shared" si="166"/>
        <v>87.65</v>
      </c>
      <c r="E667" s="3">
        <f t="shared" si="167"/>
        <v>83.75</v>
      </c>
      <c r="F667" s="3">
        <f t="shared" si="168"/>
        <v>44.04</v>
      </c>
      <c r="G667" s="3">
        <f t="shared" si="169"/>
        <v>113.4</v>
      </c>
      <c r="H667" s="3">
        <f t="shared" si="170"/>
        <v>113.4</v>
      </c>
      <c r="I667" s="3"/>
      <c r="J667" s="3">
        <f t="shared" si="171"/>
        <v>79.849999999999994</v>
      </c>
      <c r="K667" s="3">
        <f t="shared" si="172"/>
        <v>87.65</v>
      </c>
      <c r="L667" s="34">
        <f t="shared" si="173"/>
        <v>83.75</v>
      </c>
      <c r="M667" s="3">
        <f t="shared" si="174"/>
        <v>-101.6</v>
      </c>
      <c r="N667" s="3">
        <f t="shared" si="175"/>
        <v>98.08</v>
      </c>
      <c r="O667" s="3"/>
      <c r="P667" s="3">
        <f t="shared" si="176"/>
        <v>88.546645669291337</v>
      </c>
      <c r="Q667" s="3">
        <f t="shared" si="177"/>
        <v>128.14567937007874</v>
      </c>
      <c r="R667" s="3">
        <f>vd(DataTable[[#This Row],[Sentido]],DataTable[[#This Row],[Valor]])</f>
        <v>97.344094488188972</v>
      </c>
      <c r="S667" s="3">
        <f>IF(DataTable[[#This Row],[Valor]]&gt;1,1,1)</f>
        <v>1</v>
      </c>
      <c r="T667" s="3">
        <f>IF(DataTable[[#This Row],[Valor]]&gt;1,1,1)</f>
        <v>1</v>
      </c>
      <c r="U667" s="3">
        <f>angr(DataTable[[#This Row],[Sentido]],DataTable[[#This Row],[Valor]])</f>
        <v>44.280314960629923</v>
      </c>
      <c r="V667" s="3">
        <f>ANGI(DataTable[[#This Row],[Sentido]],DataTable[[#This Row],[Valor]])</f>
        <v>44.596062992125987</v>
      </c>
      <c r="W667" s="3">
        <f t="shared" si="178"/>
        <v>3</v>
      </c>
      <c r="X667" s="3">
        <f>IF(DataTable[[#This Row],[Valor]]&gt;1,1,1)</f>
        <v>1</v>
      </c>
      <c r="Y667" s="3">
        <f t="shared" si="179"/>
        <v>3</v>
      </c>
      <c r="Z667" s="3">
        <f>IF(AND(DataTable[[#This Row],[Sentido]]="URUGUAI para BRASIL",DataTable[[#This Row],[Valor]]&gt;350),1,0)</f>
        <v>0</v>
      </c>
      <c r="AA667" s="3">
        <f>IF(DataTable[[#This Row],[Valor]]&gt;1,0,0)</f>
        <v>0</v>
      </c>
    </row>
    <row r="668" spans="1:27" x14ac:dyDescent="0.25">
      <c r="A668" s="2" t="s">
        <v>18</v>
      </c>
      <c r="B668" s="2">
        <v>259</v>
      </c>
      <c r="C668" s="3">
        <f t="shared" si="165"/>
        <v>82.909999999999982</v>
      </c>
      <c r="D668" s="3">
        <f t="shared" si="166"/>
        <v>87.65</v>
      </c>
      <c r="E668" s="3">
        <f t="shared" si="167"/>
        <v>83.75</v>
      </c>
      <c r="F668" s="3">
        <f t="shared" si="168"/>
        <v>43.92</v>
      </c>
      <c r="G668" s="3">
        <f t="shared" si="169"/>
        <v>113.2</v>
      </c>
      <c r="H668" s="3">
        <f t="shared" si="170"/>
        <v>113.2</v>
      </c>
      <c r="I668" s="3"/>
      <c r="J668" s="3">
        <f t="shared" si="171"/>
        <v>79.849999999999994</v>
      </c>
      <c r="K668" s="3">
        <f t="shared" si="172"/>
        <v>87.65</v>
      </c>
      <c r="L668" s="34">
        <f t="shared" si="173"/>
        <v>83.75</v>
      </c>
      <c r="M668" s="3">
        <f t="shared" si="174"/>
        <v>-101.8</v>
      </c>
      <c r="N668" s="3">
        <f t="shared" si="175"/>
        <v>97.84</v>
      </c>
      <c r="O668" s="3"/>
      <c r="P668" s="3">
        <f t="shared" si="176"/>
        <v>88.799307086614164</v>
      </c>
      <c r="Q668" s="3">
        <f t="shared" si="177"/>
        <v>128.90933921259841</v>
      </c>
      <c r="R668" s="3">
        <f>vd(DataTable[[#This Row],[Sentido]],DataTable[[#This Row],[Valor]])</f>
        <v>97.655118110236216</v>
      </c>
      <c r="S668" s="3">
        <f>IF(DataTable[[#This Row],[Valor]]&gt;1,1,1)</f>
        <v>1</v>
      </c>
      <c r="T668" s="3">
        <f>IF(DataTable[[#This Row],[Valor]]&gt;1,1,1)</f>
        <v>1</v>
      </c>
      <c r="U668" s="3">
        <f>angr(DataTable[[#This Row],[Sentido]],DataTable[[#This Row],[Valor]])</f>
        <v>44.150393700787404</v>
      </c>
      <c r="V668" s="3">
        <f>ANGI(DataTable[[#This Row],[Sentido]],DataTable[[#This Row],[Valor]])</f>
        <v>44.470078740157483</v>
      </c>
      <c r="W668" s="3">
        <f t="shared" si="178"/>
        <v>3</v>
      </c>
      <c r="X668" s="3">
        <f>IF(DataTable[[#This Row],[Valor]]&gt;1,1,1)</f>
        <v>1</v>
      </c>
      <c r="Y668" s="3">
        <f t="shared" si="179"/>
        <v>3</v>
      </c>
      <c r="Z668" s="3">
        <f>IF(AND(DataTable[[#This Row],[Sentido]]="URUGUAI para BRASIL",DataTable[[#This Row],[Valor]]&gt;350),1,0)</f>
        <v>0</v>
      </c>
      <c r="AA668" s="3">
        <f>IF(DataTable[[#This Row],[Valor]]&gt;1,0,0)</f>
        <v>0</v>
      </c>
    </row>
    <row r="669" spans="1:27" x14ac:dyDescent="0.25">
      <c r="A669" s="2" t="s">
        <v>18</v>
      </c>
      <c r="B669" s="2">
        <v>260</v>
      </c>
      <c r="C669" s="3">
        <f t="shared" si="165"/>
        <v>83.334999999999994</v>
      </c>
      <c r="D669" s="3">
        <f t="shared" si="166"/>
        <v>87.65</v>
      </c>
      <c r="E669" s="3">
        <f t="shared" si="167"/>
        <v>83.75</v>
      </c>
      <c r="F669" s="3">
        <f t="shared" si="168"/>
        <v>43.8</v>
      </c>
      <c r="G669" s="3">
        <f t="shared" si="169"/>
        <v>113</v>
      </c>
      <c r="H669" s="3">
        <f t="shared" si="170"/>
        <v>113</v>
      </c>
      <c r="I669" s="3"/>
      <c r="J669" s="3">
        <f t="shared" si="171"/>
        <v>79.849999999999994</v>
      </c>
      <c r="K669" s="3">
        <f t="shared" si="172"/>
        <v>87.65</v>
      </c>
      <c r="L669" s="34">
        <f t="shared" si="173"/>
        <v>83.75</v>
      </c>
      <c r="M669" s="3">
        <f t="shared" si="174"/>
        <v>-102</v>
      </c>
      <c r="N669" s="3">
        <f t="shared" si="175"/>
        <v>97.6</v>
      </c>
      <c r="O669" s="3"/>
      <c r="P669" s="3">
        <f t="shared" si="176"/>
        <v>89.051968503937005</v>
      </c>
      <c r="Q669" s="3">
        <f t="shared" si="177"/>
        <v>129.67299905511811</v>
      </c>
      <c r="R669" s="3">
        <f>vd(DataTable[[#This Row],[Sentido]],DataTable[[#This Row],[Valor]])</f>
        <v>97.966141732283461</v>
      </c>
      <c r="S669" s="3">
        <f>IF(DataTable[[#This Row],[Valor]]&gt;1,1,1)</f>
        <v>1</v>
      </c>
      <c r="T669" s="3">
        <f>IF(DataTable[[#This Row],[Valor]]&gt;1,1,1)</f>
        <v>1</v>
      </c>
      <c r="U669" s="3">
        <f>angr(DataTable[[#This Row],[Sentido]],DataTable[[#This Row],[Valor]])</f>
        <v>44.020472440944879</v>
      </c>
      <c r="V669" s="3">
        <f>ANGI(DataTable[[#This Row],[Sentido]],DataTable[[#This Row],[Valor]])</f>
        <v>44.344094488188979</v>
      </c>
      <c r="W669" s="3">
        <f t="shared" si="178"/>
        <v>3</v>
      </c>
      <c r="X669" s="3">
        <f>IF(DataTable[[#This Row],[Valor]]&gt;1,1,1)</f>
        <v>1</v>
      </c>
      <c r="Y669" s="3">
        <f t="shared" si="179"/>
        <v>3</v>
      </c>
      <c r="Z669" s="3">
        <f>IF(AND(DataTable[[#This Row],[Sentido]]="URUGUAI para BRASIL",DataTable[[#This Row],[Valor]]&gt;350),1,0)</f>
        <v>0</v>
      </c>
      <c r="AA669" s="3">
        <f>IF(DataTable[[#This Row],[Valor]]&gt;1,0,0)</f>
        <v>0</v>
      </c>
    </row>
    <row r="670" spans="1:27" x14ac:dyDescent="0.25">
      <c r="A670" s="2" t="s">
        <v>18</v>
      </c>
      <c r="B670" s="2">
        <v>261</v>
      </c>
      <c r="C670" s="3">
        <f t="shared" si="165"/>
        <v>83.759999999999991</v>
      </c>
      <c r="D670" s="3">
        <f t="shared" si="166"/>
        <v>87.65</v>
      </c>
      <c r="E670" s="3">
        <f t="shared" si="167"/>
        <v>83.75</v>
      </c>
      <c r="F670" s="3">
        <f t="shared" si="168"/>
        <v>43.68</v>
      </c>
      <c r="G670" s="3">
        <f t="shared" si="169"/>
        <v>112.8</v>
      </c>
      <c r="H670" s="3">
        <f t="shared" si="170"/>
        <v>112.8</v>
      </c>
      <c r="I670" s="3"/>
      <c r="J670" s="3">
        <f t="shared" si="171"/>
        <v>79.849999999999994</v>
      </c>
      <c r="K670" s="3">
        <f t="shared" si="172"/>
        <v>87.65</v>
      </c>
      <c r="L670" s="34">
        <f t="shared" si="173"/>
        <v>83.75</v>
      </c>
      <c r="M670" s="3">
        <f t="shared" si="174"/>
        <v>-102.2</v>
      </c>
      <c r="N670" s="3">
        <f t="shared" si="175"/>
        <v>97.36</v>
      </c>
      <c r="O670" s="3"/>
      <c r="P670" s="3">
        <f t="shared" si="176"/>
        <v>89.304629921259846</v>
      </c>
      <c r="Q670" s="3">
        <f t="shared" si="177"/>
        <v>130.43665889763778</v>
      </c>
      <c r="R670" s="3">
        <f>vd(DataTable[[#This Row],[Sentido]],DataTable[[#This Row],[Valor]])</f>
        <v>98.277165354330705</v>
      </c>
      <c r="S670" s="3">
        <f>IF(DataTable[[#This Row],[Valor]]&gt;1,1,1)</f>
        <v>1</v>
      </c>
      <c r="T670" s="3">
        <f>IF(DataTable[[#This Row],[Valor]]&gt;1,1,1)</f>
        <v>1</v>
      </c>
      <c r="U670" s="3">
        <f>angr(DataTable[[#This Row],[Sentido]],DataTable[[#This Row],[Valor]])</f>
        <v>43.89055118110236</v>
      </c>
      <c r="V670" s="3">
        <f>ANGI(DataTable[[#This Row],[Sentido]],DataTable[[#This Row],[Valor]])</f>
        <v>44.218110236220475</v>
      </c>
      <c r="W670" s="3">
        <f t="shared" si="178"/>
        <v>3</v>
      </c>
      <c r="X670" s="3">
        <f>IF(DataTable[[#This Row],[Valor]]&gt;1,1,1)</f>
        <v>1</v>
      </c>
      <c r="Y670" s="3">
        <f t="shared" si="179"/>
        <v>3</v>
      </c>
      <c r="Z670" s="3">
        <f>IF(AND(DataTable[[#This Row],[Sentido]]="URUGUAI para BRASIL",DataTable[[#This Row],[Valor]]&gt;350),1,0)</f>
        <v>0</v>
      </c>
      <c r="AA670" s="3">
        <f>IF(DataTable[[#This Row],[Valor]]&gt;1,0,0)</f>
        <v>0</v>
      </c>
    </row>
    <row r="671" spans="1:27" x14ac:dyDescent="0.25">
      <c r="A671" s="2" t="s">
        <v>18</v>
      </c>
      <c r="B671" s="2">
        <v>262</v>
      </c>
      <c r="C671" s="3">
        <f t="shared" si="165"/>
        <v>83.787850393700793</v>
      </c>
      <c r="D671" s="3">
        <f t="shared" si="166"/>
        <v>87.65</v>
      </c>
      <c r="E671" s="3">
        <f t="shared" si="167"/>
        <v>83.75</v>
      </c>
      <c r="F671" s="3">
        <f t="shared" si="168"/>
        <v>43.56</v>
      </c>
      <c r="G671" s="3">
        <f t="shared" si="169"/>
        <v>112.6</v>
      </c>
      <c r="H671" s="3">
        <f t="shared" si="170"/>
        <v>112.6</v>
      </c>
      <c r="I671" s="3"/>
      <c r="J671" s="3">
        <f t="shared" si="171"/>
        <v>79.849999999999994</v>
      </c>
      <c r="K671" s="3">
        <f t="shared" si="172"/>
        <v>87.65</v>
      </c>
      <c r="L671" s="34">
        <f t="shared" si="173"/>
        <v>83.75</v>
      </c>
      <c r="M671" s="3">
        <f t="shared" si="174"/>
        <v>-102.4</v>
      </c>
      <c r="N671" s="3">
        <f t="shared" si="175"/>
        <v>97.12</v>
      </c>
      <c r="O671" s="3"/>
      <c r="P671" s="3">
        <f t="shared" si="176"/>
        <v>89.557291338582672</v>
      </c>
      <c r="Q671" s="3">
        <f t="shared" si="177"/>
        <v>131.20031874015746</v>
      </c>
      <c r="R671" s="3">
        <f>vd(DataTable[[#This Row],[Sentido]],DataTable[[#This Row],[Valor]])</f>
        <v>98.58818897637795</v>
      </c>
      <c r="S671" s="3">
        <f>IF(DataTable[[#This Row],[Valor]]&gt;1,1,1)</f>
        <v>1</v>
      </c>
      <c r="T671" s="3">
        <f>IF(DataTable[[#This Row],[Valor]]&gt;1,1,1)</f>
        <v>1</v>
      </c>
      <c r="U671" s="3">
        <f>angr(DataTable[[#This Row],[Sentido]],DataTable[[#This Row],[Valor]])</f>
        <v>43.760629921259842</v>
      </c>
      <c r="V671" s="3">
        <f>ANGI(DataTable[[#This Row],[Sentido]],DataTable[[#This Row],[Valor]])</f>
        <v>44.092125984251972</v>
      </c>
      <c r="W671" s="3">
        <f t="shared" si="178"/>
        <v>3</v>
      </c>
      <c r="X671" s="3">
        <f>IF(DataTable[[#This Row],[Valor]]&gt;1,1,1)</f>
        <v>1</v>
      </c>
      <c r="Y671" s="3">
        <f t="shared" si="179"/>
        <v>3</v>
      </c>
      <c r="Z671" s="3">
        <f>IF(AND(DataTable[[#This Row],[Sentido]]="URUGUAI para BRASIL",DataTable[[#This Row],[Valor]]&gt;350),1,0)</f>
        <v>0</v>
      </c>
      <c r="AA671" s="3">
        <f>IF(DataTable[[#This Row],[Valor]]&gt;1,0,0)</f>
        <v>0</v>
      </c>
    </row>
    <row r="672" spans="1:27" x14ac:dyDescent="0.25">
      <c r="A672" s="2" t="s">
        <v>18</v>
      </c>
      <c r="B672" s="2">
        <v>263</v>
      </c>
      <c r="C672" s="3">
        <f t="shared" si="165"/>
        <v>83.859956692913386</v>
      </c>
      <c r="D672" s="3">
        <f t="shared" si="166"/>
        <v>87.65</v>
      </c>
      <c r="E672" s="3">
        <f t="shared" si="167"/>
        <v>83.75</v>
      </c>
      <c r="F672" s="3">
        <f t="shared" si="168"/>
        <v>43.44</v>
      </c>
      <c r="G672" s="3">
        <f t="shared" si="169"/>
        <v>112.4</v>
      </c>
      <c r="H672" s="3">
        <f t="shared" si="170"/>
        <v>112.4</v>
      </c>
      <c r="I672" s="3"/>
      <c r="J672" s="3">
        <f t="shared" si="171"/>
        <v>79.849999999999994</v>
      </c>
      <c r="K672" s="3">
        <f t="shared" si="172"/>
        <v>87.65</v>
      </c>
      <c r="L672" s="34">
        <f t="shared" si="173"/>
        <v>83.75</v>
      </c>
      <c r="M672" s="3">
        <f t="shared" si="174"/>
        <v>-102.6</v>
      </c>
      <c r="N672" s="3">
        <f t="shared" si="175"/>
        <v>96.88</v>
      </c>
      <c r="O672" s="3"/>
      <c r="P672" s="3">
        <f t="shared" si="176"/>
        <v>89.809952755905513</v>
      </c>
      <c r="Q672" s="3">
        <f t="shared" si="177"/>
        <v>131.96397858267716</v>
      </c>
      <c r="R672" s="3">
        <f>vd(DataTable[[#This Row],[Sentido]],DataTable[[#This Row],[Valor]])</f>
        <v>98.899212598425194</v>
      </c>
      <c r="S672" s="3">
        <f>IF(DataTable[[#This Row],[Valor]]&gt;1,1,1)</f>
        <v>1</v>
      </c>
      <c r="T672" s="3">
        <f>IF(DataTable[[#This Row],[Valor]]&gt;1,1,1)</f>
        <v>1</v>
      </c>
      <c r="U672" s="3">
        <f>angr(DataTable[[#This Row],[Sentido]],DataTable[[#This Row],[Valor]])</f>
        <v>43.630708661417323</v>
      </c>
      <c r="V672" s="3">
        <f>ANGI(DataTable[[#This Row],[Sentido]],DataTable[[#This Row],[Valor]])</f>
        <v>43.966141732283461</v>
      </c>
      <c r="W672" s="3">
        <f t="shared" si="178"/>
        <v>3</v>
      </c>
      <c r="X672" s="3">
        <f>IF(DataTable[[#This Row],[Valor]]&gt;1,1,1)</f>
        <v>1</v>
      </c>
      <c r="Y672" s="3">
        <f t="shared" si="179"/>
        <v>3</v>
      </c>
      <c r="Z672" s="3">
        <f>IF(AND(DataTable[[#This Row],[Sentido]]="URUGUAI para BRASIL",DataTable[[#This Row],[Valor]]&gt;350),1,0)</f>
        <v>0</v>
      </c>
      <c r="AA672" s="3">
        <f>IF(DataTable[[#This Row],[Valor]]&gt;1,0,0)</f>
        <v>0</v>
      </c>
    </row>
    <row r="673" spans="1:27" x14ac:dyDescent="0.25">
      <c r="A673" s="2" t="s">
        <v>18</v>
      </c>
      <c r="B673" s="2">
        <v>264</v>
      </c>
      <c r="C673" s="3">
        <f t="shared" si="165"/>
        <v>83.932062992125992</v>
      </c>
      <c r="D673" s="3">
        <f t="shared" si="166"/>
        <v>87.65</v>
      </c>
      <c r="E673" s="3">
        <f t="shared" si="167"/>
        <v>83.75</v>
      </c>
      <c r="F673" s="3">
        <f t="shared" si="168"/>
        <v>43.32</v>
      </c>
      <c r="G673" s="3">
        <f t="shared" si="169"/>
        <v>112.2</v>
      </c>
      <c r="H673" s="3">
        <f t="shared" si="170"/>
        <v>112.2</v>
      </c>
      <c r="I673" s="3"/>
      <c r="J673" s="3">
        <f t="shared" si="171"/>
        <v>79.849999999999994</v>
      </c>
      <c r="K673" s="3">
        <f t="shared" si="172"/>
        <v>87.65</v>
      </c>
      <c r="L673" s="34">
        <f t="shared" si="173"/>
        <v>83.75</v>
      </c>
      <c r="M673" s="3">
        <f t="shared" si="174"/>
        <v>-102.8</v>
      </c>
      <c r="N673" s="3">
        <f t="shared" si="175"/>
        <v>96.64</v>
      </c>
      <c r="O673" s="3"/>
      <c r="P673" s="3">
        <f t="shared" si="176"/>
        <v>90.062614173228354</v>
      </c>
      <c r="Q673" s="3">
        <f t="shared" si="177"/>
        <v>132.72763842519686</v>
      </c>
      <c r="R673" s="3">
        <f>vd(DataTable[[#This Row],[Sentido]],DataTable[[#This Row],[Valor]])</f>
        <v>99.210236220472439</v>
      </c>
      <c r="S673" s="3">
        <f>IF(DataTable[[#This Row],[Valor]]&gt;1,1,1)</f>
        <v>1</v>
      </c>
      <c r="T673" s="3">
        <f>IF(DataTable[[#This Row],[Valor]]&gt;1,1,1)</f>
        <v>1</v>
      </c>
      <c r="U673" s="3">
        <f>angr(DataTable[[#This Row],[Sentido]],DataTable[[#This Row],[Valor]])</f>
        <v>43.500787401574804</v>
      </c>
      <c r="V673" s="3">
        <f>ANGI(DataTable[[#This Row],[Sentido]],DataTable[[#This Row],[Valor]])</f>
        <v>43.840157480314964</v>
      </c>
      <c r="W673" s="3">
        <f t="shared" si="178"/>
        <v>3</v>
      </c>
      <c r="X673" s="3">
        <f>IF(DataTable[[#This Row],[Valor]]&gt;1,1,1)</f>
        <v>1</v>
      </c>
      <c r="Y673" s="3">
        <f t="shared" si="179"/>
        <v>3</v>
      </c>
      <c r="Z673" s="3">
        <f>IF(AND(DataTable[[#This Row],[Sentido]]="URUGUAI para BRASIL",DataTable[[#This Row],[Valor]]&gt;350),1,0)</f>
        <v>0</v>
      </c>
      <c r="AA673" s="3">
        <f>IF(DataTable[[#This Row],[Valor]]&gt;1,0,0)</f>
        <v>0</v>
      </c>
    </row>
    <row r="674" spans="1:27" x14ac:dyDescent="0.25">
      <c r="A674" s="2" t="s">
        <v>18</v>
      </c>
      <c r="B674" s="2">
        <v>265</v>
      </c>
      <c r="C674" s="3">
        <f t="shared" si="165"/>
        <v>84.004169291338584</v>
      </c>
      <c r="D674" s="3">
        <f t="shared" si="166"/>
        <v>87.935468503937017</v>
      </c>
      <c r="E674" s="3">
        <f t="shared" si="167"/>
        <v>84.035468503937011</v>
      </c>
      <c r="F674" s="3">
        <f t="shared" si="168"/>
        <v>43.2</v>
      </c>
      <c r="G674" s="3">
        <f t="shared" si="169"/>
        <v>112</v>
      </c>
      <c r="H674" s="3">
        <f t="shared" si="170"/>
        <v>112</v>
      </c>
      <c r="I674" s="3"/>
      <c r="J674" s="3">
        <f t="shared" si="171"/>
        <v>80.135468503937005</v>
      </c>
      <c r="K674" s="3">
        <f t="shared" si="172"/>
        <v>87.935468503937017</v>
      </c>
      <c r="L674" s="34">
        <f t="shared" si="173"/>
        <v>84.035468503937011</v>
      </c>
      <c r="M674" s="3">
        <f t="shared" si="174"/>
        <v>-103</v>
      </c>
      <c r="N674" s="3">
        <f t="shared" si="175"/>
        <v>96.4</v>
      </c>
      <c r="O674" s="3"/>
      <c r="P674" s="3">
        <f t="shared" si="176"/>
        <v>90.315275590551181</v>
      </c>
      <c r="Q674" s="3">
        <f t="shared" si="177"/>
        <v>132.83513700787404</v>
      </c>
      <c r="R674" s="3">
        <f>vd(DataTable[[#This Row],[Sentido]],DataTable[[#This Row],[Valor]])</f>
        <v>99.521259842519683</v>
      </c>
      <c r="S674" s="3">
        <f>IF(DataTable[[#This Row],[Valor]]&gt;1,1,1)</f>
        <v>1</v>
      </c>
      <c r="T674" s="3">
        <f>IF(DataTable[[#This Row],[Valor]]&gt;1,1,1)</f>
        <v>1</v>
      </c>
      <c r="U674" s="3">
        <f>angr(DataTable[[#This Row],[Sentido]],DataTable[[#This Row],[Valor]])</f>
        <v>43.370866141732286</v>
      </c>
      <c r="V674" s="3">
        <f>ANGI(DataTable[[#This Row],[Sentido]],DataTable[[#This Row],[Valor]])</f>
        <v>43.714173228346461</v>
      </c>
      <c r="W674" s="3">
        <f t="shared" si="178"/>
        <v>3</v>
      </c>
      <c r="X674" s="3">
        <f>IF(DataTable[[#This Row],[Valor]]&gt;1,1,1)</f>
        <v>1</v>
      </c>
      <c r="Y674" s="3">
        <f t="shared" si="179"/>
        <v>3</v>
      </c>
      <c r="Z674" s="3">
        <f>IF(AND(DataTable[[#This Row],[Sentido]]="URUGUAI para BRASIL",DataTable[[#This Row],[Valor]]&gt;350),1,0)</f>
        <v>0</v>
      </c>
      <c r="AA674" s="3">
        <f>IF(DataTable[[#This Row],[Valor]]&gt;1,0,0)</f>
        <v>0</v>
      </c>
    </row>
    <row r="675" spans="1:27" x14ac:dyDescent="0.25">
      <c r="A675" s="2" t="s">
        <v>18</v>
      </c>
      <c r="B675" s="2">
        <v>266</v>
      </c>
      <c r="C675" s="3">
        <f t="shared" si="165"/>
        <v>84.076275590551177</v>
      </c>
      <c r="D675" s="3">
        <f t="shared" si="166"/>
        <v>88.007692913385839</v>
      </c>
      <c r="E675" s="3">
        <f t="shared" si="167"/>
        <v>84.107692913385833</v>
      </c>
      <c r="F675" s="3">
        <f t="shared" si="168"/>
        <v>43.08</v>
      </c>
      <c r="G675" s="3">
        <f t="shared" si="169"/>
        <v>111.8</v>
      </c>
      <c r="H675" s="3">
        <f t="shared" si="170"/>
        <v>111.8</v>
      </c>
      <c r="I675" s="3"/>
      <c r="J675" s="3">
        <f t="shared" si="171"/>
        <v>80.207692913385827</v>
      </c>
      <c r="K675" s="3">
        <f t="shared" si="172"/>
        <v>88.007692913385839</v>
      </c>
      <c r="L675" s="34">
        <f t="shared" si="173"/>
        <v>84.107692913385833</v>
      </c>
      <c r="M675" s="3">
        <f t="shared" si="174"/>
        <v>-103.2</v>
      </c>
      <c r="N675" s="3">
        <f t="shared" si="175"/>
        <v>96.16</v>
      </c>
      <c r="O675" s="3"/>
      <c r="P675" s="3">
        <f t="shared" si="176"/>
        <v>90.567937007874022</v>
      </c>
      <c r="Q675" s="3">
        <f t="shared" si="177"/>
        <v>132.94058582677167</v>
      </c>
      <c r="R675" s="3">
        <f>vd(DataTable[[#This Row],[Sentido]],DataTable[[#This Row],[Valor]])</f>
        <v>99.832283464566927</v>
      </c>
      <c r="S675" s="3">
        <f>IF(DataTable[[#This Row],[Valor]]&gt;1,1,1)</f>
        <v>1</v>
      </c>
      <c r="T675" s="3">
        <f>IF(DataTable[[#This Row],[Valor]]&gt;1,1,1)</f>
        <v>1</v>
      </c>
      <c r="U675" s="3">
        <f>angr(DataTable[[#This Row],[Sentido]],DataTable[[#This Row],[Valor]])</f>
        <v>43.24094488188976</v>
      </c>
      <c r="V675" s="3">
        <f>ANGI(DataTable[[#This Row],[Sentido]],DataTable[[#This Row],[Valor]])</f>
        <v>43.58818897637795</v>
      </c>
      <c r="W675" s="3">
        <f t="shared" si="178"/>
        <v>3</v>
      </c>
      <c r="X675" s="3">
        <f>IF(DataTable[[#This Row],[Valor]]&gt;1,1,1)</f>
        <v>1</v>
      </c>
      <c r="Y675" s="3">
        <f t="shared" si="179"/>
        <v>3</v>
      </c>
      <c r="Z675" s="3">
        <f>IF(AND(DataTable[[#This Row],[Sentido]]="URUGUAI para BRASIL",DataTable[[#This Row],[Valor]]&gt;350),1,0)</f>
        <v>0</v>
      </c>
      <c r="AA675" s="3">
        <f>IF(DataTable[[#This Row],[Valor]]&gt;1,0,0)</f>
        <v>0</v>
      </c>
    </row>
    <row r="676" spans="1:27" x14ac:dyDescent="0.25">
      <c r="A676" s="2" t="s">
        <v>18</v>
      </c>
      <c r="B676" s="2">
        <v>267</v>
      </c>
      <c r="C676" s="3">
        <f t="shared" si="165"/>
        <v>84.148381889763783</v>
      </c>
      <c r="D676" s="3">
        <f t="shared" si="166"/>
        <v>88.079917322834646</v>
      </c>
      <c r="E676" s="3">
        <f t="shared" si="167"/>
        <v>84.17991732283464</v>
      </c>
      <c r="F676" s="3">
        <f t="shared" si="168"/>
        <v>42.96</v>
      </c>
      <c r="G676" s="3">
        <f t="shared" si="169"/>
        <v>111.6</v>
      </c>
      <c r="H676" s="3">
        <f t="shared" si="170"/>
        <v>111.6</v>
      </c>
      <c r="I676" s="3"/>
      <c r="J676" s="3">
        <f t="shared" si="171"/>
        <v>80.279917322834635</v>
      </c>
      <c r="K676" s="3">
        <f t="shared" si="172"/>
        <v>88.079917322834646</v>
      </c>
      <c r="L676" s="34">
        <f t="shared" si="173"/>
        <v>84.17991732283464</v>
      </c>
      <c r="M676" s="3">
        <f t="shared" si="174"/>
        <v>-103.4</v>
      </c>
      <c r="N676" s="3">
        <f t="shared" si="175"/>
        <v>95.92</v>
      </c>
      <c r="O676" s="3"/>
      <c r="P676" s="3">
        <f t="shared" si="176"/>
        <v>90.820598425196849</v>
      </c>
      <c r="Q676" s="3">
        <f t="shared" si="177"/>
        <v>133.04603464566929</v>
      </c>
      <c r="R676" s="3">
        <f>vd(DataTable[[#This Row],[Sentido]],DataTable[[#This Row],[Valor]])</f>
        <v>100.14330708661417</v>
      </c>
      <c r="S676" s="3">
        <f>IF(DataTable[[#This Row],[Valor]]&gt;1,1,1)</f>
        <v>1</v>
      </c>
      <c r="T676" s="3">
        <f>IF(DataTable[[#This Row],[Valor]]&gt;1,1,1)</f>
        <v>1</v>
      </c>
      <c r="U676" s="3">
        <f>angr(DataTable[[#This Row],[Sentido]],DataTable[[#This Row],[Valor]])</f>
        <v>43.111023622047242</v>
      </c>
      <c r="V676" s="3">
        <f>ANGI(DataTable[[#This Row],[Sentido]],DataTable[[#This Row],[Valor]])</f>
        <v>43.462204724409446</v>
      </c>
      <c r="W676" s="3">
        <f t="shared" si="178"/>
        <v>3</v>
      </c>
      <c r="X676" s="3">
        <f>IF(DataTable[[#This Row],[Valor]]&gt;1,1,1)</f>
        <v>1</v>
      </c>
      <c r="Y676" s="3">
        <f t="shared" si="179"/>
        <v>3</v>
      </c>
      <c r="Z676" s="3">
        <f>IF(AND(DataTable[[#This Row],[Sentido]]="URUGUAI para BRASIL",DataTable[[#This Row],[Valor]]&gt;350),1,0)</f>
        <v>0</v>
      </c>
      <c r="AA676" s="3">
        <f>IF(DataTable[[#This Row],[Valor]]&gt;1,0,0)</f>
        <v>0</v>
      </c>
    </row>
    <row r="677" spans="1:27" x14ac:dyDescent="0.25">
      <c r="A677" s="2" t="s">
        <v>18</v>
      </c>
      <c r="B677" s="2">
        <v>268</v>
      </c>
      <c r="C677" s="3">
        <f t="shared" si="165"/>
        <v>84.220488188976375</v>
      </c>
      <c r="D677" s="3">
        <f t="shared" si="166"/>
        <v>88.152141732283468</v>
      </c>
      <c r="E677" s="3">
        <f t="shared" si="167"/>
        <v>84.252141732283462</v>
      </c>
      <c r="F677" s="3">
        <f t="shared" si="168"/>
        <v>42.84</v>
      </c>
      <c r="G677" s="3">
        <f t="shared" si="169"/>
        <v>111.4</v>
      </c>
      <c r="H677" s="3">
        <f t="shared" si="170"/>
        <v>111.4</v>
      </c>
      <c r="I677" s="3"/>
      <c r="J677" s="3">
        <f t="shared" si="171"/>
        <v>80.352141732283457</v>
      </c>
      <c r="K677" s="3">
        <f t="shared" si="172"/>
        <v>88.152141732283468</v>
      </c>
      <c r="L677" s="34">
        <f t="shared" si="173"/>
        <v>84.252141732283462</v>
      </c>
      <c r="M677" s="3">
        <f t="shared" si="174"/>
        <v>-103.6</v>
      </c>
      <c r="N677" s="3">
        <f t="shared" si="175"/>
        <v>95.68</v>
      </c>
      <c r="O677" s="3"/>
      <c r="P677" s="3">
        <f t="shared" si="176"/>
        <v>91.07325984251969</v>
      </c>
      <c r="Q677" s="3">
        <f t="shared" si="177"/>
        <v>133.15148346456692</v>
      </c>
      <c r="R677" s="3">
        <f>vd(DataTable[[#This Row],[Sentido]],DataTable[[#This Row],[Valor]])</f>
        <v>100.45433070866142</v>
      </c>
      <c r="S677" s="3">
        <f>IF(DataTable[[#This Row],[Valor]]&gt;1,1,1)</f>
        <v>1</v>
      </c>
      <c r="T677" s="3">
        <f>IF(DataTable[[#This Row],[Valor]]&gt;1,1,1)</f>
        <v>1</v>
      </c>
      <c r="U677" s="3">
        <f>angr(DataTable[[#This Row],[Sentido]],DataTable[[#This Row],[Valor]])</f>
        <v>42.981102362204723</v>
      </c>
      <c r="V677" s="3">
        <f>ANGI(DataTable[[#This Row],[Sentido]],DataTable[[#This Row],[Valor]])</f>
        <v>43.336220472440942</v>
      </c>
      <c r="W677" s="3">
        <f t="shared" si="178"/>
        <v>3</v>
      </c>
      <c r="X677" s="3">
        <f>IF(DataTable[[#This Row],[Valor]]&gt;1,1,1)</f>
        <v>1</v>
      </c>
      <c r="Y677" s="3">
        <f t="shared" si="179"/>
        <v>3</v>
      </c>
      <c r="Z677" s="3">
        <f>IF(AND(DataTable[[#This Row],[Sentido]]="URUGUAI para BRASIL",DataTable[[#This Row],[Valor]]&gt;350),1,0)</f>
        <v>0</v>
      </c>
      <c r="AA677" s="3">
        <f>IF(DataTable[[#This Row],[Valor]]&gt;1,0,0)</f>
        <v>0</v>
      </c>
    </row>
    <row r="678" spans="1:27" x14ac:dyDescent="0.25">
      <c r="A678" s="2" t="s">
        <v>18</v>
      </c>
      <c r="B678" s="2">
        <v>269</v>
      </c>
      <c r="C678" s="3">
        <f t="shared" si="165"/>
        <v>84.292594488188982</v>
      </c>
      <c r="D678" s="3">
        <f t="shared" si="166"/>
        <v>88.22436614173229</v>
      </c>
      <c r="E678" s="3">
        <f t="shared" si="167"/>
        <v>84.324366141732284</v>
      </c>
      <c r="F678" s="3">
        <f t="shared" si="168"/>
        <v>42.72</v>
      </c>
      <c r="G678" s="3">
        <f t="shared" si="169"/>
        <v>111.2</v>
      </c>
      <c r="H678" s="3">
        <f t="shared" si="170"/>
        <v>111.2</v>
      </c>
      <c r="I678" s="3"/>
      <c r="J678" s="3">
        <f t="shared" si="171"/>
        <v>80.424366141732278</v>
      </c>
      <c r="K678" s="3">
        <f t="shared" si="172"/>
        <v>88.22436614173229</v>
      </c>
      <c r="L678" s="34">
        <f t="shared" si="173"/>
        <v>84.324366141732284</v>
      </c>
      <c r="M678" s="3">
        <f t="shared" si="174"/>
        <v>-103.8</v>
      </c>
      <c r="N678" s="3">
        <f t="shared" si="175"/>
        <v>95.44</v>
      </c>
      <c r="O678" s="3"/>
      <c r="P678" s="3">
        <f t="shared" si="176"/>
        <v>91.325921259842517</v>
      </c>
      <c r="Q678" s="3">
        <f t="shared" si="177"/>
        <v>133.25693228346455</v>
      </c>
      <c r="R678" s="3">
        <f>vd(DataTable[[#This Row],[Sentido]],DataTable[[#This Row],[Valor]])</f>
        <v>100.76535433070865</v>
      </c>
      <c r="S678" s="3">
        <f>IF(DataTable[[#This Row],[Valor]]&gt;1,1,1)</f>
        <v>1</v>
      </c>
      <c r="T678" s="3">
        <f>IF(DataTable[[#This Row],[Valor]]&gt;1,1,1)</f>
        <v>1</v>
      </c>
      <c r="U678" s="3">
        <f>angr(DataTable[[#This Row],[Sentido]],DataTable[[#This Row],[Valor]])</f>
        <v>42.851181102362204</v>
      </c>
      <c r="V678" s="3">
        <f>ANGI(DataTable[[#This Row],[Sentido]],DataTable[[#This Row],[Valor]])</f>
        <v>43.210236220472446</v>
      </c>
      <c r="W678" s="3">
        <f t="shared" si="178"/>
        <v>3</v>
      </c>
      <c r="X678" s="3">
        <f>IF(DataTable[[#This Row],[Valor]]&gt;1,1,1)</f>
        <v>1</v>
      </c>
      <c r="Y678" s="3">
        <f t="shared" si="179"/>
        <v>3</v>
      </c>
      <c r="Z678" s="3">
        <f>IF(AND(DataTable[[#This Row],[Sentido]]="URUGUAI para BRASIL",DataTable[[#This Row],[Valor]]&gt;350),1,0)</f>
        <v>0</v>
      </c>
      <c r="AA678" s="3">
        <f>IF(DataTable[[#This Row],[Valor]]&gt;1,0,0)</f>
        <v>0</v>
      </c>
    </row>
    <row r="679" spans="1:27" x14ac:dyDescent="0.25">
      <c r="A679" s="2" t="s">
        <v>18</v>
      </c>
      <c r="B679" s="2">
        <v>270</v>
      </c>
      <c r="C679" s="3">
        <f t="shared" si="165"/>
        <v>84.364700787401574</v>
      </c>
      <c r="D679" s="3">
        <f t="shared" si="166"/>
        <v>88.296590551181112</v>
      </c>
      <c r="E679" s="3">
        <f t="shared" si="167"/>
        <v>84.396590551181106</v>
      </c>
      <c r="F679" s="3">
        <f t="shared" si="168"/>
        <v>42.6</v>
      </c>
      <c r="G679" s="3">
        <f t="shared" si="169"/>
        <v>111</v>
      </c>
      <c r="H679" s="3">
        <f t="shared" si="170"/>
        <v>111</v>
      </c>
      <c r="I679" s="3"/>
      <c r="J679" s="3">
        <f t="shared" si="171"/>
        <v>80.4965905511811</v>
      </c>
      <c r="K679" s="3">
        <f t="shared" si="172"/>
        <v>88.296590551181112</v>
      </c>
      <c r="L679" s="34">
        <f t="shared" si="173"/>
        <v>84.396590551181106</v>
      </c>
      <c r="M679" s="3">
        <f t="shared" si="174"/>
        <v>-104</v>
      </c>
      <c r="N679" s="3">
        <f t="shared" si="175"/>
        <v>95.2</v>
      </c>
      <c r="O679" s="3"/>
      <c r="P679" s="3">
        <f t="shared" si="176"/>
        <v>91.578582677165357</v>
      </c>
      <c r="Q679" s="3">
        <f t="shared" si="177"/>
        <v>133.36238110236221</v>
      </c>
      <c r="R679" s="3">
        <f>vd(DataTable[[#This Row],[Sentido]],DataTable[[#This Row],[Valor]])</f>
        <v>101.07637795275591</v>
      </c>
      <c r="S679" s="3">
        <f>IF(DataTable[[#This Row],[Valor]]&gt;1,1,1)</f>
        <v>1</v>
      </c>
      <c r="T679" s="3">
        <f>IF(DataTable[[#This Row],[Valor]]&gt;1,1,1)</f>
        <v>1</v>
      </c>
      <c r="U679" s="3">
        <f>angr(DataTable[[#This Row],[Sentido]],DataTable[[#This Row],[Valor]])</f>
        <v>42.721259842519686</v>
      </c>
      <c r="V679" s="3">
        <f>ANGI(DataTable[[#This Row],[Sentido]],DataTable[[#This Row],[Valor]])</f>
        <v>43.084251968503935</v>
      </c>
      <c r="W679" s="3">
        <f t="shared" si="178"/>
        <v>3</v>
      </c>
      <c r="X679" s="3">
        <f>IF(DataTable[[#This Row],[Valor]]&gt;1,1,1)</f>
        <v>1</v>
      </c>
      <c r="Y679" s="3">
        <f t="shared" si="179"/>
        <v>3</v>
      </c>
      <c r="Z679" s="3">
        <f>IF(AND(DataTable[[#This Row],[Sentido]]="URUGUAI para BRASIL",DataTable[[#This Row],[Valor]]&gt;350),1,0)</f>
        <v>0</v>
      </c>
      <c r="AA679" s="3">
        <f>IF(DataTable[[#This Row],[Valor]]&gt;1,0,0)</f>
        <v>0</v>
      </c>
    </row>
    <row r="680" spans="1:27" x14ac:dyDescent="0.25">
      <c r="A680" s="2" t="s">
        <v>18</v>
      </c>
      <c r="B680" s="2">
        <v>271</v>
      </c>
      <c r="C680" s="3">
        <f t="shared" si="165"/>
        <v>84.436807086614181</v>
      </c>
      <c r="D680" s="3">
        <f t="shared" si="166"/>
        <v>88.368814960629933</v>
      </c>
      <c r="E680" s="3">
        <f t="shared" si="167"/>
        <v>84.468814960629928</v>
      </c>
      <c r="F680" s="3">
        <f t="shared" si="168"/>
        <v>42.480000000000004</v>
      </c>
      <c r="G680" s="3">
        <f t="shared" si="169"/>
        <v>110.8</v>
      </c>
      <c r="H680" s="3">
        <f t="shared" si="170"/>
        <v>110.8</v>
      </c>
      <c r="I680" s="3"/>
      <c r="J680" s="3">
        <f t="shared" si="171"/>
        <v>80.568814960629922</v>
      </c>
      <c r="K680" s="3">
        <f t="shared" si="172"/>
        <v>88.368814960629933</v>
      </c>
      <c r="L680" s="34">
        <f t="shared" si="173"/>
        <v>84.468814960629928</v>
      </c>
      <c r="M680" s="3">
        <f t="shared" si="174"/>
        <v>-104.2</v>
      </c>
      <c r="N680" s="3">
        <f t="shared" si="175"/>
        <v>94.96</v>
      </c>
      <c r="O680" s="3"/>
      <c r="P680" s="3">
        <f t="shared" si="176"/>
        <v>91.831244094488198</v>
      </c>
      <c r="Q680" s="3">
        <f t="shared" si="177"/>
        <v>133.46782992125983</v>
      </c>
      <c r="R680" s="3">
        <f>vd(DataTable[[#This Row],[Sentido]],DataTable[[#This Row],[Valor]])</f>
        <v>101.38740157480315</v>
      </c>
      <c r="S680" s="3">
        <f>IF(DataTable[[#This Row],[Valor]]&gt;1,1,1)</f>
        <v>1</v>
      </c>
      <c r="T680" s="3">
        <f>IF(DataTable[[#This Row],[Valor]]&gt;1,1,1)</f>
        <v>1</v>
      </c>
      <c r="U680" s="3">
        <f>angr(DataTable[[#This Row],[Sentido]],DataTable[[#This Row],[Valor]])</f>
        <v>42.591338582677167</v>
      </c>
      <c r="V680" s="3">
        <f>ANGI(DataTable[[#This Row],[Sentido]],DataTable[[#This Row],[Valor]])</f>
        <v>42.958267716535431</v>
      </c>
      <c r="W680" s="3">
        <f t="shared" si="178"/>
        <v>3</v>
      </c>
      <c r="X680" s="3">
        <f>IF(DataTable[[#This Row],[Valor]]&gt;1,1,1)</f>
        <v>1</v>
      </c>
      <c r="Y680" s="3">
        <f t="shared" si="179"/>
        <v>3</v>
      </c>
      <c r="Z680" s="3">
        <f>IF(AND(DataTable[[#This Row],[Sentido]]="URUGUAI para BRASIL",DataTable[[#This Row],[Valor]]&gt;350),1,0)</f>
        <v>0</v>
      </c>
      <c r="AA680" s="3">
        <f>IF(DataTable[[#This Row],[Valor]]&gt;1,0,0)</f>
        <v>0</v>
      </c>
    </row>
    <row r="681" spans="1:27" x14ac:dyDescent="0.25">
      <c r="A681" s="2" t="s">
        <v>18</v>
      </c>
      <c r="B681" s="2">
        <v>272</v>
      </c>
      <c r="C681" s="3">
        <f t="shared" si="165"/>
        <v>84.508913385826773</v>
      </c>
      <c r="D681" s="3">
        <f t="shared" si="166"/>
        <v>88.441039370078741</v>
      </c>
      <c r="E681" s="3">
        <f t="shared" si="167"/>
        <v>84.541039370078735</v>
      </c>
      <c r="F681" s="3">
        <f t="shared" si="168"/>
        <v>42.36</v>
      </c>
      <c r="G681" s="3">
        <f t="shared" si="169"/>
        <v>110.6</v>
      </c>
      <c r="H681" s="3">
        <f t="shared" si="170"/>
        <v>110.6</v>
      </c>
      <c r="I681" s="3"/>
      <c r="J681" s="3">
        <f t="shared" si="171"/>
        <v>80.64103937007873</v>
      </c>
      <c r="K681" s="3">
        <f t="shared" si="172"/>
        <v>88.441039370078741</v>
      </c>
      <c r="L681" s="34">
        <f t="shared" si="173"/>
        <v>84.541039370078735</v>
      </c>
      <c r="M681" s="3">
        <f t="shared" si="174"/>
        <v>-104.4</v>
      </c>
      <c r="N681" s="3">
        <f t="shared" si="175"/>
        <v>94.72</v>
      </c>
      <c r="O681" s="3"/>
      <c r="P681" s="3">
        <f t="shared" si="176"/>
        <v>92.083905511811025</v>
      </c>
      <c r="Q681" s="3">
        <f t="shared" si="177"/>
        <v>133.57327874015749</v>
      </c>
      <c r="R681" s="3">
        <f>vd(DataTable[[#This Row],[Sentido]],DataTable[[#This Row],[Valor]])</f>
        <v>101.69842519685039</v>
      </c>
      <c r="S681" s="3">
        <f>IF(DataTable[[#This Row],[Valor]]&gt;1,1,1)</f>
        <v>1</v>
      </c>
      <c r="T681" s="3">
        <f>IF(DataTable[[#This Row],[Valor]]&gt;1,1,1)</f>
        <v>1</v>
      </c>
      <c r="U681" s="3">
        <f>angr(DataTable[[#This Row],[Sentido]],DataTable[[#This Row],[Valor]])</f>
        <v>42.461417322834649</v>
      </c>
      <c r="V681" s="3">
        <f>ANGI(DataTable[[#This Row],[Sentido]],DataTable[[#This Row],[Valor]])</f>
        <v>42.832283464566927</v>
      </c>
      <c r="W681" s="3">
        <f t="shared" si="178"/>
        <v>3</v>
      </c>
      <c r="X681" s="3">
        <f>IF(DataTable[[#This Row],[Valor]]&gt;1,1,1)</f>
        <v>1</v>
      </c>
      <c r="Y681" s="3">
        <f t="shared" si="179"/>
        <v>3</v>
      </c>
      <c r="Z681" s="3">
        <f>IF(AND(DataTable[[#This Row],[Sentido]]="URUGUAI para BRASIL",DataTable[[#This Row],[Valor]]&gt;350),1,0)</f>
        <v>0</v>
      </c>
      <c r="AA681" s="3">
        <f>IF(DataTable[[#This Row],[Valor]]&gt;1,0,0)</f>
        <v>0</v>
      </c>
    </row>
    <row r="682" spans="1:27" x14ac:dyDescent="0.25">
      <c r="A682" s="2" t="s">
        <v>18</v>
      </c>
      <c r="B682" s="2">
        <v>273</v>
      </c>
      <c r="C682" s="3">
        <f t="shared" si="165"/>
        <v>84.581019685039379</v>
      </c>
      <c r="D682" s="3">
        <f t="shared" si="166"/>
        <v>88.513263779527563</v>
      </c>
      <c r="E682" s="3">
        <f t="shared" si="167"/>
        <v>84.613263779527557</v>
      </c>
      <c r="F682" s="3">
        <f t="shared" si="168"/>
        <v>42.239999999999995</v>
      </c>
      <c r="G682" s="3">
        <f t="shared" si="169"/>
        <v>110.4</v>
      </c>
      <c r="H682" s="3">
        <f t="shared" si="170"/>
        <v>110.4</v>
      </c>
      <c r="I682" s="3"/>
      <c r="J682" s="3">
        <f t="shared" si="171"/>
        <v>80.713263779527551</v>
      </c>
      <c r="K682" s="3">
        <f t="shared" si="172"/>
        <v>88.513263779527563</v>
      </c>
      <c r="L682" s="34">
        <f t="shared" si="173"/>
        <v>84.613263779527557</v>
      </c>
      <c r="M682" s="3">
        <f t="shared" si="174"/>
        <v>-104.6</v>
      </c>
      <c r="N682" s="3">
        <f t="shared" si="175"/>
        <v>94.48</v>
      </c>
      <c r="O682" s="3"/>
      <c r="P682" s="3">
        <f t="shared" si="176"/>
        <v>92.336566929133852</v>
      </c>
      <c r="Q682" s="3">
        <f t="shared" si="177"/>
        <v>133.67872755905512</v>
      </c>
      <c r="R682" s="3">
        <f>vd(DataTable[[#This Row],[Sentido]],DataTable[[#This Row],[Valor]])</f>
        <v>102.00944881889764</v>
      </c>
      <c r="S682" s="3">
        <f>IF(DataTable[[#This Row],[Valor]]&gt;1,1,1)</f>
        <v>1</v>
      </c>
      <c r="T682" s="3">
        <f>IF(DataTable[[#This Row],[Valor]]&gt;1,1,1)</f>
        <v>1</v>
      </c>
      <c r="U682" s="3">
        <f>angr(DataTable[[#This Row],[Sentido]],DataTable[[#This Row],[Valor]])</f>
        <v>42.331496062992123</v>
      </c>
      <c r="V682" s="3">
        <f>ANGI(DataTable[[#This Row],[Sentido]],DataTable[[#This Row],[Valor]])</f>
        <v>42.706299212598424</v>
      </c>
      <c r="W682" s="3">
        <f t="shared" si="178"/>
        <v>3</v>
      </c>
      <c r="X682" s="3">
        <f>IF(DataTable[[#This Row],[Valor]]&gt;1,1,1)</f>
        <v>1</v>
      </c>
      <c r="Y682" s="3">
        <f t="shared" si="179"/>
        <v>3</v>
      </c>
      <c r="Z682" s="3">
        <f>IF(AND(DataTable[[#This Row],[Sentido]]="URUGUAI para BRASIL",DataTable[[#This Row],[Valor]]&gt;350),1,0)</f>
        <v>0</v>
      </c>
      <c r="AA682" s="3">
        <f>IF(DataTable[[#This Row],[Valor]]&gt;1,0,0)</f>
        <v>0</v>
      </c>
    </row>
    <row r="683" spans="1:27" x14ac:dyDescent="0.25">
      <c r="A683" s="2" t="s">
        <v>18</v>
      </c>
      <c r="B683" s="2">
        <v>274</v>
      </c>
      <c r="C683" s="3">
        <f t="shared" si="165"/>
        <v>84.653125984251972</v>
      </c>
      <c r="D683" s="3">
        <f t="shared" si="166"/>
        <v>88.585488188976385</v>
      </c>
      <c r="E683" s="3">
        <f t="shared" si="167"/>
        <v>84.685488188976379</v>
      </c>
      <c r="F683" s="3">
        <f t="shared" si="168"/>
        <v>42.120000000000005</v>
      </c>
      <c r="G683" s="3">
        <f t="shared" si="169"/>
        <v>110.2</v>
      </c>
      <c r="H683" s="3">
        <f t="shared" si="170"/>
        <v>110.2</v>
      </c>
      <c r="I683" s="3"/>
      <c r="J683" s="3">
        <f t="shared" si="171"/>
        <v>80.785488188976373</v>
      </c>
      <c r="K683" s="3">
        <f t="shared" si="172"/>
        <v>88.585488188976385</v>
      </c>
      <c r="L683" s="34">
        <f t="shared" si="173"/>
        <v>84.685488188976379</v>
      </c>
      <c r="M683" s="3">
        <f t="shared" si="174"/>
        <v>-104.8</v>
      </c>
      <c r="N683" s="3">
        <f t="shared" si="175"/>
        <v>94.24</v>
      </c>
      <c r="O683" s="3"/>
      <c r="P683" s="3">
        <f t="shared" si="176"/>
        <v>92.589228346456693</v>
      </c>
      <c r="Q683" s="3">
        <f t="shared" si="177"/>
        <v>133.78417637795275</v>
      </c>
      <c r="R683" s="3">
        <f>vd(DataTable[[#This Row],[Sentido]],DataTable[[#This Row],[Valor]])</f>
        <v>102.32047244094488</v>
      </c>
      <c r="S683" s="3">
        <f>IF(DataTable[[#This Row],[Valor]]&gt;1,1,1)</f>
        <v>1</v>
      </c>
      <c r="T683" s="3">
        <f>IF(DataTable[[#This Row],[Valor]]&gt;1,1,1)</f>
        <v>1</v>
      </c>
      <c r="U683" s="3">
        <f>angr(DataTable[[#This Row],[Sentido]],DataTable[[#This Row],[Valor]])</f>
        <v>42.201574803149605</v>
      </c>
      <c r="V683" s="3">
        <f>ANGI(DataTable[[#This Row],[Sentido]],DataTable[[#This Row],[Valor]])</f>
        <v>42.58031496062992</v>
      </c>
      <c r="W683" s="3">
        <f t="shared" si="178"/>
        <v>3</v>
      </c>
      <c r="X683" s="3">
        <f>IF(DataTable[[#This Row],[Valor]]&gt;1,1,1)</f>
        <v>1</v>
      </c>
      <c r="Y683" s="3">
        <f t="shared" si="179"/>
        <v>3</v>
      </c>
      <c r="Z683" s="3">
        <f>IF(AND(DataTable[[#This Row],[Sentido]]="URUGUAI para BRASIL",DataTable[[#This Row],[Valor]]&gt;350),1,0)</f>
        <v>0</v>
      </c>
      <c r="AA683" s="3">
        <f>IF(DataTable[[#This Row],[Valor]]&gt;1,0,0)</f>
        <v>0</v>
      </c>
    </row>
    <row r="684" spans="1:27" x14ac:dyDescent="0.25">
      <c r="A684" s="2" t="s">
        <v>18</v>
      </c>
      <c r="B684" s="2">
        <v>275</v>
      </c>
      <c r="C684" s="3">
        <f t="shared" si="165"/>
        <v>84.725232283464564</v>
      </c>
      <c r="D684" s="3">
        <f t="shared" si="166"/>
        <v>88.657712598425206</v>
      </c>
      <c r="E684" s="3">
        <f t="shared" si="167"/>
        <v>84.757712598425201</v>
      </c>
      <c r="F684" s="3">
        <f t="shared" si="168"/>
        <v>42</v>
      </c>
      <c r="G684" s="3">
        <f t="shared" si="169"/>
        <v>110</v>
      </c>
      <c r="H684" s="3">
        <f t="shared" si="170"/>
        <v>110</v>
      </c>
      <c r="I684" s="3"/>
      <c r="J684" s="3">
        <f t="shared" si="171"/>
        <v>80.857712598425195</v>
      </c>
      <c r="K684" s="3">
        <f t="shared" si="172"/>
        <v>88.657712598425206</v>
      </c>
      <c r="L684" s="34">
        <f t="shared" si="173"/>
        <v>84.757712598425201</v>
      </c>
      <c r="M684" s="3">
        <f t="shared" si="174"/>
        <v>-105</v>
      </c>
      <c r="N684" s="3">
        <f t="shared" si="175"/>
        <v>94</v>
      </c>
      <c r="O684" s="3"/>
      <c r="P684" s="3">
        <f t="shared" si="176"/>
        <v>92.84188976377952</v>
      </c>
      <c r="Q684" s="3">
        <f t="shared" si="177"/>
        <v>133.8896251968504</v>
      </c>
      <c r="R684" s="3">
        <f>vd(DataTable[[#This Row],[Sentido]],DataTable[[#This Row],[Valor]])</f>
        <v>102.63149606299213</v>
      </c>
      <c r="S684" s="3">
        <f>IF(DataTable[[#This Row],[Valor]]&gt;1,1,1)</f>
        <v>1</v>
      </c>
      <c r="T684" s="3">
        <f>IF(DataTable[[#This Row],[Valor]]&gt;1,1,1)</f>
        <v>1</v>
      </c>
      <c r="U684" s="3">
        <f>angr(DataTable[[#This Row],[Sentido]],DataTable[[#This Row],[Valor]])</f>
        <v>42.071653543307086</v>
      </c>
      <c r="V684" s="3">
        <f>ANGI(DataTable[[#This Row],[Sentido]],DataTable[[#This Row],[Valor]])</f>
        <v>42.454330708661416</v>
      </c>
      <c r="W684" s="3">
        <f t="shared" si="178"/>
        <v>3</v>
      </c>
      <c r="X684" s="3">
        <f>IF(DataTable[[#This Row],[Valor]]&gt;1,1,1)</f>
        <v>1</v>
      </c>
      <c r="Y684" s="3">
        <f t="shared" si="179"/>
        <v>3</v>
      </c>
      <c r="Z684" s="3">
        <f>IF(AND(DataTable[[#This Row],[Sentido]]="URUGUAI para BRASIL",DataTable[[#This Row],[Valor]]&gt;350),1,0)</f>
        <v>0</v>
      </c>
      <c r="AA684" s="3">
        <f>IF(DataTable[[#This Row],[Valor]]&gt;1,0,0)</f>
        <v>0</v>
      </c>
    </row>
    <row r="685" spans="1:27" x14ac:dyDescent="0.25">
      <c r="A685" s="2" t="s">
        <v>18</v>
      </c>
      <c r="B685" s="2">
        <v>276</v>
      </c>
      <c r="C685" s="3">
        <f t="shared" si="165"/>
        <v>84.79733858267717</v>
      </c>
      <c r="D685" s="3">
        <f t="shared" si="166"/>
        <v>88.729937007874028</v>
      </c>
      <c r="E685" s="3">
        <f t="shared" si="167"/>
        <v>84.829937007874022</v>
      </c>
      <c r="F685" s="3">
        <f t="shared" si="168"/>
        <v>41.879999999999995</v>
      </c>
      <c r="G685" s="3">
        <f t="shared" si="169"/>
        <v>109.8</v>
      </c>
      <c r="H685" s="3">
        <f t="shared" si="170"/>
        <v>109.8</v>
      </c>
      <c r="I685" s="3"/>
      <c r="J685" s="3">
        <f t="shared" si="171"/>
        <v>80.929937007874017</v>
      </c>
      <c r="K685" s="3">
        <f t="shared" si="172"/>
        <v>88.729937007874028</v>
      </c>
      <c r="L685" s="34">
        <f t="shared" si="173"/>
        <v>84.829937007874022</v>
      </c>
      <c r="M685" s="3">
        <f t="shared" si="174"/>
        <v>-105.2</v>
      </c>
      <c r="N685" s="3">
        <f t="shared" si="175"/>
        <v>93.76</v>
      </c>
      <c r="O685" s="3"/>
      <c r="P685" s="3">
        <f t="shared" si="176"/>
        <v>93.094551181102375</v>
      </c>
      <c r="Q685" s="3">
        <f t="shared" si="177"/>
        <v>133.99507401574803</v>
      </c>
      <c r="R685" s="3">
        <f>vd(DataTable[[#This Row],[Sentido]],DataTable[[#This Row],[Valor]])</f>
        <v>102.94251968503937</v>
      </c>
      <c r="S685" s="3">
        <f>IF(DataTable[[#This Row],[Valor]]&gt;1,1,1)</f>
        <v>1</v>
      </c>
      <c r="T685" s="3">
        <f>IF(DataTable[[#This Row],[Valor]]&gt;1,1,1)</f>
        <v>1</v>
      </c>
      <c r="U685" s="3">
        <f>angr(DataTable[[#This Row],[Sentido]],DataTable[[#This Row],[Valor]])</f>
        <v>41.941732283464567</v>
      </c>
      <c r="V685" s="3">
        <f>ANGI(DataTable[[#This Row],[Sentido]],DataTable[[#This Row],[Valor]])</f>
        <v>42.328346456692913</v>
      </c>
      <c r="W685" s="3">
        <f t="shared" si="178"/>
        <v>3</v>
      </c>
      <c r="X685" s="3">
        <f>IF(DataTable[[#This Row],[Valor]]&gt;1,1,1)</f>
        <v>1</v>
      </c>
      <c r="Y685" s="3">
        <f t="shared" si="179"/>
        <v>3</v>
      </c>
      <c r="Z685" s="3">
        <f>IF(AND(DataTable[[#This Row],[Sentido]]="URUGUAI para BRASIL",DataTable[[#This Row],[Valor]]&gt;350),1,0)</f>
        <v>0</v>
      </c>
      <c r="AA685" s="3">
        <f>IF(DataTable[[#This Row],[Valor]]&gt;1,0,0)</f>
        <v>0</v>
      </c>
    </row>
    <row r="686" spans="1:27" x14ac:dyDescent="0.25">
      <c r="A686" s="2" t="s">
        <v>18</v>
      </c>
      <c r="B686" s="2">
        <v>277</v>
      </c>
      <c r="C686" s="3">
        <f t="shared" si="165"/>
        <v>84.869444881889763</v>
      </c>
      <c r="D686" s="3">
        <f t="shared" si="166"/>
        <v>88.802161417322836</v>
      </c>
      <c r="E686" s="3">
        <f t="shared" si="167"/>
        <v>84.90216141732283</v>
      </c>
      <c r="F686" s="3">
        <f t="shared" si="168"/>
        <v>41.760000000000005</v>
      </c>
      <c r="G686" s="3">
        <f t="shared" si="169"/>
        <v>109.6</v>
      </c>
      <c r="H686" s="3">
        <f t="shared" si="170"/>
        <v>109.6</v>
      </c>
      <c r="I686" s="3"/>
      <c r="J686" s="3">
        <f t="shared" si="171"/>
        <v>81.002161417322824</v>
      </c>
      <c r="K686" s="3">
        <f t="shared" si="172"/>
        <v>88.802161417322836</v>
      </c>
      <c r="L686" s="34">
        <f t="shared" si="173"/>
        <v>84.90216141732283</v>
      </c>
      <c r="M686" s="3">
        <f t="shared" si="174"/>
        <v>-105.4</v>
      </c>
      <c r="N686" s="3">
        <f t="shared" si="175"/>
        <v>93.52</v>
      </c>
      <c r="O686" s="3"/>
      <c r="P686" s="3">
        <f t="shared" si="176"/>
        <v>93.347212598425202</v>
      </c>
      <c r="Q686" s="3">
        <f t="shared" si="177"/>
        <v>134.10052283464569</v>
      </c>
      <c r="R686" s="3">
        <f>vd(DataTable[[#This Row],[Sentido]],DataTable[[#This Row],[Valor]])</f>
        <v>103.25354330708662</v>
      </c>
      <c r="S686" s="3">
        <f>IF(DataTable[[#This Row],[Valor]]&gt;1,1,1)</f>
        <v>1</v>
      </c>
      <c r="T686" s="3">
        <f>IF(DataTable[[#This Row],[Valor]]&gt;1,1,1)</f>
        <v>1</v>
      </c>
      <c r="U686" s="3">
        <f>angr(DataTable[[#This Row],[Sentido]],DataTable[[#This Row],[Valor]])</f>
        <v>41.811811023622049</v>
      </c>
      <c r="V686" s="3">
        <f>ANGI(DataTable[[#This Row],[Sentido]],DataTable[[#This Row],[Valor]])</f>
        <v>42.202362204724409</v>
      </c>
      <c r="W686" s="3">
        <f t="shared" si="178"/>
        <v>3</v>
      </c>
      <c r="X686" s="3">
        <f>IF(DataTable[[#This Row],[Valor]]&gt;1,1,1)</f>
        <v>1</v>
      </c>
      <c r="Y686" s="3">
        <f t="shared" si="179"/>
        <v>3</v>
      </c>
      <c r="Z686" s="3">
        <f>IF(AND(DataTable[[#This Row],[Sentido]]="URUGUAI para BRASIL",DataTable[[#This Row],[Valor]]&gt;350),1,0)</f>
        <v>0</v>
      </c>
      <c r="AA686" s="3">
        <f>IF(DataTable[[#This Row],[Valor]]&gt;1,0,0)</f>
        <v>0</v>
      </c>
    </row>
    <row r="687" spans="1:27" x14ac:dyDescent="0.25">
      <c r="A687" s="2" t="s">
        <v>18</v>
      </c>
      <c r="B687" s="2">
        <v>278</v>
      </c>
      <c r="C687" s="3">
        <f t="shared" si="165"/>
        <v>84.941551181102369</v>
      </c>
      <c r="D687" s="3">
        <f t="shared" si="166"/>
        <v>88.874385826771658</v>
      </c>
      <c r="E687" s="3">
        <f t="shared" si="167"/>
        <v>84.974385826771652</v>
      </c>
      <c r="F687" s="3">
        <f t="shared" si="168"/>
        <v>41.64</v>
      </c>
      <c r="G687" s="3">
        <f t="shared" si="169"/>
        <v>109.4</v>
      </c>
      <c r="H687" s="3">
        <f t="shared" si="170"/>
        <v>109.4</v>
      </c>
      <c r="I687" s="3"/>
      <c r="J687" s="3">
        <f t="shared" si="171"/>
        <v>81.074385826771646</v>
      </c>
      <c r="K687" s="3">
        <f t="shared" si="172"/>
        <v>88.874385826771658</v>
      </c>
      <c r="L687" s="34">
        <f t="shared" si="173"/>
        <v>84.974385826771652</v>
      </c>
      <c r="M687" s="3">
        <f t="shared" si="174"/>
        <v>-105.6</v>
      </c>
      <c r="N687" s="3">
        <f t="shared" si="175"/>
        <v>93.28</v>
      </c>
      <c r="O687" s="3"/>
      <c r="P687" s="3">
        <f t="shared" si="176"/>
        <v>93.599874015748043</v>
      </c>
      <c r="Q687" s="3">
        <f t="shared" si="177"/>
        <v>134.20597165354332</v>
      </c>
      <c r="R687" s="3">
        <f>vd(DataTable[[#This Row],[Sentido]],DataTable[[#This Row],[Valor]])</f>
        <v>103.56456692913386</v>
      </c>
      <c r="S687" s="3">
        <f>IF(DataTable[[#This Row],[Valor]]&gt;1,1,1)</f>
        <v>1</v>
      </c>
      <c r="T687" s="3">
        <f>IF(DataTable[[#This Row],[Valor]]&gt;1,1,1)</f>
        <v>1</v>
      </c>
      <c r="U687" s="3">
        <f>angr(DataTable[[#This Row],[Sentido]],DataTable[[#This Row],[Valor]])</f>
        <v>41.68188976377953</v>
      </c>
      <c r="V687" s="3">
        <f>ANGI(DataTable[[#This Row],[Sentido]],DataTable[[#This Row],[Valor]])</f>
        <v>42.076377952755905</v>
      </c>
      <c r="W687" s="3">
        <f t="shared" si="178"/>
        <v>3</v>
      </c>
      <c r="X687" s="3">
        <f>IF(DataTable[[#This Row],[Valor]]&gt;1,1,1)</f>
        <v>1</v>
      </c>
      <c r="Y687" s="3">
        <f t="shared" si="179"/>
        <v>3</v>
      </c>
      <c r="Z687" s="3">
        <f>IF(AND(DataTable[[#This Row],[Sentido]]="URUGUAI para BRASIL",DataTable[[#This Row],[Valor]]&gt;350),1,0)</f>
        <v>0</v>
      </c>
      <c r="AA687" s="3">
        <f>IF(DataTable[[#This Row],[Valor]]&gt;1,0,0)</f>
        <v>0</v>
      </c>
    </row>
    <row r="688" spans="1:27" x14ac:dyDescent="0.25">
      <c r="A688" s="2" t="s">
        <v>18</v>
      </c>
      <c r="B688" s="2">
        <v>279</v>
      </c>
      <c r="C688" s="3">
        <f t="shared" si="165"/>
        <v>85.013657480314961</v>
      </c>
      <c r="D688" s="3">
        <f t="shared" si="166"/>
        <v>88.946610236220479</v>
      </c>
      <c r="E688" s="3">
        <f t="shared" si="167"/>
        <v>85.046610236220474</v>
      </c>
      <c r="F688" s="3">
        <f t="shared" si="168"/>
        <v>41.519999999999996</v>
      </c>
      <c r="G688" s="3">
        <f t="shared" si="169"/>
        <v>109.2</v>
      </c>
      <c r="H688" s="3">
        <f t="shared" si="170"/>
        <v>109.2</v>
      </c>
      <c r="I688" s="3"/>
      <c r="J688" s="3">
        <f t="shared" si="171"/>
        <v>81.146610236220468</v>
      </c>
      <c r="K688" s="3">
        <f t="shared" si="172"/>
        <v>88.946610236220479</v>
      </c>
      <c r="L688" s="34">
        <f t="shared" si="173"/>
        <v>85.046610236220474</v>
      </c>
      <c r="M688" s="3">
        <f t="shared" si="174"/>
        <v>-105.8</v>
      </c>
      <c r="N688" s="3">
        <f t="shared" si="175"/>
        <v>93.04</v>
      </c>
      <c r="O688" s="3"/>
      <c r="P688" s="3">
        <f t="shared" si="176"/>
        <v>93.852535433070869</v>
      </c>
      <c r="Q688" s="3">
        <f t="shared" si="177"/>
        <v>134.31142047244094</v>
      </c>
      <c r="R688" s="3">
        <f>vd(DataTable[[#This Row],[Sentido]],DataTable[[#This Row],[Valor]])</f>
        <v>103.87559055118109</v>
      </c>
      <c r="S688" s="3">
        <f>IF(DataTable[[#This Row],[Valor]]&gt;1,1,1)</f>
        <v>1</v>
      </c>
      <c r="T688" s="3">
        <f>IF(DataTable[[#This Row],[Valor]]&gt;1,1,1)</f>
        <v>1</v>
      </c>
      <c r="U688" s="3">
        <f>angr(DataTable[[#This Row],[Sentido]],DataTable[[#This Row],[Valor]])</f>
        <v>41.551968503937012</v>
      </c>
      <c r="V688" s="3">
        <f>ANGI(DataTable[[#This Row],[Sentido]],DataTable[[#This Row],[Valor]])</f>
        <v>41.950393700787401</v>
      </c>
      <c r="W688" s="3">
        <f t="shared" si="178"/>
        <v>3</v>
      </c>
      <c r="X688" s="3">
        <f>IF(DataTable[[#This Row],[Valor]]&gt;1,1,1)</f>
        <v>1</v>
      </c>
      <c r="Y688" s="3">
        <f t="shared" si="179"/>
        <v>3</v>
      </c>
      <c r="Z688" s="3">
        <f>IF(AND(DataTable[[#This Row],[Sentido]]="URUGUAI para BRASIL",DataTable[[#This Row],[Valor]]&gt;350),1,0)</f>
        <v>0</v>
      </c>
      <c r="AA688" s="3">
        <f>IF(DataTable[[#This Row],[Valor]]&gt;1,0,0)</f>
        <v>0</v>
      </c>
    </row>
    <row r="689" spans="1:27" x14ac:dyDescent="0.25">
      <c r="A689" s="2" t="s">
        <v>18</v>
      </c>
      <c r="B689" s="2">
        <v>280</v>
      </c>
      <c r="C689" s="3">
        <f t="shared" si="165"/>
        <v>85.085763779527568</v>
      </c>
      <c r="D689" s="3">
        <f t="shared" si="166"/>
        <v>89.018834645669301</v>
      </c>
      <c r="E689" s="3">
        <f t="shared" si="167"/>
        <v>85.118834645669295</v>
      </c>
      <c r="F689" s="3">
        <f t="shared" si="168"/>
        <v>41.4</v>
      </c>
      <c r="G689" s="3">
        <f t="shared" si="169"/>
        <v>109</v>
      </c>
      <c r="H689" s="3">
        <f t="shared" si="170"/>
        <v>109</v>
      </c>
      <c r="I689" s="3"/>
      <c r="J689" s="3">
        <f t="shared" si="171"/>
        <v>81.21883464566929</v>
      </c>
      <c r="K689" s="3">
        <f t="shared" si="172"/>
        <v>89.018834645669301</v>
      </c>
      <c r="L689" s="34">
        <f t="shared" si="173"/>
        <v>85.118834645669295</v>
      </c>
      <c r="M689" s="3">
        <f t="shared" si="174"/>
        <v>-106</v>
      </c>
      <c r="N689" s="3">
        <f t="shared" si="175"/>
        <v>92.8</v>
      </c>
      <c r="O689" s="3"/>
      <c r="P689" s="3">
        <f t="shared" si="176"/>
        <v>94.105196850393696</v>
      </c>
      <c r="Q689" s="3">
        <f t="shared" si="177"/>
        <v>134.4168692913386</v>
      </c>
      <c r="R689" s="3">
        <f>vd(DataTable[[#This Row],[Sentido]],DataTable[[#This Row],[Valor]])</f>
        <v>104.19370078740158</v>
      </c>
      <c r="S689" s="3">
        <f>IF(DataTable[[#This Row],[Valor]]&gt;1,1,1)</f>
        <v>1</v>
      </c>
      <c r="T689" s="3">
        <f>IF(DataTable[[#This Row],[Valor]]&gt;1,1,1)</f>
        <v>1</v>
      </c>
      <c r="U689" s="3">
        <f>angr(DataTable[[#This Row],[Sentido]],DataTable[[#This Row],[Valor]])</f>
        <v>41.424409448818899</v>
      </c>
      <c r="V689" s="3">
        <f>ANGI(DataTable[[#This Row],[Sentido]],DataTable[[#This Row],[Valor]])</f>
        <v>41.826771653543304</v>
      </c>
      <c r="W689" s="3">
        <f t="shared" si="178"/>
        <v>3</v>
      </c>
      <c r="X689" s="3">
        <f>IF(DataTable[[#This Row],[Valor]]&gt;1,1,1)</f>
        <v>1</v>
      </c>
      <c r="Y689" s="3">
        <f t="shared" si="179"/>
        <v>3</v>
      </c>
      <c r="Z689" s="3">
        <f>IF(AND(DataTable[[#This Row],[Sentido]]="URUGUAI para BRASIL",DataTable[[#This Row],[Valor]]&gt;350),1,0)</f>
        <v>0</v>
      </c>
      <c r="AA689" s="3">
        <f>IF(DataTable[[#This Row],[Valor]]&gt;1,0,0)</f>
        <v>0</v>
      </c>
    </row>
    <row r="690" spans="1:27" x14ac:dyDescent="0.25">
      <c r="A690" s="2" t="s">
        <v>18</v>
      </c>
      <c r="B690" s="2">
        <v>281</v>
      </c>
      <c r="C690" s="3">
        <f t="shared" si="165"/>
        <v>85.15787007874016</v>
      </c>
      <c r="D690" s="3">
        <f t="shared" si="166"/>
        <v>89.091059055118123</v>
      </c>
      <c r="E690" s="3">
        <f t="shared" si="167"/>
        <v>85.191059055118117</v>
      </c>
      <c r="F690" s="3">
        <f t="shared" si="168"/>
        <v>41.28</v>
      </c>
      <c r="G690" s="3">
        <f t="shared" si="169"/>
        <v>108.8</v>
      </c>
      <c r="H690" s="3">
        <f t="shared" si="170"/>
        <v>108.8</v>
      </c>
      <c r="I690" s="3"/>
      <c r="J690" s="3">
        <f t="shared" si="171"/>
        <v>81.291059055118112</v>
      </c>
      <c r="K690" s="3">
        <f t="shared" si="172"/>
        <v>89.091059055118123</v>
      </c>
      <c r="L690" s="34">
        <f t="shared" si="173"/>
        <v>85.191059055118117</v>
      </c>
      <c r="M690" s="3">
        <f t="shared" si="174"/>
        <v>-106.2</v>
      </c>
      <c r="N690" s="3">
        <f t="shared" si="175"/>
        <v>92.56</v>
      </c>
      <c r="O690" s="3"/>
      <c r="P690" s="3">
        <f t="shared" si="176"/>
        <v>94.357858267716537</v>
      </c>
      <c r="Q690" s="3">
        <f t="shared" si="177"/>
        <v>134.52231811023623</v>
      </c>
      <c r="R690" s="3">
        <f>vd(DataTable[[#This Row],[Sentido]],DataTable[[#This Row],[Valor]])</f>
        <v>104.51653543307087</v>
      </c>
      <c r="S690" s="3">
        <f>IF(DataTable[[#This Row],[Valor]]&gt;1,1,1)</f>
        <v>1</v>
      </c>
      <c r="T690" s="3">
        <f>IF(DataTable[[#This Row],[Valor]]&gt;1,1,1)</f>
        <v>1</v>
      </c>
      <c r="U690" s="3">
        <f>angr(DataTable[[#This Row],[Sentido]],DataTable[[#This Row],[Valor]])</f>
        <v>41.298425196850395</v>
      </c>
      <c r="V690" s="3">
        <f>ANGI(DataTable[[#This Row],[Sentido]],DataTable[[#This Row],[Valor]])</f>
        <v>41.704724409448815</v>
      </c>
      <c r="W690" s="3">
        <f t="shared" si="178"/>
        <v>3</v>
      </c>
      <c r="X690" s="3">
        <f>IF(DataTable[[#This Row],[Valor]]&gt;1,1,1)</f>
        <v>1</v>
      </c>
      <c r="Y690" s="3">
        <f t="shared" si="179"/>
        <v>3</v>
      </c>
      <c r="Z690" s="3">
        <f>IF(AND(DataTable[[#This Row],[Sentido]]="URUGUAI para BRASIL",DataTable[[#This Row],[Valor]]&gt;350),1,0)</f>
        <v>0</v>
      </c>
      <c r="AA690" s="3">
        <f>IF(DataTable[[#This Row],[Valor]]&gt;1,0,0)</f>
        <v>0</v>
      </c>
    </row>
    <row r="691" spans="1:27" x14ac:dyDescent="0.25">
      <c r="A691" s="2" t="s">
        <v>18</v>
      </c>
      <c r="B691" s="2">
        <v>282</v>
      </c>
      <c r="C691" s="3">
        <f t="shared" si="165"/>
        <v>85.229976377952752</v>
      </c>
      <c r="D691" s="3">
        <f t="shared" si="166"/>
        <v>89.163283464566931</v>
      </c>
      <c r="E691" s="3">
        <f t="shared" si="167"/>
        <v>85.263283464566925</v>
      </c>
      <c r="F691" s="3">
        <f t="shared" si="168"/>
        <v>41.16</v>
      </c>
      <c r="G691" s="3">
        <f t="shared" si="169"/>
        <v>108.6</v>
      </c>
      <c r="H691" s="3">
        <f t="shared" si="170"/>
        <v>108.6</v>
      </c>
      <c r="I691" s="3"/>
      <c r="J691" s="3">
        <f t="shared" si="171"/>
        <v>81.363283464566919</v>
      </c>
      <c r="K691" s="3">
        <f t="shared" si="172"/>
        <v>89.163283464566931</v>
      </c>
      <c r="L691" s="34">
        <f t="shared" si="173"/>
        <v>85.263283464566925</v>
      </c>
      <c r="M691" s="3">
        <f t="shared" si="174"/>
        <v>-106.4</v>
      </c>
      <c r="N691" s="3">
        <f t="shared" si="175"/>
        <v>92.32</v>
      </c>
      <c r="O691" s="3"/>
      <c r="P691" s="3">
        <f t="shared" si="176"/>
        <v>94.610519685039364</v>
      </c>
      <c r="Q691" s="3">
        <f t="shared" si="177"/>
        <v>134.62776692913386</v>
      </c>
      <c r="R691" s="3">
        <f>vd(DataTable[[#This Row],[Sentido]],DataTable[[#This Row],[Valor]])</f>
        <v>104.83937007874016</v>
      </c>
      <c r="S691" s="3">
        <f>IF(DataTable[[#This Row],[Valor]]&gt;1,1,1)</f>
        <v>1</v>
      </c>
      <c r="T691" s="3">
        <f>IF(DataTable[[#This Row],[Valor]]&gt;1,1,1)</f>
        <v>1</v>
      </c>
      <c r="U691" s="3">
        <f>angr(DataTable[[#This Row],[Sentido]],DataTable[[#This Row],[Valor]])</f>
        <v>41.172440944881892</v>
      </c>
      <c r="V691" s="3">
        <f>ANGI(DataTable[[#This Row],[Sentido]],DataTable[[#This Row],[Valor]])</f>
        <v>41.582677165354333</v>
      </c>
      <c r="W691" s="3">
        <f t="shared" si="178"/>
        <v>3</v>
      </c>
      <c r="X691" s="3">
        <f>IF(DataTable[[#This Row],[Valor]]&gt;1,1,1)</f>
        <v>1</v>
      </c>
      <c r="Y691" s="3">
        <f t="shared" si="179"/>
        <v>3</v>
      </c>
      <c r="Z691" s="3">
        <f>IF(AND(DataTable[[#This Row],[Sentido]]="URUGUAI para BRASIL",DataTable[[#This Row],[Valor]]&gt;350),1,0)</f>
        <v>0</v>
      </c>
      <c r="AA691" s="3">
        <f>IF(DataTable[[#This Row],[Valor]]&gt;1,0,0)</f>
        <v>0</v>
      </c>
    </row>
    <row r="692" spans="1:27" x14ac:dyDescent="0.25">
      <c r="A692" s="2" t="s">
        <v>18</v>
      </c>
      <c r="B692" s="2">
        <v>283</v>
      </c>
      <c r="C692" s="3">
        <f t="shared" si="165"/>
        <v>85.302082677165359</v>
      </c>
      <c r="D692" s="3">
        <f t="shared" si="166"/>
        <v>89.235507874015752</v>
      </c>
      <c r="E692" s="3">
        <f t="shared" si="167"/>
        <v>85.335507874015747</v>
      </c>
      <c r="F692" s="3">
        <f t="shared" si="168"/>
        <v>41.04</v>
      </c>
      <c r="G692" s="3">
        <f t="shared" si="169"/>
        <v>108.4</v>
      </c>
      <c r="H692" s="3">
        <f t="shared" si="170"/>
        <v>108.4</v>
      </c>
      <c r="I692" s="3"/>
      <c r="J692" s="3">
        <f t="shared" si="171"/>
        <v>81.435507874015741</v>
      </c>
      <c r="K692" s="3">
        <f t="shared" si="172"/>
        <v>89.235507874015752</v>
      </c>
      <c r="L692" s="34">
        <f t="shared" si="173"/>
        <v>85.335507874015747</v>
      </c>
      <c r="M692" s="3">
        <f t="shared" si="174"/>
        <v>-106.6</v>
      </c>
      <c r="N692" s="3">
        <f t="shared" si="175"/>
        <v>92.08</v>
      </c>
      <c r="O692" s="3"/>
      <c r="P692" s="3">
        <f t="shared" si="176"/>
        <v>94.863181102362205</v>
      </c>
      <c r="Q692" s="3">
        <f t="shared" si="177"/>
        <v>134.73321574803148</v>
      </c>
      <c r="R692" s="3">
        <f>vd(DataTable[[#This Row],[Sentido]],DataTable[[#This Row],[Valor]])</f>
        <v>105.16220472440945</v>
      </c>
      <c r="S692" s="3">
        <f>IF(DataTable[[#This Row],[Valor]]&gt;1,1,1)</f>
        <v>1</v>
      </c>
      <c r="T692" s="3">
        <f>IF(DataTable[[#This Row],[Valor]]&gt;1,1,1)</f>
        <v>1</v>
      </c>
      <c r="U692" s="3">
        <f>angr(DataTable[[#This Row],[Sentido]],DataTable[[#This Row],[Valor]])</f>
        <v>41.046456692913381</v>
      </c>
      <c r="V692" s="3">
        <f>ANGI(DataTable[[#This Row],[Sentido]],DataTable[[#This Row],[Valor]])</f>
        <v>41.460629921259837</v>
      </c>
      <c r="W692" s="3">
        <f t="shared" si="178"/>
        <v>3</v>
      </c>
      <c r="X692" s="3">
        <f>IF(DataTable[[#This Row],[Valor]]&gt;1,1,1)</f>
        <v>1</v>
      </c>
      <c r="Y692" s="3">
        <f t="shared" si="179"/>
        <v>3</v>
      </c>
      <c r="Z692" s="3">
        <f>IF(AND(DataTable[[#This Row],[Sentido]]="URUGUAI para BRASIL",DataTable[[#This Row],[Valor]]&gt;350),1,0)</f>
        <v>0</v>
      </c>
      <c r="AA692" s="3">
        <f>IF(DataTable[[#This Row],[Valor]]&gt;1,0,0)</f>
        <v>0</v>
      </c>
    </row>
    <row r="693" spans="1:27" x14ac:dyDescent="0.25">
      <c r="A693" s="2" t="s">
        <v>18</v>
      </c>
      <c r="B693" s="2">
        <v>284</v>
      </c>
      <c r="C693" s="3">
        <f t="shared" si="165"/>
        <v>85.374188976377951</v>
      </c>
      <c r="D693" s="3">
        <f t="shared" si="166"/>
        <v>89.307732283464574</v>
      </c>
      <c r="E693" s="3">
        <f t="shared" si="167"/>
        <v>85.407732283464568</v>
      </c>
      <c r="F693" s="3">
        <f t="shared" si="168"/>
        <v>40.92</v>
      </c>
      <c r="G693" s="3">
        <f t="shared" si="169"/>
        <v>108.2</v>
      </c>
      <c r="H693" s="3">
        <f t="shared" si="170"/>
        <v>108.2</v>
      </c>
      <c r="I693" s="3"/>
      <c r="J693" s="3">
        <f t="shared" si="171"/>
        <v>81.507732283464563</v>
      </c>
      <c r="K693" s="3">
        <f t="shared" si="172"/>
        <v>89.307732283464574</v>
      </c>
      <c r="L693" s="34">
        <f t="shared" si="173"/>
        <v>85.407732283464568</v>
      </c>
      <c r="M693" s="3">
        <f t="shared" si="174"/>
        <v>-106.8</v>
      </c>
      <c r="N693" s="3">
        <f t="shared" si="175"/>
        <v>91.84</v>
      </c>
      <c r="O693" s="3"/>
      <c r="P693" s="3">
        <f t="shared" si="176"/>
        <v>95.115842519685046</v>
      </c>
      <c r="Q693" s="3">
        <f t="shared" si="177"/>
        <v>134.83866456692914</v>
      </c>
      <c r="R693" s="3">
        <f>vd(DataTable[[#This Row],[Sentido]],DataTable[[#This Row],[Valor]])</f>
        <v>105.48503937007874</v>
      </c>
      <c r="S693" s="3">
        <f>IF(DataTable[[#This Row],[Valor]]&gt;1,1,1)</f>
        <v>1</v>
      </c>
      <c r="T693" s="3">
        <f>IF(DataTable[[#This Row],[Valor]]&gt;1,1,1)</f>
        <v>1</v>
      </c>
      <c r="U693" s="3">
        <f>angr(DataTable[[#This Row],[Sentido]],DataTable[[#This Row],[Valor]])</f>
        <v>40.920472440944884</v>
      </c>
      <c r="V693" s="3">
        <f>ANGI(DataTable[[#This Row],[Sentido]],DataTable[[#This Row],[Valor]])</f>
        <v>41.338582677165356</v>
      </c>
      <c r="W693" s="3">
        <f t="shared" si="178"/>
        <v>3</v>
      </c>
      <c r="X693" s="3">
        <f>IF(DataTable[[#This Row],[Valor]]&gt;1,1,1)</f>
        <v>1</v>
      </c>
      <c r="Y693" s="3">
        <f t="shared" si="179"/>
        <v>3</v>
      </c>
      <c r="Z693" s="3">
        <f>IF(AND(DataTable[[#This Row],[Sentido]]="URUGUAI para BRASIL",DataTable[[#This Row],[Valor]]&gt;350),1,0)</f>
        <v>0</v>
      </c>
      <c r="AA693" s="3">
        <f>IF(DataTable[[#This Row],[Valor]]&gt;1,0,0)</f>
        <v>0</v>
      </c>
    </row>
    <row r="694" spans="1:27" x14ac:dyDescent="0.25">
      <c r="A694" s="2" t="s">
        <v>18</v>
      </c>
      <c r="B694" s="2">
        <v>285</v>
      </c>
      <c r="C694" s="3">
        <f t="shared" si="165"/>
        <v>85.446295275590558</v>
      </c>
      <c r="D694" s="3">
        <f t="shared" si="166"/>
        <v>89.379956692913396</v>
      </c>
      <c r="E694" s="3">
        <f t="shared" si="167"/>
        <v>85.47995669291339</v>
      </c>
      <c r="F694" s="3">
        <f t="shared" si="168"/>
        <v>40.799999999999997</v>
      </c>
      <c r="G694" s="3">
        <f t="shared" si="169"/>
        <v>108</v>
      </c>
      <c r="H694" s="3">
        <f t="shared" si="170"/>
        <v>108</v>
      </c>
      <c r="I694" s="3"/>
      <c r="J694" s="3">
        <f t="shared" si="171"/>
        <v>81.579956692913385</v>
      </c>
      <c r="K694" s="3">
        <f t="shared" si="172"/>
        <v>89.379956692913396</v>
      </c>
      <c r="L694" s="34">
        <f t="shared" si="173"/>
        <v>85.47995669291339</v>
      </c>
      <c r="M694" s="3">
        <f t="shared" si="174"/>
        <v>-107</v>
      </c>
      <c r="N694" s="3">
        <f t="shared" si="175"/>
        <v>91.6</v>
      </c>
      <c r="O694" s="3"/>
      <c r="P694" s="3">
        <f t="shared" si="176"/>
        <v>95.368503937007873</v>
      </c>
      <c r="Q694" s="3">
        <f t="shared" si="177"/>
        <v>134.94411338582677</v>
      </c>
      <c r="R694" s="3">
        <f>vd(DataTable[[#This Row],[Sentido]],DataTable[[#This Row],[Valor]])</f>
        <v>105.80787401574803</v>
      </c>
      <c r="S694" s="3">
        <f>IF(DataTable[[#This Row],[Valor]]&gt;1,1,1)</f>
        <v>1</v>
      </c>
      <c r="T694" s="3">
        <f>IF(DataTable[[#This Row],[Valor]]&gt;1,1,1)</f>
        <v>1</v>
      </c>
      <c r="U694" s="3">
        <f>angr(DataTable[[#This Row],[Sentido]],DataTable[[#This Row],[Valor]])</f>
        <v>40.794488188976381</v>
      </c>
      <c r="V694" s="3">
        <f>ANGI(DataTable[[#This Row],[Sentido]],DataTable[[#This Row],[Valor]])</f>
        <v>41.216535433070867</v>
      </c>
      <c r="W694" s="3">
        <f t="shared" si="178"/>
        <v>3</v>
      </c>
      <c r="X694" s="3">
        <f>IF(DataTable[[#This Row],[Valor]]&gt;1,1,1)</f>
        <v>1</v>
      </c>
      <c r="Y694" s="3">
        <f t="shared" si="179"/>
        <v>3</v>
      </c>
      <c r="Z694" s="3">
        <f>IF(AND(DataTable[[#This Row],[Sentido]]="URUGUAI para BRASIL",DataTable[[#This Row],[Valor]]&gt;350),1,0)</f>
        <v>0</v>
      </c>
      <c r="AA694" s="3">
        <f>IF(DataTable[[#This Row],[Valor]]&gt;1,0,0)</f>
        <v>0</v>
      </c>
    </row>
    <row r="695" spans="1:27" x14ac:dyDescent="0.25">
      <c r="A695" s="2" t="s">
        <v>18</v>
      </c>
      <c r="B695" s="2">
        <v>286</v>
      </c>
      <c r="C695" s="3">
        <f t="shared" si="165"/>
        <v>85.51840157480315</v>
      </c>
      <c r="D695" s="3">
        <f t="shared" si="166"/>
        <v>89.452181102362218</v>
      </c>
      <c r="E695" s="3">
        <f t="shared" si="167"/>
        <v>85.552181102362212</v>
      </c>
      <c r="F695" s="3">
        <f t="shared" si="168"/>
        <v>40.68</v>
      </c>
      <c r="G695" s="3">
        <f t="shared" si="169"/>
        <v>107.8</v>
      </c>
      <c r="H695" s="3">
        <f t="shared" si="170"/>
        <v>107.8</v>
      </c>
      <c r="I695" s="3"/>
      <c r="J695" s="3">
        <f t="shared" si="171"/>
        <v>81.652181102362206</v>
      </c>
      <c r="K695" s="3">
        <f t="shared" si="172"/>
        <v>89.452181102362218</v>
      </c>
      <c r="L695" s="34">
        <f t="shared" si="173"/>
        <v>85.552181102362212</v>
      </c>
      <c r="M695" s="3">
        <f t="shared" si="174"/>
        <v>-107.2</v>
      </c>
      <c r="N695" s="3">
        <f t="shared" si="175"/>
        <v>91.36</v>
      </c>
      <c r="O695" s="3"/>
      <c r="P695" s="3">
        <f t="shared" si="176"/>
        <v>95.621165354330714</v>
      </c>
      <c r="Q695" s="3">
        <f t="shared" si="177"/>
        <v>135.0495622047244</v>
      </c>
      <c r="R695" s="3">
        <f>vd(DataTable[[#This Row],[Sentido]],DataTable[[#This Row],[Valor]])</f>
        <v>106.13070866141733</v>
      </c>
      <c r="S695" s="3">
        <f>IF(DataTable[[#This Row],[Valor]]&gt;1,1,1)</f>
        <v>1</v>
      </c>
      <c r="T695" s="3">
        <f>IF(DataTable[[#This Row],[Valor]]&gt;1,1,1)</f>
        <v>1</v>
      </c>
      <c r="U695" s="3">
        <f>angr(DataTable[[#This Row],[Sentido]],DataTable[[#This Row],[Valor]])</f>
        <v>40.66850393700787</v>
      </c>
      <c r="V695" s="3">
        <f>ANGI(DataTable[[#This Row],[Sentido]],DataTable[[#This Row],[Valor]])</f>
        <v>41.094488188976378</v>
      </c>
      <c r="W695" s="3">
        <f t="shared" si="178"/>
        <v>3</v>
      </c>
      <c r="X695" s="3">
        <f>IF(DataTable[[#This Row],[Valor]]&gt;1,1,1)</f>
        <v>1</v>
      </c>
      <c r="Y695" s="3">
        <f t="shared" si="179"/>
        <v>3</v>
      </c>
      <c r="Z695" s="3">
        <f>IF(AND(DataTable[[#This Row],[Sentido]]="URUGUAI para BRASIL",DataTable[[#This Row],[Valor]]&gt;350),1,0)</f>
        <v>0</v>
      </c>
      <c r="AA695" s="3">
        <f>IF(DataTable[[#This Row],[Valor]]&gt;1,0,0)</f>
        <v>0</v>
      </c>
    </row>
    <row r="696" spans="1:27" x14ac:dyDescent="0.25">
      <c r="A696" s="2" t="s">
        <v>18</v>
      </c>
      <c r="B696" s="2">
        <v>287</v>
      </c>
      <c r="C696" s="3">
        <f t="shared" si="165"/>
        <v>85.590507874015756</v>
      </c>
      <c r="D696" s="3">
        <f t="shared" si="166"/>
        <v>89.524405511811025</v>
      </c>
      <c r="E696" s="3">
        <f t="shared" si="167"/>
        <v>85.62440551181102</v>
      </c>
      <c r="F696" s="3">
        <f t="shared" si="168"/>
        <v>40.56</v>
      </c>
      <c r="G696" s="3">
        <f t="shared" si="169"/>
        <v>107.6</v>
      </c>
      <c r="H696" s="3">
        <f t="shared" si="170"/>
        <v>107.6</v>
      </c>
      <c r="I696" s="3"/>
      <c r="J696" s="3">
        <f t="shared" si="171"/>
        <v>81.724405511811014</v>
      </c>
      <c r="K696" s="3">
        <f t="shared" si="172"/>
        <v>89.524405511811025</v>
      </c>
      <c r="L696" s="34">
        <f t="shared" si="173"/>
        <v>85.62440551181102</v>
      </c>
      <c r="M696" s="3">
        <f t="shared" si="174"/>
        <v>-107.4</v>
      </c>
      <c r="N696" s="3">
        <f t="shared" si="175"/>
        <v>91.12</v>
      </c>
      <c r="O696" s="3"/>
      <c r="P696" s="3">
        <f t="shared" si="176"/>
        <v>95.87382677165354</v>
      </c>
      <c r="Q696" s="3">
        <f t="shared" si="177"/>
        <v>135.15501102362205</v>
      </c>
      <c r="R696" s="3">
        <f>vd(DataTable[[#This Row],[Sentido]],DataTable[[#This Row],[Valor]])</f>
        <v>106.45354330708662</v>
      </c>
      <c r="S696" s="3">
        <f>IF(DataTable[[#This Row],[Valor]]&gt;1,1,1)</f>
        <v>1</v>
      </c>
      <c r="T696" s="3">
        <f>IF(DataTable[[#This Row],[Valor]]&gt;1,1,1)</f>
        <v>1</v>
      </c>
      <c r="U696" s="3">
        <f>angr(DataTable[[#This Row],[Sentido]],DataTable[[#This Row],[Valor]])</f>
        <v>40.542519685039366</v>
      </c>
      <c r="V696" s="3">
        <f>ANGI(DataTable[[#This Row],[Sentido]],DataTable[[#This Row],[Valor]])</f>
        <v>40.972440944881889</v>
      </c>
      <c r="W696" s="3">
        <f t="shared" si="178"/>
        <v>3</v>
      </c>
      <c r="X696" s="3">
        <f>IF(DataTable[[#This Row],[Valor]]&gt;1,1,1)</f>
        <v>1</v>
      </c>
      <c r="Y696" s="3">
        <f t="shared" si="179"/>
        <v>3</v>
      </c>
      <c r="Z696" s="3">
        <f>IF(AND(DataTable[[#This Row],[Sentido]]="URUGUAI para BRASIL",DataTable[[#This Row],[Valor]]&gt;350),1,0)</f>
        <v>0</v>
      </c>
      <c r="AA696" s="3">
        <f>IF(DataTable[[#This Row],[Valor]]&gt;1,0,0)</f>
        <v>0</v>
      </c>
    </row>
    <row r="697" spans="1:27" x14ac:dyDescent="0.25">
      <c r="A697" s="2" t="s">
        <v>18</v>
      </c>
      <c r="B697" s="2">
        <v>288</v>
      </c>
      <c r="C697" s="3">
        <f t="shared" si="165"/>
        <v>85.662614173228349</v>
      </c>
      <c r="D697" s="3">
        <f t="shared" si="166"/>
        <v>89.596629921259847</v>
      </c>
      <c r="E697" s="3">
        <f t="shared" si="167"/>
        <v>85.696629921259841</v>
      </c>
      <c r="F697" s="3">
        <f t="shared" si="168"/>
        <v>40.44</v>
      </c>
      <c r="G697" s="3">
        <f t="shared" si="169"/>
        <v>107.4</v>
      </c>
      <c r="H697" s="3">
        <f t="shared" si="170"/>
        <v>107.4</v>
      </c>
      <c r="I697" s="3"/>
      <c r="J697" s="3">
        <f t="shared" si="171"/>
        <v>81.796629921259836</v>
      </c>
      <c r="K697" s="3">
        <f t="shared" si="172"/>
        <v>89.596629921259847</v>
      </c>
      <c r="L697" s="34">
        <f t="shared" si="173"/>
        <v>85.696629921259841</v>
      </c>
      <c r="M697" s="3">
        <f t="shared" si="174"/>
        <v>-107.6</v>
      </c>
      <c r="N697" s="3">
        <f t="shared" si="175"/>
        <v>90.88</v>
      </c>
      <c r="O697" s="3"/>
      <c r="P697" s="3">
        <f t="shared" si="176"/>
        <v>96.126488188976367</v>
      </c>
      <c r="Q697" s="3">
        <f t="shared" si="177"/>
        <v>135.26045984251968</v>
      </c>
      <c r="R697" s="3">
        <f>vd(DataTable[[#This Row],[Sentido]],DataTable[[#This Row],[Valor]])</f>
        <v>106.77637795275591</v>
      </c>
      <c r="S697" s="3">
        <f>IF(DataTable[[#This Row],[Valor]]&gt;1,1,1)</f>
        <v>1</v>
      </c>
      <c r="T697" s="3">
        <f>IF(DataTable[[#This Row],[Valor]]&gt;1,1,1)</f>
        <v>1</v>
      </c>
      <c r="U697" s="3">
        <f>angr(DataTable[[#This Row],[Sentido]],DataTable[[#This Row],[Valor]])</f>
        <v>40.416535433070862</v>
      </c>
      <c r="V697" s="3">
        <f>ANGI(DataTable[[#This Row],[Sentido]],DataTable[[#This Row],[Valor]])</f>
        <v>40.8503937007874</v>
      </c>
      <c r="W697" s="3">
        <f t="shared" si="178"/>
        <v>3</v>
      </c>
      <c r="X697" s="3">
        <f>IF(DataTable[[#This Row],[Valor]]&gt;1,1,1)</f>
        <v>1</v>
      </c>
      <c r="Y697" s="3">
        <f t="shared" si="179"/>
        <v>3</v>
      </c>
      <c r="Z697" s="3">
        <f>IF(AND(DataTable[[#This Row],[Sentido]]="URUGUAI para BRASIL",DataTable[[#This Row],[Valor]]&gt;350),1,0)</f>
        <v>0</v>
      </c>
      <c r="AA697" s="3">
        <f>IF(DataTable[[#This Row],[Valor]]&gt;1,0,0)</f>
        <v>0</v>
      </c>
    </row>
    <row r="698" spans="1:27" x14ac:dyDescent="0.25">
      <c r="A698" s="2" t="s">
        <v>18</v>
      </c>
      <c r="B698" s="2">
        <v>289</v>
      </c>
      <c r="C698" s="3">
        <f t="shared" si="165"/>
        <v>85.734720472440941</v>
      </c>
      <c r="D698" s="3">
        <f t="shared" si="166"/>
        <v>89.668854330708669</v>
      </c>
      <c r="E698" s="3">
        <f t="shared" si="167"/>
        <v>85.768854330708663</v>
      </c>
      <c r="F698" s="3">
        <f t="shared" si="168"/>
        <v>40.32</v>
      </c>
      <c r="G698" s="3">
        <f t="shared" si="169"/>
        <v>107.2</v>
      </c>
      <c r="H698" s="3">
        <f t="shared" si="170"/>
        <v>107.2</v>
      </c>
      <c r="I698" s="3"/>
      <c r="J698" s="3">
        <f t="shared" si="171"/>
        <v>81.868854330708658</v>
      </c>
      <c r="K698" s="3">
        <f t="shared" si="172"/>
        <v>89.668854330708669</v>
      </c>
      <c r="L698" s="34">
        <f t="shared" si="173"/>
        <v>85.768854330708663</v>
      </c>
      <c r="M698" s="3">
        <f t="shared" si="174"/>
        <v>-107.8</v>
      </c>
      <c r="N698" s="3">
        <f t="shared" si="175"/>
        <v>90.64</v>
      </c>
      <c r="O698" s="3"/>
      <c r="P698" s="3">
        <f t="shared" si="176"/>
        <v>96.379149606299208</v>
      </c>
      <c r="Q698" s="3">
        <f t="shared" si="177"/>
        <v>135.36590866141734</v>
      </c>
      <c r="R698" s="3">
        <f>vd(DataTable[[#This Row],[Sentido]],DataTable[[#This Row],[Valor]])</f>
        <v>107.0992125984252</v>
      </c>
      <c r="S698" s="3">
        <f>IF(DataTable[[#This Row],[Valor]]&gt;1,1,1)</f>
        <v>1</v>
      </c>
      <c r="T698" s="3">
        <f>IF(DataTable[[#This Row],[Valor]]&gt;1,1,1)</f>
        <v>1</v>
      </c>
      <c r="U698" s="3">
        <f>angr(DataTable[[#This Row],[Sentido]],DataTable[[#This Row],[Valor]])</f>
        <v>40.290551181102366</v>
      </c>
      <c r="V698" s="3">
        <f>ANGI(DataTable[[#This Row],[Sentido]],DataTable[[#This Row],[Valor]])</f>
        <v>40.728346456692911</v>
      </c>
      <c r="W698" s="3">
        <f t="shared" si="178"/>
        <v>3</v>
      </c>
      <c r="X698" s="3">
        <f>IF(DataTable[[#This Row],[Valor]]&gt;1,1,1)</f>
        <v>1</v>
      </c>
      <c r="Y698" s="3">
        <f t="shared" si="179"/>
        <v>3</v>
      </c>
      <c r="Z698" s="3">
        <f>IF(AND(DataTable[[#This Row],[Sentido]]="URUGUAI para BRASIL",DataTable[[#This Row],[Valor]]&gt;350),1,0)</f>
        <v>0</v>
      </c>
      <c r="AA698" s="3">
        <f>IF(DataTable[[#This Row],[Valor]]&gt;1,0,0)</f>
        <v>0</v>
      </c>
    </row>
    <row r="699" spans="1:27" x14ac:dyDescent="0.25">
      <c r="A699" s="2" t="s">
        <v>18</v>
      </c>
      <c r="B699" s="2">
        <v>290</v>
      </c>
      <c r="C699" s="3">
        <f t="shared" si="165"/>
        <v>85.806826771653547</v>
      </c>
      <c r="D699" s="3">
        <f t="shared" si="166"/>
        <v>89.741078740157491</v>
      </c>
      <c r="E699" s="3">
        <f t="shared" si="167"/>
        <v>85.841078740157485</v>
      </c>
      <c r="F699" s="3">
        <f t="shared" si="168"/>
        <v>40.200000000000003</v>
      </c>
      <c r="G699" s="3">
        <f t="shared" si="169"/>
        <v>107</v>
      </c>
      <c r="H699" s="3">
        <f t="shared" si="170"/>
        <v>107</v>
      </c>
      <c r="I699" s="3"/>
      <c r="J699" s="3">
        <f t="shared" si="171"/>
        <v>81.941078740157479</v>
      </c>
      <c r="K699" s="3">
        <f t="shared" si="172"/>
        <v>89.741078740157491</v>
      </c>
      <c r="L699" s="34">
        <f t="shared" si="173"/>
        <v>85.841078740157485</v>
      </c>
      <c r="M699" s="3">
        <f t="shared" si="174"/>
        <v>-108</v>
      </c>
      <c r="N699" s="3">
        <f t="shared" si="175"/>
        <v>90.4</v>
      </c>
      <c r="O699" s="3"/>
      <c r="P699" s="3">
        <f t="shared" si="176"/>
        <v>96.631811023622049</v>
      </c>
      <c r="Q699" s="3">
        <f t="shared" si="177"/>
        <v>135.47135748031496</v>
      </c>
      <c r="R699" s="3">
        <f>vd(DataTable[[#This Row],[Sentido]],DataTable[[#This Row],[Valor]])</f>
        <v>107.42204724409449</v>
      </c>
      <c r="S699" s="3">
        <f>IF(DataTable[[#This Row],[Valor]]&gt;1,1,1)</f>
        <v>1</v>
      </c>
      <c r="T699" s="3">
        <f>IF(DataTable[[#This Row],[Valor]]&gt;1,1,1)</f>
        <v>1</v>
      </c>
      <c r="U699" s="3">
        <f>angr(DataTable[[#This Row],[Sentido]],DataTable[[#This Row],[Valor]])</f>
        <v>40.164566929133855</v>
      </c>
      <c r="V699" s="3">
        <f>ANGI(DataTable[[#This Row],[Sentido]],DataTable[[#This Row],[Valor]])</f>
        <v>40.606299212598422</v>
      </c>
      <c r="W699" s="3">
        <f t="shared" si="178"/>
        <v>3</v>
      </c>
      <c r="X699" s="3">
        <f>IF(DataTable[[#This Row],[Valor]]&gt;1,1,1)</f>
        <v>1</v>
      </c>
      <c r="Y699" s="3">
        <f t="shared" si="179"/>
        <v>3</v>
      </c>
      <c r="Z699" s="3">
        <f>IF(AND(DataTable[[#This Row],[Sentido]]="URUGUAI para BRASIL",DataTable[[#This Row],[Valor]]&gt;350),1,0)</f>
        <v>0</v>
      </c>
      <c r="AA699" s="3">
        <f>IF(DataTable[[#This Row],[Valor]]&gt;1,0,0)</f>
        <v>0</v>
      </c>
    </row>
    <row r="700" spans="1:27" x14ac:dyDescent="0.25">
      <c r="A700" s="2" t="s">
        <v>18</v>
      </c>
      <c r="B700" s="2">
        <v>291</v>
      </c>
      <c r="C700" s="3">
        <f t="shared" si="165"/>
        <v>85.87893307086614</v>
      </c>
      <c r="D700" s="3">
        <f t="shared" si="166"/>
        <v>89.813303149606313</v>
      </c>
      <c r="E700" s="3">
        <f t="shared" si="167"/>
        <v>85.913303149606307</v>
      </c>
      <c r="F700" s="3">
        <f t="shared" si="168"/>
        <v>40.08</v>
      </c>
      <c r="G700" s="3">
        <f t="shared" si="169"/>
        <v>106.8</v>
      </c>
      <c r="H700" s="3">
        <f t="shared" si="170"/>
        <v>106.8</v>
      </c>
      <c r="I700" s="3"/>
      <c r="J700" s="3">
        <f t="shared" si="171"/>
        <v>82.013303149606301</v>
      </c>
      <c r="K700" s="3">
        <f t="shared" si="172"/>
        <v>89.813303149606313</v>
      </c>
      <c r="L700" s="34">
        <f t="shared" si="173"/>
        <v>85.913303149606307</v>
      </c>
      <c r="M700" s="3">
        <f t="shared" si="174"/>
        <v>-108.2</v>
      </c>
      <c r="N700" s="3">
        <f t="shared" si="175"/>
        <v>90.16</v>
      </c>
      <c r="O700" s="3"/>
      <c r="P700" s="3">
        <f t="shared" si="176"/>
        <v>96.88447244094489</v>
      </c>
      <c r="Q700" s="3">
        <f t="shared" si="177"/>
        <v>135.57680629921259</v>
      </c>
      <c r="R700" s="3">
        <f>vd(DataTable[[#This Row],[Sentido]],DataTable[[#This Row],[Valor]])</f>
        <v>107.74488188976378</v>
      </c>
      <c r="S700" s="3">
        <f>IF(DataTable[[#This Row],[Valor]]&gt;1,1,1)</f>
        <v>1</v>
      </c>
      <c r="T700" s="3">
        <f>IF(DataTable[[#This Row],[Valor]]&gt;1,1,1)</f>
        <v>1</v>
      </c>
      <c r="U700" s="3">
        <f>angr(DataTable[[#This Row],[Sentido]],DataTable[[#This Row],[Valor]])</f>
        <v>40.038582677165351</v>
      </c>
      <c r="V700" s="3">
        <f>ANGI(DataTable[[#This Row],[Sentido]],DataTable[[#This Row],[Valor]])</f>
        <v>40.484251968503933</v>
      </c>
      <c r="W700" s="3">
        <f t="shared" si="178"/>
        <v>3</v>
      </c>
      <c r="X700" s="3">
        <f>IF(DataTable[[#This Row],[Valor]]&gt;1,1,1)</f>
        <v>1</v>
      </c>
      <c r="Y700" s="3">
        <f t="shared" si="179"/>
        <v>3</v>
      </c>
      <c r="Z700" s="3">
        <f>IF(AND(DataTable[[#This Row],[Sentido]]="URUGUAI para BRASIL",DataTable[[#This Row],[Valor]]&gt;350),1,0)</f>
        <v>0</v>
      </c>
      <c r="AA700" s="3">
        <f>IF(DataTable[[#This Row],[Valor]]&gt;1,0,0)</f>
        <v>0</v>
      </c>
    </row>
    <row r="701" spans="1:27" x14ac:dyDescent="0.25">
      <c r="A701" s="2" t="s">
        <v>18</v>
      </c>
      <c r="B701" s="2">
        <v>292</v>
      </c>
      <c r="C701" s="3">
        <f t="shared" si="165"/>
        <v>85.951039370078746</v>
      </c>
      <c r="D701" s="3">
        <f t="shared" si="166"/>
        <v>89.88552755905512</v>
      </c>
      <c r="E701" s="3">
        <f t="shared" si="167"/>
        <v>85.985527559055114</v>
      </c>
      <c r="F701" s="3">
        <f t="shared" si="168"/>
        <v>39.96</v>
      </c>
      <c r="G701" s="3">
        <f t="shared" si="169"/>
        <v>106.6</v>
      </c>
      <c r="H701" s="3">
        <f t="shared" si="170"/>
        <v>106.6</v>
      </c>
      <c r="I701" s="3"/>
      <c r="J701" s="3">
        <f t="shared" si="171"/>
        <v>82.085527559055109</v>
      </c>
      <c r="K701" s="3">
        <f t="shared" si="172"/>
        <v>89.88552755905512</v>
      </c>
      <c r="L701" s="34">
        <f t="shared" si="173"/>
        <v>85.985527559055114</v>
      </c>
      <c r="M701" s="3">
        <f t="shared" si="174"/>
        <v>-108.4</v>
      </c>
      <c r="N701" s="3">
        <f t="shared" si="175"/>
        <v>89.92</v>
      </c>
      <c r="O701" s="3"/>
      <c r="P701" s="3">
        <f t="shared" si="176"/>
        <v>97.137133858267717</v>
      </c>
      <c r="Q701" s="3">
        <f t="shared" si="177"/>
        <v>135.68225511811025</v>
      </c>
      <c r="R701" s="3">
        <f>vd(DataTable[[#This Row],[Sentido]],DataTable[[#This Row],[Valor]])</f>
        <v>108.06771653543306</v>
      </c>
      <c r="S701" s="3">
        <f>IF(DataTable[[#This Row],[Valor]]&gt;1,1,1)</f>
        <v>1</v>
      </c>
      <c r="T701" s="3">
        <f>IF(DataTable[[#This Row],[Valor]]&gt;1,1,1)</f>
        <v>1</v>
      </c>
      <c r="U701" s="3">
        <f>angr(DataTable[[#This Row],[Sentido]],DataTable[[#This Row],[Valor]])</f>
        <v>39.912598425196848</v>
      </c>
      <c r="V701" s="3">
        <f>ANGI(DataTable[[#This Row],[Sentido]],DataTable[[#This Row],[Valor]])</f>
        <v>40.362204724409452</v>
      </c>
      <c r="W701" s="3">
        <f t="shared" si="178"/>
        <v>3</v>
      </c>
      <c r="X701" s="3">
        <f>IF(DataTable[[#This Row],[Valor]]&gt;1,1,1)</f>
        <v>1</v>
      </c>
      <c r="Y701" s="3">
        <f t="shared" si="179"/>
        <v>3</v>
      </c>
      <c r="Z701" s="3">
        <f>IF(AND(DataTable[[#This Row],[Sentido]]="URUGUAI para BRASIL",DataTable[[#This Row],[Valor]]&gt;350),1,0)</f>
        <v>0</v>
      </c>
      <c r="AA701" s="3">
        <f>IF(DataTable[[#This Row],[Valor]]&gt;1,0,0)</f>
        <v>0</v>
      </c>
    </row>
    <row r="702" spans="1:27" x14ac:dyDescent="0.25">
      <c r="A702" s="2" t="s">
        <v>18</v>
      </c>
      <c r="B702" s="2">
        <v>293</v>
      </c>
      <c r="C702" s="3">
        <f t="shared" si="165"/>
        <v>86.023145669291338</v>
      </c>
      <c r="D702" s="3">
        <f t="shared" si="166"/>
        <v>89.957751968503942</v>
      </c>
      <c r="E702" s="3">
        <f t="shared" si="167"/>
        <v>86.057751968503936</v>
      </c>
      <c r="F702" s="3">
        <f t="shared" si="168"/>
        <v>39.840000000000003</v>
      </c>
      <c r="G702" s="3">
        <f t="shared" si="169"/>
        <v>106.4</v>
      </c>
      <c r="H702" s="3">
        <f t="shared" si="170"/>
        <v>106.4</v>
      </c>
      <c r="I702" s="3"/>
      <c r="J702" s="3">
        <f t="shared" si="171"/>
        <v>82.157751968503931</v>
      </c>
      <c r="K702" s="3">
        <f t="shared" si="172"/>
        <v>89.957751968503942</v>
      </c>
      <c r="L702" s="34">
        <f t="shared" si="173"/>
        <v>86.057751968503936</v>
      </c>
      <c r="M702" s="3">
        <f t="shared" si="174"/>
        <v>-108.6</v>
      </c>
      <c r="N702" s="3">
        <f t="shared" si="175"/>
        <v>89.68</v>
      </c>
      <c r="O702" s="3"/>
      <c r="P702" s="3">
        <f t="shared" si="176"/>
        <v>97.389795275590558</v>
      </c>
      <c r="Q702" s="3">
        <f t="shared" si="177"/>
        <v>135.78770393700788</v>
      </c>
      <c r="R702" s="3">
        <f>vd(DataTable[[#This Row],[Sentido]],DataTable[[#This Row],[Valor]])</f>
        <v>108.39055118110237</v>
      </c>
      <c r="S702" s="3">
        <f>IF(DataTable[[#This Row],[Valor]]&gt;1,1,1)</f>
        <v>1</v>
      </c>
      <c r="T702" s="3">
        <f>IF(DataTable[[#This Row],[Valor]]&gt;1,1,1)</f>
        <v>1</v>
      </c>
      <c r="U702" s="3">
        <f>angr(DataTable[[#This Row],[Sentido]],DataTable[[#This Row],[Valor]])</f>
        <v>39.786614173228344</v>
      </c>
      <c r="V702" s="3">
        <f>ANGI(DataTable[[#This Row],[Sentido]],DataTable[[#This Row],[Valor]])</f>
        <v>40.240157480314956</v>
      </c>
      <c r="W702" s="3">
        <f t="shared" si="178"/>
        <v>3</v>
      </c>
      <c r="X702" s="3">
        <f>IF(DataTable[[#This Row],[Valor]]&gt;1,1,1)</f>
        <v>1</v>
      </c>
      <c r="Y702" s="3">
        <f t="shared" si="179"/>
        <v>3</v>
      </c>
      <c r="Z702" s="3">
        <f>IF(AND(DataTable[[#This Row],[Sentido]]="URUGUAI para BRASIL",DataTable[[#This Row],[Valor]]&gt;350),1,0)</f>
        <v>0</v>
      </c>
      <c r="AA702" s="3">
        <f>IF(DataTable[[#This Row],[Valor]]&gt;1,0,0)</f>
        <v>0</v>
      </c>
    </row>
    <row r="703" spans="1:27" x14ac:dyDescent="0.25">
      <c r="A703" s="2" t="s">
        <v>18</v>
      </c>
      <c r="B703" s="2">
        <v>294</v>
      </c>
      <c r="C703" s="3">
        <f t="shared" si="165"/>
        <v>86.095251968503945</v>
      </c>
      <c r="D703" s="3">
        <f t="shared" si="166"/>
        <v>90.029976377952764</v>
      </c>
      <c r="E703" s="3">
        <f t="shared" si="167"/>
        <v>86.129976377952758</v>
      </c>
      <c r="F703" s="3">
        <f t="shared" si="168"/>
        <v>39.72</v>
      </c>
      <c r="G703" s="3">
        <f t="shared" si="169"/>
        <v>106.2</v>
      </c>
      <c r="H703" s="3">
        <f t="shared" si="170"/>
        <v>106.2</v>
      </c>
      <c r="I703" s="3"/>
      <c r="J703" s="3">
        <f t="shared" si="171"/>
        <v>82.229976377952752</v>
      </c>
      <c r="K703" s="3">
        <f t="shared" si="172"/>
        <v>90.029976377952764</v>
      </c>
      <c r="L703" s="34">
        <f t="shared" si="173"/>
        <v>86.129976377952758</v>
      </c>
      <c r="M703" s="3">
        <f t="shared" si="174"/>
        <v>-108.8</v>
      </c>
      <c r="N703" s="3">
        <f t="shared" si="175"/>
        <v>89.44</v>
      </c>
      <c r="O703" s="3"/>
      <c r="P703" s="3">
        <f t="shared" si="176"/>
        <v>97.642456692913385</v>
      </c>
      <c r="Q703" s="3">
        <f t="shared" si="177"/>
        <v>135.89315275590553</v>
      </c>
      <c r="R703" s="3">
        <f>vd(DataTable[[#This Row],[Sentido]],DataTable[[#This Row],[Valor]])</f>
        <v>108.71338582677166</v>
      </c>
      <c r="S703" s="3">
        <f>IF(DataTable[[#This Row],[Valor]]&gt;1,1,1)</f>
        <v>1</v>
      </c>
      <c r="T703" s="3">
        <f>IF(DataTable[[#This Row],[Valor]]&gt;1,1,1)</f>
        <v>1</v>
      </c>
      <c r="U703" s="3">
        <f>angr(DataTable[[#This Row],[Sentido]],DataTable[[#This Row],[Valor]])</f>
        <v>39.66062992125984</v>
      </c>
      <c r="V703" s="3">
        <f>ANGI(DataTable[[#This Row],[Sentido]],DataTable[[#This Row],[Valor]])</f>
        <v>40.118110236220467</v>
      </c>
      <c r="W703" s="3">
        <f t="shared" si="178"/>
        <v>3</v>
      </c>
      <c r="X703" s="3">
        <f>IF(DataTable[[#This Row],[Valor]]&gt;1,1,1)</f>
        <v>1</v>
      </c>
      <c r="Y703" s="3">
        <f t="shared" si="179"/>
        <v>3</v>
      </c>
      <c r="Z703" s="3">
        <f>IF(AND(DataTable[[#This Row],[Sentido]]="URUGUAI para BRASIL",DataTable[[#This Row],[Valor]]&gt;350),1,0)</f>
        <v>0</v>
      </c>
      <c r="AA703" s="3">
        <f>IF(DataTable[[#This Row],[Valor]]&gt;1,0,0)</f>
        <v>0</v>
      </c>
    </row>
    <row r="704" spans="1:27" x14ac:dyDescent="0.25">
      <c r="A704" s="2" t="s">
        <v>18</v>
      </c>
      <c r="B704" s="2">
        <v>295</v>
      </c>
      <c r="C704" s="3">
        <f t="shared" si="165"/>
        <v>86.167358267716537</v>
      </c>
      <c r="D704" s="3">
        <f t="shared" si="166"/>
        <v>90.102200787401586</v>
      </c>
      <c r="E704" s="3">
        <f t="shared" si="167"/>
        <v>86.20220078740158</v>
      </c>
      <c r="F704" s="3">
        <f t="shared" si="168"/>
        <v>39.6</v>
      </c>
      <c r="G704" s="3">
        <f t="shared" si="169"/>
        <v>106</v>
      </c>
      <c r="H704" s="3">
        <f t="shared" si="170"/>
        <v>106</v>
      </c>
      <c r="I704" s="3"/>
      <c r="J704" s="3">
        <f t="shared" si="171"/>
        <v>82.302200787401574</v>
      </c>
      <c r="K704" s="3">
        <f t="shared" si="172"/>
        <v>90.102200787401586</v>
      </c>
      <c r="L704" s="34">
        <f t="shared" si="173"/>
        <v>86.20220078740158</v>
      </c>
      <c r="M704" s="3">
        <f t="shared" si="174"/>
        <v>-109</v>
      </c>
      <c r="N704" s="3">
        <f t="shared" si="175"/>
        <v>89.2</v>
      </c>
      <c r="O704" s="3"/>
      <c r="P704" s="3">
        <f t="shared" si="176"/>
        <v>97.895118110236211</v>
      </c>
      <c r="Q704" s="3">
        <f t="shared" si="177"/>
        <v>135.99860157480316</v>
      </c>
      <c r="R704" s="3">
        <f>vd(DataTable[[#This Row],[Sentido]],DataTable[[#This Row],[Valor]])</f>
        <v>109.03622047244095</v>
      </c>
      <c r="S704" s="3">
        <f>IF(DataTable[[#This Row],[Valor]]&gt;1,1,1)</f>
        <v>1</v>
      </c>
      <c r="T704" s="3">
        <f>IF(DataTable[[#This Row],[Valor]]&gt;1,1,1)</f>
        <v>1</v>
      </c>
      <c r="U704" s="3">
        <f>angr(DataTable[[#This Row],[Sentido]],DataTable[[#This Row],[Valor]])</f>
        <v>39.534645669291336</v>
      </c>
      <c r="V704" s="3">
        <f>ANGI(DataTable[[#This Row],[Sentido]],DataTable[[#This Row],[Valor]])</f>
        <v>39.996062992125985</v>
      </c>
      <c r="W704" s="3">
        <f t="shared" si="178"/>
        <v>3</v>
      </c>
      <c r="X704" s="3">
        <f>IF(DataTable[[#This Row],[Valor]]&gt;1,1,1)</f>
        <v>1</v>
      </c>
      <c r="Y704" s="3">
        <f t="shared" si="179"/>
        <v>3</v>
      </c>
      <c r="Z704" s="3">
        <f>IF(AND(DataTable[[#This Row],[Sentido]]="URUGUAI para BRASIL",DataTable[[#This Row],[Valor]]&gt;350),1,0)</f>
        <v>0</v>
      </c>
      <c r="AA704" s="3">
        <f>IF(DataTable[[#This Row],[Valor]]&gt;1,0,0)</f>
        <v>0</v>
      </c>
    </row>
    <row r="705" spans="1:27" x14ac:dyDescent="0.25">
      <c r="A705" s="2" t="s">
        <v>18</v>
      </c>
      <c r="B705" s="2">
        <v>296</v>
      </c>
      <c r="C705" s="3">
        <f t="shared" si="165"/>
        <v>86.239464566929144</v>
      </c>
      <c r="D705" s="3">
        <f t="shared" si="166"/>
        <v>90.174425196850407</v>
      </c>
      <c r="E705" s="3">
        <f t="shared" si="167"/>
        <v>86.274425196850402</v>
      </c>
      <c r="F705" s="3">
        <f t="shared" si="168"/>
        <v>39.480000000000004</v>
      </c>
      <c r="G705" s="3">
        <f t="shared" si="169"/>
        <v>105.8</v>
      </c>
      <c r="H705" s="3">
        <f t="shared" si="170"/>
        <v>105.8</v>
      </c>
      <c r="I705" s="3"/>
      <c r="J705" s="3">
        <f t="shared" si="171"/>
        <v>82.374425196850396</v>
      </c>
      <c r="K705" s="3">
        <f t="shared" si="172"/>
        <v>90.174425196850407</v>
      </c>
      <c r="L705" s="34">
        <f t="shared" si="173"/>
        <v>86.274425196850402</v>
      </c>
      <c r="M705" s="3">
        <f t="shared" si="174"/>
        <v>-109.2</v>
      </c>
      <c r="N705" s="3">
        <f t="shared" si="175"/>
        <v>88.96</v>
      </c>
      <c r="O705" s="3"/>
      <c r="P705" s="3">
        <f t="shared" si="176"/>
        <v>98.147779527559052</v>
      </c>
      <c r="Q705" s="3">
        <f t="shared" si="177"/>
        <v>136.10405039370079</v>
      </c>
      <c r="R705" s="3">
        <f>vd(DataTable[[#This Row],[Sentido]],DataTable[[#This Row],[Valor]])</f>
        <v>109.35905511811025</v>
      </c>
      <c r="S705" s="3">
        <f>IF(DataTable[[#This Row],[Valor]]&gt;1,1,1)</f>
        <v>1</v>
      </c>
      <c r="T705" s="3">
        <f>IF(DataTable[[#This Row],[Valor]]&gt;1,1,1)</f>
        <v>1</v>
      </c>
      <c r="U705" s="3">
        <f>angr(DataTable[[#This Row],[Sentido]],DataTable[[#This Row],[Valor]])</f>
        <v>39.408661417322833</v>
      </c>
      <c r="V705" s="3">
        <f>ANGI(DataTable[[#This Row],[Sentido]],DataTable[[#This Row],[Valor]])</f>
        <v>39.874015748031489</v>
      </c>
      <c r="W705" s="3">
        <f t="shared" si="178"/>
        <v>3</v>
      </c>
      <c r="X705" s="3">
        <f>IF(DataTable[[#This Row],[Valor]]&gt;1,1,1)</f>
        <v>1</v>
      </c>
      <c r="Y705" s="3">
        <f t="shared" si="179"/>
        <v>3</v>
      </c>
      <c r="Z705" s="3">
        <f>IF(AND(DataTable[[#This Row],[Sentido]]="URUGUAI para BRASIL",DataTable[[#This Row],[Valor]]&gt;350),1,0)</f>
        <v>0</v>
      </c>
      <c r="AA705" s="3">
        <f>IF(DataTable[[#This Row],[Valor]]&gt;1,0,0)</f>
        <v>0</v>
      </c>
    </row>
    <row r="706" spans="1:27" x14ac:dyDescent="0.25">
      <c r="A706" s="2" t="s">
        <v>18</v>
      </c>
      <c r="B706" s="2">
        <v>297</v>
      </c>
      <c r="C706" s="3">
        <f t="shared" si="165"/>
        <v>86.311570866141736</v>
      </c>
      <c r="D706" s="3">
        <f t="shared" si="166"/>
        <v>90.246649606299215</v>
      </c>
      <c r="E706" s="3">
        <f t="shared" si="167"/>
        <v>86.346649606299209</v>
      </c>
      <c r="F706" s="3">
        <f t="shared" si="168"/>
        <v>39.36</v>
      </c>
      <c r="G706" s="3">
        <f t="shared" si="169"/>
        <v>105.6</v>
      </c>
      <c r="H706" s="3">
        <f t="shared" si="170"/>
        <v>105.6</v>
      </c>
      <c r="I706" s="3"/>
      <c r="J706" s="3">
        <f t="shared" si="171"/>
        <v>82.446649606299204</v>
      </c>
      <c r="K706" s="3">
        <f t="shared" si="172"/>
        <v>90.246649606299215</v>
      </c>
      <c r="L706" s="34">
        <f t="shared" si="173"/>
        <v>86.346649606299209</v>
      </c>
      <c r="M706" s="3">
        <f t="shared" si="174"/>
        <v>-109.4</v>
      </c>
      <c r="N706" s="3">
        <f t="shared" si="175"/>
        <v>88.72</v>
      </c>
      <c r="O706" s="3"/>
      <c r="P706" s="3">
        <f t="shared" si="176"/>
        <v>98.400440944881893</v>
      </c>
      <c r="Q706" s="3">
        <f t="shared" si="177"/>
        <v>136.20949921259844</v>
      </c>
      <c r="R706" s="3">
        <f>vd(DataTable[[#This Row],[Sentido]],DataTable[[#This Row],[Valor]])</f>
        <v>109.68188976377954</v>
      </c>
      <c r="S706" s="3">
        <f>IF(DataTable[[#This Row],[Valor]]&gt;1,1,1)</f>
        <v>1</v>
      </c>
      <c r="T706" s="3">
        <f>IF(DataTable[[#This Row],[Valor]]&gt;1,1,1)</f>
        <v>1</v>
      </c>
      <c r="U706" s="3">
        <f>angr(DataTable[[#This Row],[Sentido]],DataTable[[#This Row],[Valor]])</f>
        <v>39.282677165354329</v>
      </c>
      <c r="V706" s="3">
        <f>ANGI(DataTable[[#This Row],[Sentido]],DataTable[[#This Row],[Valor]])</f>
        <v>39.751968503937007</v>
      </c>
      <c r="W706" s="3">
        <f t="shared" si="178"/>
        <v>3</v>
      </c>
      <c r="X706" s="3">
        <f>IF(DataTable[[#This Row],[Valor]]&gt;1,1,1)</f>
        <v>1</v>
      </c>
      <c r="Y706" s="3">
        <f t="shared" si="179"/>
        <v>3</v>
      </c>
      <c r="Z706" s="3">
        <f>IF(AND(DataTable[[#This Row],[Sentido]]="URUGUAI para BRASIL",DataTable[[#This Row],[Valor]]&gt;350),1,0)</f>
        <v>0</v>
      </c>
      <c r="AA706" s="3">
        <f>IF(DataTable[[#This Row],[Valor]]&gt;1,0,0)</f>
        <v>0</v>
      </c>
    </row>
    <row r="707" spans="1:27" x14ac:dyDescent="0.25">
      <c r="A707" s="2" t="s">
        <v>18</v>
      </c>
      <c r="B707" s="2">
        <v>298</v>
      </c>
      <c r="C707" s="3">
        <f t="shared" si="165"/>
        <v>86.383677165354328</v>
      </c>
      <c r="D707" s="3">
        <f t="shared" si="166"/>
        <v>90.318874015748037</v>
      </c>
      <c r="E707" s="3">
        <f t="shared" si="167"/>
        <v>86.418874015748031</v>
      </c>
      <c r="F707" s="3">
        <f t="shared" si="168"/>
        <v>39.24</v>
      </c>
      <c r="G707" s="3">
        <f t="shared" si="169"/>
        <v>105.4</v>
      </c>
      <c r="H707" s="3">
        <f t="shared" si="170"/>
        <v>105.4</v>
      </c>
      <c r="I707" s="3"/>
      <c r="J707" s="3">
        <f t="shared" si="171"/>
        <v>82.518874015748025</v>
      </c>
      <c r="K707" s="3">
        <f t="shared" si="172"/>
        <v>90.318874015748037</v>
      </c>
      <c r="L707" s="34">
        <f t="shared" si="173"/>
        <v>86.418874015748031</v>
      </c>
      <c r="M707" s="3">
        <f t="shared" si="174"/>
        <v>-109.6</v>
      </c>
      <c r="N707" s="3">
        <f t="shared" si="175"/>
        <v>88.48</v>
      </c>
      <c r="O707" s="3"/>
      <c r="P707" s="3">
        <f t="shared" si="176"/>
        <v>98.65310236220472</v>
      </c>
      <c r="Q707" s="3">
        <f t="shared" si="177"/>
        <v>136.31494803149604</v>
      </c>
      <c r="R707" s="3">
        <f>vd(DataTable[[#This Row],[Sentido]],DataTable[[#This Row],[Valor]])</f>
        <v>110.00472440944881</v>
      </c>
      <c r="S707" s="3">
        <f>IF(DataTable[[#This Row],[Valor]]&gt;1,1,1)</f>
        <v>1</v>
      </c>
      <c r="T707" s="3">
        <f>IF(DataTable[[#This Row],[Valor]]&gt;1,1,1)</f>
        <v>1</v>
      </c>
      <c r="U707" s="3">
        <f>angr(DataTable[[#This Row],[Sentido]],DataTable[[#This Row],[Valor]])</f>
        <v>39.156692913385825</v>
      </c>
      <c r="V707" s="3">
        <f>ANGI(DataTable[[#This Row],[Sentido]],DataTable[[#This Row],[Valor]])</f>
        <v>39.629921259842519</v>
      </c>
      <c r="W707" s="3">
        <f t="shared" si="178"/>
        <v>3</v>
      </c>
      <c r="X707" s="3">
        <f>IF(DataTable[[#This Row],[Valor]]&gt;1,1,1)</f>
        <v>1</v>
      </c>
      <c r="Y707" s="3">
        <f t="shared" si="179"/>
        <v>3</v>
      </c>
      <c r="Z707" s="3">
        <f>IF(AND(DataTable[[#This Row],[Sentido]]="URUGUAI para BRASIL",DataTable[[#This Row],[Valor]]&gt;350),1,0)</f>
        <v>0</v>
      </c>
      <c r="AA707" s="3">
        <f>IF(DataTable[[#This Row],[Valor]]&gt;1,0,0)</f>
        <v>0</v>
      </c>
    </row>
    <row r="708" spans="1:27" x14ac:dyDescent="0.25">
      <c r="A708" s="2" t="s">
        <v>18</v>
      </c>
      <c r="B708" s="2">
        <v>299</v>
      </c>
      <c r="C708" s="3">
        <f t="shared" si="165"/>
        <v>86.455783464566935</v>
      </c>
      <c r="D708" s="3">
        <f t="shared" si="166"/>
        <v>90.391098425196859</v>
      </c>
      <c r="E708" s="3">
        <f t="shared" si="167"/>
        <v>86.491098425196853</v>
      </c>
      <c r="F708" s="3">
        <f t="shared" si="168"/>
        <v>39.120000000000005</v>
      </c>
      <c r="G708" s="3">
        <f t="shared" si="169"/>
        <v>105.2</v>
      </c>
      <c r="H708" s="3">
        <f t="shared" si="170"/>
        <v>105.2</v>
      </c>
      <c r="I708" s="3"/>
      <c r="J708" s="3">
        <f t="shared" si="171"/>
        <v>82.591098425196847</v>
      </c>
      <c r="K708" s="3">
        <f t="shared" si="172"/>
        <v>90.391098425196859</v>
      </c>
      <c r="L708" s="34">
        <f t="shared" si="173"/>
        <v>86.491098425196853</v>
      </c>
      <c r="M708" s="3">
        <f t="shared" si="174"/>
        <v>-109.8</v>
      </c>
      <c r="N708" s="3">
        <f t="shared" si="175"/>
        <v>88.24</v>
      </c>
      <c r="O708" s="3"/>
      <c r="P708" s="3">
        <f t="shared" si="176"/>
        <v>98.905763779527561</v>
      </c>
      <c r="Q708" s="3">
        <f t="shared" si="177"/>
        <v>136.4203968503937</v>
      </c>
      <c r="R708" s="3">
        <f>vd(DataTable[[#This Row],[Sentido]],DataTable[[#This Row],[Valor]])</f>
        <v>110.3275590551181</v>
      </c>
      <c r="S708" s="3">
        <f>IF(DataTable[[#This Row],[Valor]]&gt;1,1,1)</f>
        <v>1</v>
      </c>
      <c r="T708" s="3">
        <f>IF(DataTable[[#This Row],[Valor]]&gt;1,1,1)</f>
        <v>1</v>
      </c>
      <c r="U708" s="3">
        <f>angr(DataTable[[#This Row],[Sentido]],DataTable[[#This Row],[Valor]])</f>
        <v>39.030708661417322</v>
      </c>
      <c r="V708" s="3">
        <f>ANGI(DataTable[[#This Row],[Sentido]],DataTable[[#This Row],[Valor]])</f>
        <v>39.50787401574803</v>
      </c>
      <c r="W708" s="3">
        <f t="shared" si="178"/>
        <v>3</v>
      </c>
      <c r="X708" s="3">
        <f>IF(DataTable[[#This Row],[Valor]]&gt;1,1,1)</f>
        <v>1</v>
      </c>
      <c r="Y708" s="3">
        <f t="shared" si="179"/>
        <v>3</v>
      </c>
      <c r="Z708" s="3">
        <f>IF(AND(DataTable[[#This Row],[Sentido]]="URUGUAI para BRASIL",DataTable[[#This Row],[Valor]]&gt;350),1,0)</f>
        <v>0</v>
      </c>
      <c r="AA708" s="3">
        <f>IF(DataTable[[#This Row],[Valor]]&gt;1,0,0)</f>
        <v>0</v>
      </c>
    </row>
    <row r="709" spans="1:27" x14ac:dyDescent="0.25">
      <c r="A709" s="2" t="s">
        <v>18</v>
      </c>
      <c r="B709" s="2">
        <v>300</v>
      </c>
      <c r="C709" s="3">
        <f t="shared" ref="C709:C772" si="180">MiniVWVB(A709,B709,E709)</f>
        <v>86.527889763779527</v>
      </c>
      <c r="D709" s="3">
        <f t="shared" ref="D709:D772" si="181">MaxVWV(A709,B709)</f>
        <v>90.46332283464568</v>
      </c>
      <c r="E709" s="3">
        <f t="shared" ref="E709:E772" si="182">RatedVWV(B709)</f>
        <v>86.563322834645675</v>
      </c>
      <c r="F709" s="3">
        <f t="shared" ref="F709:F772" si="183">MinQB(A709,B709)</f>
        <v>39</v>
      </c>
      <c r="G709" s="3">
        <f t="shared" ref="G709:G772" si="184">MaxQB3F(A709,B709)</f>
        <v>105</v>
      </c>
      <c r="H709" s="3">
        <f t="shared" ref="H709:H772" si="185">MaxQB4F(A709,B709)</f>
        <v>105</v>
      </c>
      <c r="I709" s="3"/>
      <c r="J709" s="3">
        <f t="shared" ref="J709:J772" si="186">MiniVWVU(A709,B709,L709)</f>
        <v>82.663322834645669</v>
      </c>
      <c r="K709" s="3">
        <f t="shared" ref="K709:K772" si="187">MaxVWV(A709,B709)</f>
        <v>90.46332283464568</v>
      </c>
      <c r="L709" s="34">
        <f t="shared" ref="L709:L772" si="188">RatedVWV(B709)</f>
        <v>86.563322834645675</v>
      </c>
      <c r="M709" s="3">
        <f t="shared" ref="M709:M772" si="189">MinQU(A709,B709)</f>
        <v>-110</v>
      </c>
      <c r="N709" s="3">
        <f t="shared" ref="N709:N772" si="190">MaxQU(A709,B709)</f>
        <v>88</v>
      </c>
      <c r="O709" s="3"/>
      <c r="P709" s="3">
        <f t="shared" ref="P709:P772" si="191">MiniUpper(A709,B709)</f>
        <v>99.158425196850402</v>
      </c>
      <c r="Q709" s="3">
        <f t="shared" ref="Q709:Q772" si="192">MaxUpper(A709,B709)</f>
        <v>136.52584566929133</v>
      </c>
      <c r="R709" s="3">
        <f>vd(DataTable[[#This Row],[Sentido]],DataTable[[#This Row],[Valor]])</f>
        <v>110.6503937007874</v>
      </c>
      <c r="S709" s="3">
        <f>IF(DataTable[[#This Row],[Valor]]&gt;1,1,1)</f>
        <v>1</v>
      </c>
      <c r="T709" s="3">
        <f>IF(DataTable[[#This Row],[Valor]]&gt;1,1,1)</f>
        <v>1</v>
      </c>
      <c r="U709" s="3">
        <f>angr(DataTable[[#This Row],[Sentido]],DataTable[[#This Row],[Valor]])</f>
        <v>38.904724409448818</v>
      </c>
      <c r="V709" s="3">
        <f>ANGI(DataTable[[#This Row],[Sentido]],DataTable[[#This Row],[Valor]])</f>
        <v>39.385826771653541</v>
      </c>
      <c r="W709" s="3">
        <f t="shared" ref="W709:W772" si="193">IF(A710="URUGUAI para BRASIL",IF(B709&gt;119,IF(B709&gt;240,3,2),1),IF(B709&gt;120,IF(B709&gt;240,3,2),1))</f>
        <v>3</v>
      </c>
      <c r="X709" s="3">
        <f>IF(DataTable[[#This Row],[Valor]]&gt;1,1,1)</f>
        <v>1</v>
      </c>
      <c r="Y709" s="3">
        <f t="shared" ref="Y709:Y772" si="194">IF(A710="URUGUAI para BRASIL",IF(B709&gt;119,IF(B709&gt;240,3,2),1),IF(B709&gt;120,IF(B709&gt;240,3,2),1))</f>
        <v>3</v>
      </c>
      <c r="Z709" s="3">
        <f>IF(AND(DataTable[[#This Row],[Sentido]]="URUGUAI para BRASIL",DataTable[[#This Row],[Valor]]&gt;350),1,0)</f>
        <v>0</v>
      </c>
      <c r="AA709" s="3">
        <f>IF(DataTable[[#This Row],[Valor]]&gt;1,0,0)</f>
        <v>0</v>
      </c>
    </row>
    <row r="710" spans="1:27" x14ac:dyDescent="0.25">
      <c r="A710" s="2" t="s">
        <v>18</v>
      </c>
      <c r="B710" s="2">
        <v>301</v>
      </c>
      <c r="C710" s="3">
        <f t="shared" si="180"/>
        <v>86.599996062992133</v>
      </c>
      <c r="D710" s="3">
        <f t="shared" si="181"/>
        <v>89.235547244094477</v>
      </c>
      <c r="E710" s="3">
        <f t="shared" si="182"/>
        <v>86.635547244094482</v>
      </c>
      <c r="F710" s="3">
        <f t="shared" si="183"/>
        <v>38.879999999999995</v>
      </c>
      <c r="G710" s="3">
        <f t="shared" si="184"/>
        <v>104.8</v>
      </c>
      <c r="H710" s="3">
        <f t="shared" si="185"/>
        <v>104.8</v>
      </c>
      <c r="I710" s="3"/>
      <c r="J710" s="3">
        <f t="shared" si="186"/>
        <v>82.735547244094477</v>
      </c>
      <c r="K710" s="3">
        <f t="shared" si="187"/>
        <v>89.235547244094477</v>
      </c>
      <c r="L710" s="34">
        <f t="shared" si="188"/>
        <v>86.635547244094482</v>
      </c>
      <c r="M710" s="3">
        <f t="shared" si="189"/>
        <v>-110.2</v>
      </c>
      <c r="N710" s="3">
        <f t="shared" si="190"/>
        <v>87.76</v>
      </c>
      <c r="O710" s="3"/>
      <c r="P710" s="3">
        <f t="shared" si="191"/>
        <v>99.411086614173229</v>
      </c>
      <c r="Q710" s="3">
        <f t="shared" si="192"/>
        <v>136.63129448818898</v>
      </c>
      <c r="R710" s="3">
        <f>vd(DataTable[[#This Row],[Sentido]],DataTable[[#This Row],[Valor]])</f>
        <v>110.97322834645669</v>
      </c>
      <c r="S710" s="3">
        <f>IF(DataTable[[#This Row],[Valor]]&gt;1,1,1)</f>
        <v>1</v>
      </c>
      <c r="T710" s="3">
        <f>IF(DataTable[[#This Row],[Valor]]&gt;1,1,1)</f>
        <v>1</v>
      </c>
      <c r="U710" s="3">
        <f>angr(DataTable[[#This Row],[Sentido]],DataTable[[#This Row],[Valor]])</f>
        <v>38.778740157480314</v>
      </c>
      <c r="V710" s="3">
        <f>ANGI(DataTable[[#This Row],[Sentido]],DataTable[[#This Row],[Valor]])</f>
        <v>39.263779527559052</v>
      </c>
      <c r="W710" s="3">
        <f t="shared" si="193"/>
        <v>3</v>
      </c>
      <c r="X710" s="3">
        <f>IF(DataTable[[#This Row],[Valor]]&gt;1,1,1)</f>
        <v>1</v>
      </c>
      <c r="Y710" s="3">
        <f t="shared" si="194"/>
        <v>3</v>
      </c>
      <c r="Z710" s="3">
        <f>IF(AND(DataTable[[#This Row],[Sentido]]="URUGUAI para BRASIL",DataTable[[#This Row],[Valor]]&gt;350),1,0)</f>
        <v>0</v>
      </c>
      <c r="AA710" s="3">
        <f>IF(DataTable[[#This Row],[Valor]]&gt;1,0,0)</f>
        <v>0</v>
      </c>
    </row>
    <row r="711" spans="1:27" x14ac:dyDescent="0.25">
      <c r="A711" s="2" t="s">
        <v>18</v>
      </c>
      <c r="B711" s="2">
        <v>302</v>
      </c>
      <c r="C711" s="3">
        <f t="shared" si="180"/>
        <v>86.672102362204726</v>
      </c>
      <c r="D711" s="3">
        <f t="shared" si="181"/>
        <v>89.307771653543298</v>
      </c>
      <c r="E711" s="3">
        <f t="shared" si="182"/>
        <v>86.707771653543304</v>
      </c>
      <c r="F711" s="3">
        <f t="shared" si="183"/>
        <v>38.760000000000005</v>
      </c>
      <c r="G711" s="3">
        <f t="shared" si="184"/>
        <v>104.6</v>
      </c>
      <c r="H711" s="3">
        <f t="shared" si="185"/>
        <v>104.6</v>
      </c>
      <c r="I711" s="3"/>
      <c r="J711" s="3">
        <f t="shared" si="186"/>
        <v>82.807771653543298</v>
      </c>
      <c r="K711" s="3">
        <f t="shared" si="187"/>
        <v>89.307771653543298</v>
      </c>
      <c r="L711" s="34">
        <f t="shared" si="188"/>
        <v>86.707771653543304</v>
      </c>
      <c r="M711" s="3">
        <f t="shared" si="189"/>
        <v>-110.4</v>
      </c>
      <c r="N711" s="3">
        <f t="shared" si="190"/>
        <v>87.52</v>
      </c>
      <c r="O711" s="3"/>
      <c r="P711" s="3">
        <f t="shared" si="191"/>
        <v>99.663748031496056</v>
      </c>
      <c r="Q711" s="3">
        <f t="shared" si="192"/>
        <v>136.73674330708661</v>
      </c>
      <c r="R711" s="3">
        <f>vd(DataTable[[#This Row],[Sentido]],DataTable[[#This Row],[Valor]])</f>
        <v>111.29606299212598</v>
      </c>
      <c r="S711" s="3">
        <f>IF(DataTable[[#This Row],[Valor]]&gt;1,1,1)</f>
        <v>1</v>
      </c>
      <c r="T711" s="3">
        <f>IF(DataTable[[#This Row],[Valor]]&gt;1,1,1)</f>
        <v>1</v>
      </c>
      <c r="U711" s="3">
        <f>angr(DataTable[[#This Row],[Sentido]],DataTable[[#This Row],[Valor]])</f>
        <v>38.65275590551181</v>
      </c>
      <c r="V711" s="3">
        <f>ANGI(DataTable[[#This Row],[Sentido]],DataTable[[#This Row],[Valor]])</f>
        <v>39.141732283464563</v>
      </c>
      <c r="W711" s="3">
        <f t="shared" si="193"/>
        <v>3</v>
      </c>
      <c r="X711" s="3">
        <f>IF(DataTable[[#This Row],[Valor]]&gt;1,1,1)</f>
        <v>1</v>
      </c>
      <c r="Y711" s="3">
        <f t="shared" si="194"/>
        <v>3</v>
      </c>
      <c r="Z711" s="3">
        <f>IF(AND(DataTable[[#This Row],[Sentido]]="URUGUAI para BRASIL",DataTable[[#This Row],[Valor]]&gt;350),1,0)</f>
        <v>0</v>
      </c>
      <c r="AA711" s="3">
        <f>IF(DataTable[[#This Row],[Valor]]&gt;1,0,0)</f>
        <v>0</v>
      </c>
    </row>
    <row r="712" spans="1:27" x14ac:dyDescent="0.25">
      <c r="A712" s="2" t="s">
        <v>18</v>
      </c>
      <c r="B712" s="2">
        <v>303</v>
      </c>
      <c r="C712" s="3">
        <f t="shared" si="180"/>
        <v>86.744208661417332</v>
      </c>
      <c r="D712" s="3">
        <f t="shared" si="181"/>
        <v>89.37999606299212</v>
      </c>
      <c r="E712" s="3">
        <f t="shared" si="182"/>
        <v>86.779996062992126</v>
      </c>
      <c r="F712" s="3">
        <f t="shared" si="183"/>
        <v>38.64</v>
      </c>
      <c r="G712" s="3">
        <f t="shared" si="184"/>
        <v>104.4</v>
      </c>
      <c r="H712" s="3">
        <f t="shared" si="185"/>
        <v>104.4</v>
      </c>
      <c r="I712" s="3"/>
      <c r="J712" s="3">
        <f t="shared" si="186"/>
        <v>82.87999606299212</v>
      </c>
      <c r="K712" s="3">
        <f t="shared" si="187"/>
        <v>89.37999606299212</v>
      </c>
      <c r="L712" s="34">
        <f t="shared" si="188"/>
        <v>86.779996062992126</v>
      </c>
      <c r="M712" s="3">
        <f t="shared" si="189"/>
        <v>-110.6</v>
      </c>
      <c r="N712" s="3">
        <f t="shared" si="190"/>
        <v>87.28</v>
      </c>
      <c r="O712" s="3"/>
      <c r="P712" s="3">
        <f t="shared" si="191"/>
        <v>99.916409448818897</v>
      </c>
      <c r="Q712" s="3">
        <f t="shared" si="192"/>
        <v>136.84219212598424</v>
      </c>
      <c r="R712" s="3">
        <f>vd(DataTable[[#This Row],[Sentido]],DataTable[[#This Row],[Valor]])</f>
        <v>111.61889763779529</v>
      </c>
      <c r="S712" s="3">
        <f>IF(DataTable[[#This Row],[Valor]]&gt;1,1,1)</f>
        <v>1</v>
      </c>
      <c r="T712" s="3">
        <f>IF(DataTable[[#This Row],[Valor]]&gt;1,1,1)</f>
        <v>1</v>
      </c>
      <c r="U712" s="3">
        <f>angr(DataTable[[#This Row],[Sentido]],DataTable[[#This Row],[Valor]])</f>
        <v>38.526771653543307</v>
      </c>
      <c r="V712" s="3">
        <f>ANGI(DataTable[[#This Row],[Sentido]],DataTable[[#This Row],[Valor]])</f>
        <v>39.019685039370074</v>
      </c>
      <c r="W712" s="3">
        <f t="shared" si="193"/>
        <v>3</v>
      </c>
      <c r="X712" s="3">
        <f>IF(DataTable[[#This Row],[Valor]]&gt;1,1,1)</f>
        <v>1</v>
      </c>
      <c r="Y712" s="3">
        <f t="shared" si="194"/>
        <v>3</v>
      </c>
      <c r="Z712" s="3">
        <f>IF(AND(DataTable[[#This Row],[Sentido]]="URUGUAI para BRASIL",DataTable[[#This Row],[Valor]]&gt;350),1,0)</f>
        <v>0</v>
      </c>
      <c r="AA712" s="3">
        <f>IF(DataTable[[#This Row],[Valor]]&gt;1,0,0)</f>
        <v>0</v>
      </c>
    </row>
    <row r="713" spans="1:27" x14ac:dyDescent="0.25">
      <c r="A713" s="2" t="s">
        <v>18</v>
      </c>
      <c r="B713" s="2">
        <v>304</v>
      </c>
      <c r="C713" s="3">
        <f t="shared" si="180"/>
        <v>86.816314960629924</v>
      </c>
      <c r="D713" s="3">
        <f t="shared" si="181"/>
        <v>89.452220472440942</v>
      </c>
      <c r="E713" s="3">
        <f t="shared" si="182"/>
        <v>86.852220472440948</v>
      </c>
      <c r="F713" s="3">
        <f t="shared" si="183"/>
        <v>38.519999999999996</v>
      </c>
      <c r="G713" s="3">
        <f t="shared" si="184"/>
        <v>104.2</v>
      </c>
      <c r="H713" s="3">
        <f t="shared" si="185"/>
        <v>104.2</v>
      </c>
      <c r="I713" s="3"/>
      <c r="J713" s="3">
        <f t="shared" si="186"/>
        <v>82.952220472440942</v>
      </c>
      <c r="K713" s="3">
        <f t="shared" si="187"/>
        <v>89.452220472440942</v>
      </c>
      <c r="L713" s="34">
        <f t="shared" si="188"/>
        <v>86.852220472440948</v>
      </c>
      <c r="M713" s="3">
        <f t="shared" si="189"/>
        <v>-110.8</v>
      </c>
      <c r="N713" s="3">
        <f t="shared" si="190"/>
        <v>87.04</v>
      </c>
      <c r="O713" s="3"/>
      <c r="P713" s="3">
        <f t="shared" si="191"/>
        <v>100.16907086614174</v>
      </c>
      <c r="Q713" s="3">
        <f t="shared" si="192"/>
        <v>136.9476409448819</v>
      </c>
      <c r="R713" s="3">
        <f>vd(DataTable[[#This Row],[Sentido]],DataTable[[#This Row],[Valor]])</f>
        <v>111.94173228346457</v>
      </c>
      <c r="S713" s="3">
        <f>IF(DataTable[[#This Row],[Valor]]&gt;1,1,1)</f>
        <v>1</v>
      </c>
      <c r="T713" s="3">
        <f>IF(DataTable[[#This Row],[Valor]]&gt;1,1,1)</f>
        <v>1</v>
      </c>
      <c r="U713" s="3">
        <f>angr(DataTable[[#This Row],[Sentido]],DataTable[[#This Row],[Valor]])</f>
        <v>38.400787401574803</v>
      </c>
      <c r="V713" s="3">
        <f>ANGI(DataTable[[#This Row],[Sentido]],DataTable[[#This Row],[Valor]])</f>
        <v>38.897637795275585</v>
      </c>
      <c r="W713" s="3">
        <f t="shared" si="193"/>
        <v>3</v>
      </c>
      <c r="X713" s="3">
        <f>IF(DataTable[[#This Row],[Valor]]&gt;1,1,1)</f>
        <v>1</v>
      </c>
      <c r="Y713" s="3">
        <f t="shared" si="194"/>
        <v>3</v>
      </c>
      <c r="Z713" s="3">
        <f>IF(AND(DataTable[[#This Row],[Sentido]]="URUGUAI para BRASIL",DataTable[[#This Row],[Valor]]&gt;350),1,0)</f>
        <v>0</v>
      </c>
      <c r="AA713" s="3">
        <f>IF(DataTable[[#This Row],[Valor]]&gt;1,0,0)</f>
        <v>0</v>
      </c>
    </row>
    <row r="714" spans="1:27" x14ac:dyDescent="0.25">
      <c r="A714" s="2" t="s">
        <v>18</v>
      </c>
      <c r="B714" s="2">
        <v>305</v>
      </c>
      <c r="C714" s="3">
        <f t="shared" si="180"/>
        <v>86.888421259842517</v>
      </c>
      <c r="D714" s="3">
        <f t="shared" si="181"/>
        <v>89.524444881889764</v>
      </c>
      <c r="E714" s="3">
        <f t="shared" si="182"/>
        <v>86.924444881889769</v>
      </c>
      <c r="F714" s="3">
        <f t="shared" si="183"/>
        <v>38.4</v>
      </c>
      <c r="G714" s="3">
        <f t="shared" si="184"/>
        <v>104</v>
      </c>
      <c r="H714" s="3">
        <f t="shared" si="185"/>
        <v>104</v>
      </c>
      <c r="I714" s="3"/>
      <c r="J714" s="3">
        <f t="shared" si="186"/>
        <v>83.024444881889764</v>
      </c>
      <c r="K714" s="3">
        <f t="shared" si="187"/>
        <v>89.524444881889764</v>
      </c>
      <c r="L714" s="34">
        <f t="shared" si="188"/>
        <v>86.924444881889769</v>
      </c>
      <c r="M714" s="3">
        <f t="shared" si="189"/>
        <v>-111</v>
      </c>
      <c r="N714" s="3">
        <f t="shared" si="190"/>
        <v>86.8</v>
      </c>
      <c r="O714" s="3"/>
      <c r="P714" s="3">
        <f t="shared" si="191"/>
        <v>100.42173228346456</v>
      </c>
      <c r="Q714" s="3">
        <f t="shared" si="192"/>
        <v>137.05308976377952</v>
      </c>
      <c r="R714" s="3">
        <f>vd(DataTable[[#This Row],[Sentido]],DataTable[[#This Row],[Valor]])</f>
        <v>112.25905511811024</v>
      </c>
      <c r="S714" s="3">
        <f>IF(DataTable[[#This Row],[Valor]]&gt;1,1,1)</f>
        <v>1</v>
      </c>
      <c r="T714" s="3">
        <f>IF(DataTable[[#This Row],[Valor]]&gt;1,1,1)</f>
        <v>1</v>
      </c>
      <c r="U714" s="3">
        <f>angr(DataTable[[#This Row],[Sentido]],DataTable[[#This Row],[Valor]])</f>
        <v>38.277165354330705</v>
      </c>
      <c r="V714" s="3">
        <f>ANGI(DataTable[[#This Row],[Sentido]],DataTable[[#This Row],[Valor]])</f>
        <v>38.778740157480314</v>
      </c>
      <c r="W714" s="3">
        <f t="shared" si="193"/>
        <v>3</v>
      </c>
      <c r="X714" s="3">
        <f>IF(DataTable[[#This Row],[Valor]]&gt;1,1,1)</f>
        <v>1</v>
      </c>
      <c r="Y714" s="3">
        <f t="shared" si="194"/>
        <v>3</v>
      </c>
      <c r="Z714" s="3">
        <f>IF(AND(DataTable[[#This Row],[Sentido]]="URUGUAI para BRASIL",DataTable[[#This Row],[Valor]]&gt;350),1,0)</f>
        <v>0</v>
      </c>
      <c r="AA714" s="3">
        <f>IF(DataTable[[#This Row],[Valor]]&gt;1,0,0)</f>
        <v>0</v>
      </c>
    </row>
    <row r="715" spans="1:27" x14ac:dyDescent="0.25">
      <c r="A715" s="2" t="s">
        <v>18</v>
      </c>
      <c r="B715" s="2">
        <v>306</v>
      </c>
      <c r="C715" s="3">
        <f t="shared" si="180"/>
        <v>86.960527559055123</v>
      </c>
      <c r="D715" s="3">
        <f t="shared" si="181"/>
        <v>89.596669291338586</v>
      </c>
      <c r="E715" s="3">
        <f t="shared" si="182"/>
        <v>86.996669291338591</v>
      </c>
      <c r="F715" s="3">
        <f t="shared" si="183"/>
        <v>38.28</v>
      </c>
      <c r="G715" s="3">
        <f t="shared" si="184"/>
        <v>103.8</v>
      </c>
      <c r="H715" s="3">
        <f t="shared" si="185"/>
        <v>103.8</v>
      </c>
      <c r="I715" s="3"/>
      <c r="J715" s="3">
        <f t="shared" si="186"/>
        <v>83.096669291338586</v>
      </c>
      <c r="K715" s="3">
        <f t="shared" si="187"/>
        <v>89.596669291338586</v>
      </c>
      <c r="L715" s="34">
        <f t="shared" si="188"/>
        <v>86.996669291338591</v>
      </c>
      <c r="M715" s="3">
        <f t="shared" si="189"/>
        <v>-111.2</v>
      </c>
      <c r="N715" s="3">
        <f t="shared" si="190"/>
        <v>86.56</v>
      </c>
      <c r="O715" s="3"/>
      <c r="P715" s="3">
        <f t="shared" si="191"/>
        <v>100.67439370078741</v>
      </c>
      <c r="Q715" s="3">
        <f t="shared" si="192"/>
        <v>137.15853858267718</v>
      </c>
      <c r="R715" s="3">
        <f>vd(DataTable[[#This Row],[Sentido]],DataTable[[#This Row],[Valor]])</f>
        <v>112.55433070866142</v>
      </c>
      <c r="S715" s="3">
        <f>IF(DataTable[[#This Row],[Valor]]&gt;1,1,1)</f>
        <v>1</v>
      </c>
      <c r="T715" s="3">
        <f>IF(DataTable[[#This Row],[Valor]]&gt;1,1,1)</f>
        <v>1</v>
      </c>
      <c r="U715" s="3">
        <f>angr(DataTable[[#This Row],[Sentido]],DataTable[[#This Row],[Valor]])</f>
        <v>38.162992125984246</v>
      </c>
      <c r="V715" s="3">
        <f>ANGI(DataTable[[#This Row],[Sentido]],DataTable[[#This Row],[Valor]])</f>
        <v>38.672440944881885</v>
      </c>
      <c r="W715" s="3">
        <f t="shared" si="193"/>
        <v>3</v>
      </c>
      <c r="X715" s="3">
        <f>IF(DataTable[[#This Row],[Valor]]&gt;1,1,1)</f>
        <v>1</v>
      </c>
      <c r="Y715" s="3">
        <f t="shared" si="194"/>
        <v>3</v>
      </c>
      <c r="Z715" s="3">
        <f>IF(AND(DataTable[[#This Row],[Sentido]]="URUGUAI para BRASIL",DataTable[[#This Row],[Valor]]&gt;350),1,0)</f>
        <v>0</v>
      </c>
      <c r="AA715" s="3">
        <f>IF(DataTable[[#This Row],[Valor]]&gt;1,0,0)</f>
        <v>0</v>
      </c>
    </row>
    <row r="716" spans="1:27" x14ac:dyDescent="0.25">
      <c r="A716" s="2" t="s">
        <v>18</v>
      </c>
      <c r="B716" s="2">
        <v>307</v>
      </c>
      <c r="C716" s="3">
        <f t="shared" si="180"/>
        <v>87.032633858267715</v>
      </c>
      <c r="D716" s="3">
        <f t="shared" si="181"/>
        <v>89.668893700787393</v>
      </c>
      <c r="E716" s="3">
        <f t="shared" si="182"/>
        <v>87.068893700787399</v>
      </c>
      <c r="F716" s="3">
        <f t="shared" si="183"/>
        <v>38.159999999999997</v>
      </c>
      <c r="G716" s="3">
        <f t="shared" si="184"/>
        <v>103.6</v>
      </c>
      <c r="H716" s="3">
        <f t="shared" si="185"/>
        <v>103.6</v>
      </c>
      <c r="I716" s="3"/>
      <c r="J716" s="3">
        <f t="shared" si="186"/>
        <v>83.168893700787393</v>
      </c>
      <c r="K716" s="3">
        <f t="shared" si="187"/>
        <v>89.668893700787393</v>
      </c>
      <c r="L716" s="34">
        <f t="shared" si="188"/>
        <v>87.068893700787399</v>
      </c>
      <c r="M716" s="3">
        <f t="shared" si="189"/>
        <v>-111.4</v>
      </c>
      <c r="N716" s="3">
        <f t="shared" si="190"/>
        <v>86.320000000000007</v>
      </c>
      <c r="O716" s="3"/>
      <c r="P716" s="3">
        <f t="shared" si="191"/>
        <v>100.92705511811025</v>
      </c>
      <c r="Q716" s="3">
        <f t="shared" si="192"/>
        <v>137.26398740157481</v>
      </c>
      <c r="R716" s="3">
        <f>vd(DataTable[[#This Row],[Sentido]],DataTable[[#This Row],[Valor]])</f>
        <v>112.84960629921261</v>
      </c>
      <c r="S716" s="3">
        <f>IF(DataTable[[#This Row],[Valor]]&gt;1,1,1)</f>
        <v>1</v>
      </c>
      <c r="T716" s="3">
        <f>IF(DataTable[[#This Row],[Valor]]&gt;1,1,1)</f>
        <v>1</v>
      </c>
      <c r="U716" s="3">
        <f>angr(DataTable[[#This Row],[Sentido]],DataTable[[#This Row],[Valor]])</f>
        <v>38.048818897637794</v>
      </c>
      <c r="V716" s="3">
        <f>ANGI(DataTable[[#This Row],[Sentido]],DataTable[[#This Row],[Valor]])</f>
        <v>38.566141732283462</v>
      </c>
      <c r="W716" s="3">
        <f t="shared" si="193"/>
        <v>3</v>
      </c>
      <c r="X716" s="3">
        <f>IF(DataTable[[#This Row],[Valor]]&gt;1,1,1)</f>
        <v>1</v>
      </c>
      <c r="Y716" s="3">
        <f t="shared" si="194"/>
        <v>3</v>
      </c>
      <c r="Z716" s="3">
        <f>IF(AND(DataTable[[#This Row],[Sentido]]="URUGUAI para BRASIL",DataTable[[#This Row],[Valor]]&gt;350),1,0)</f>
        <v>0</v>
      </c>
      <c r="AA716" s="3">
        <f>IF(DataTable[[#This Row],[Valor]]&gt;1,0,0)</f>
        <v>0</v>
      </c>
    </row>
    <row r="717" spans="1:27" x14ac:dyDescent="0.25">
      <c r="A717" s="2" t="s">
        <v>18</v>
      </c>
      <c r="B717" s="2">
        <v>308</v>
      </c>
      <c r="C717" s="3">
        <f t="shared" si="180"/>
        <v>87.104740157480322</v>
      </c>
      <c r="D717" s="3">
        <f t="shared" si="181"/>
        <v>89.741118110236215</v>
      </c>
      <c r="E717" s="3">
        <f t="shared" si="182"/>
        <v>87.141118110236221</v>
      </c>
      <c r="F717" s="3">
        <f t="shared" si="183"/>
        <v>38.04</v>
      </c>
      <c r="G717" s="3">
        <f t="shared" si="184"/>
        <v>103.4</v>
      </c>
      <c r="H717" s="3">
        <f t="shared" si="185"/>
        <v>103.4</v>
      </c>
      <c r="I717" s="3"/>
      <c r="J717" s="3">
        <f t="shared" si="186"/>
        <v>83.241118110236215</v>
      </c>
      <c r="K717" s="3">
        <f t="shared" si="187"/>
        <v>89.741118110236215</v>
      </c>
      <c r="L717" s="34">
        <f t="shared" si="188"/>
        <v>87.141118110236221</v>
      </c>
      <c r="M717" s="3">
        <f t="shared" si="189"/>
        <v>-111.6</v>
      </c>
      <c r="N717" s="3">
        <f t="shared" si="190"/>
        <v>86.08</v>
      </c>
      <c r="O717" s="3"/>
      <c r="P717" s="3">
        <f t="shared" si="191"/>
        <v>101.17971653543307</v>
      </c>
      <c r="Q717" s="3">
        <f t="shared" si="192"/>
        <v>137.36943622047244</v>
      </c>
      <c r="R717" s="3">
        <f>vd(DataTable[[#This Row],[Sentido]],DataTable[[#This Row],[Valor]])</f>
        <v>113.14488188976378</v>
      </c>
      <c r="S717" s="3">
        <f>IF(DataTable[[#This Row],[Valor]]&gt;1,1,1)</f>
        <v>1</v>
      </c>
      <c r="T717" s="3">
        <f>IF(DataTable[[#This Row],[Valor]]&gt;1,1,1)</f>
        <v>1</v>
      </c>
      <c r="U717" s="3">
        <f>angr(DataTable[[#This Row],[Sentido]],DataTable[[#This Row],[Valor]])</f>
        <v>37.934645669291335</v>
      </c>
      <c r="V717" s="3">
        <f>ANGI(DataTable[[#This Row],[Sentido]],DataTable[[#This Row],[Valor]])</f>
        <v>38.45984251968504</v>
      </c>
      <c r="W717" s="3">
        <f t="shared" si="193"/>
        <v>3</v>
      </c>
      <c r="X717" s="3">
        <f>IF(DataTable[[#This Row],[Valor]]&gt;1,1,1)</f>
        <v>1</v>
      </c>
      <c r="Y717" s="3">
        <f t="shared" si="194"/>
        <v>3</v>
      </c>
      <c r="Z717" s="3">
        <f>IF(AND(DataTable[[#This Row],[Sentido]]="URUGUAI para BRASIL",DataTable[[#This Row],[Valor]]&gt;350),1,0)</f>
        <v>0</v>
      </c>
      <c r="AA717" s="3">
        <f>IF(DataTable[[#This Row],[Valor]]&gt;1,0,0)</f>
        <v>0</v>
      </c>
    </row>
    <row r="718" spans="1:27" x14ac:dyDescent="0.25">
      <c r="A718" s="2" t="s">
        <v>18</v>
      </c>
      <c r="B718" s="2">
        <v>309</v>
      </c>
      <c r="C718" s="3">
        <f t="shared" si="180"/>
        <v>87.176846456692914</v>
      </c>
      <c r="D718" s="3">
        <f t="shared" si="181"/>
        <v>89.813342519685037</v>
      </c>
      <c r="E718" s="3">
        <f t="shared" si="182"/>
        <v>87.213342519685042</v>
      </c>
      <c r="F718" s="3">
        <f t="shared" si="183"/>
        <v>37.92</v>
      </c>
      <c r="G718" s="3">
        <f t="shared" si="184"/>
        <v>103.2</v>
      </c>
      <c r="H718" s="3">
        <f t="shared" si="185"/>
        <v>103.2</v>
      </c>
      <c r="I718" s="3"/>
      <c r="J718" s="3">
        <f t="shared" si="186"/>
        <v>83.313342519685037</v>
      </c>
      <c r="K718" s="3">
        <f t="shared" si="187"/>
        <v>89.813342519685037</v>
      </c>
      <c r="L718" s="34">
        <f t="shared" si="188"/>
        <v>87.213342519685042</v>
      </c>
      <c r="M718" s="3">
        <f t="shared" si="189"/>
        <v>-111.8</v>
      </c>
      <c r="N718" s="3">
        <f t="shared" si="190"/>
        <v>85.84</v>
      </c>
      <c r="O718" s="3"/>
      <c r="P718" s="3">
        <f t="shared" si="191"/>
        <v>101.4323779527559</v>
      </c>
      <c r="Q718" s="3">
        <f t="shared" si="192"/>
        <v>137.47488503937009</v>
      </c>
      <c r="R718" s="3">
        <f>vd(DataTable[[#This Row],[Sentido]],DataTable[[#This Row],[Valor]])</f>
        <v>113.44015748031495</v>
      </c>
      <c r="S718" s="3">
        <f>IF(DataTable[[#This Row],[Valor]]&gt;1,1,1)</f>
        <v>1</v>
      </c>
      <c r="T718" s="3">
        <f>IF(DataTable[[#This Row],[Valor]]&gt;1,1,1)</f>
        <v>1</v>
      </c>
      <c r="U718" s="3">
        <f>angr(DataTable[[#This Row],[Sentido]],DataTable[[#This Row],[Valor]])</f>
        <v>37.820472440944883</v>
      </c>
      <c r="V718" s="3">
        <f>ANGI(DataTable[[#This Row],[Sentido]],DataTable[[#This Row],[Valor]])</f>
        <v>38.353543307086611</v>
      </c>
      <c r="W718" s="3">
        <f t="shared" si="193"/>
        <v>3</v>
      </c>
      <c r="X718" s="3">
        <f>IF(DataTable[[#This Row],[Valor]]&gt;1,1,1)</f>
        <v>1</v>
      </c>
      <c r="Y718" s="3">
        <f t="shared" si="194"/>
        <v>3</v>
      </c>
      <c r="Z718" s="3">
        <f>IF(AND(DataTable[[#This Row],[Sentido]]="URUGUAI para BRASIL",DataTable[[#This Row],[Valor]]&gt;350),1,0)</f>
        <v>0</v>
      </c>
      <c r="AA718" s="3">
        <f>IF(DataTable[[#This Row],[Valor]]&gt;1,0,0)</f>
        <v>0</v>
      </c>
    </row>
    <row r="719" spans="1:27" x14ac:dyDescent="0.25">
      <c r="A719" s="2" t="s">
        <v>18</v>
      </c>
      <c r="B719" s="2">
        <v>310</v>
      </c>
      <c r="C719" s="3">
        <f t="shared" si="180"/>
        <v>87.24895275590552</v>
      </c>
      <c r="D719" s="3">
        <f t="shared" si="181"/>
        <v>89.885566929133859</v>
      </c>
      <c r="E719" s="3">
        <f t="shared" si="182"/>
        <v>87.285566929133864</v>
      </c>
      <c r="F719" s="3">
        <f t="shared" si="183"/>
        <v>37.799999999999997</v>
      </c>
      <c r="G719" s="3">
        <f t="shared" si="184"/>
        <v>103</v>
      </c>
      <c r="H719" s="3">
        <f t="shared" si="185"/>
        <v>103</v>
      </c>
      <c r="I719" s="3"/>
      <c r="J719" s="3">
        <f t="shared" si="186"/>
        <v>83.385566929133859</v>
      </c>
      <c r="K719" s="3">
        <f t="shared" si="187"/>
        <v>89.885566929133859</v>
      </c>
      <c r="L719" s="34">
        <f t="shared" si="188"/>
        <v>87.285566929133864</v>
      </c>
      <c r="M719" s="3">
        <f t="shared" si="189"/>
        <v>-112</v>
      </c>
      <c r="N719" s="3">
        <f t="shared" si="190"/>
        <v>85.6</v>
      </c>
      <c r="O719" s="3"/>
      <c r="P719" s="3">
        <f t="shared" si="191"/>
        <v>101.68503937007874</v>
      </c>
      <c r="Q719" s="3">
        <f t="shared" si="192"/>
        <v>137.58033385826772</v>
      </c>
      <c r="R719" s="3">
        <f>vd(DataTable[[#This Row],[Sentido]],DataTable[[#This Row],[Valor]])</f>
        <v>113.73543307086615</v>
      </c>
      <c r="S719" s="3">
        <f>IF(DataTable[[#This Row],[Valor]]&gt;1,1,1)</f>
        <v>1</v>
      </c>
      <c r="T719" s="3">
        <f>IF(DataTable[[#This Row],[Valor]]&gt;1,1,1)</f>
        <v>1</v>
      </c>
      <c r="U719" s="3">
        <f>angr(DataTable[[#This Row],[Sentido]],DataTable[[#This Row],[Valor]])</f>
        <v>37.706299212598424</v>
      </c>
      <c r="V719" s="3">
        <f>ANGI(DataTable[[#This Row],[Sentido]],DataTable[[#This Row],[Valor]])</f>
        <v>38.247244094488188</v>
      </c>
      <c r="W719" s="3">
        <f t="shared" si="193"/>
        <v>3</v>
      </c>
      <c r="X719" s="3">
        <f>IF(DataTable[[#This Row],[Valor]]&gt;1,1,1)</f>
        <v>1</v>
      </c>
      <c r="Y719" s="3">
        <f t="shared" si="194"/>
        <v>3</v>
      </c>
      <c r="Z719" s="3">
        <f>IF(AND(DataTable[[#This Row],[Sentido]]="URUGUAI para BRASIL",DataTable[[#This Row],[Valor]]&gt;350),1,0)</f>
        <v>0</v>
      </c>
      <c r="AA719" s="3">
        <f>IF(DataTable[[#This Row],[Valor]]&gt;1,0,0)</f>
        <v>0</v>
      </c>
    </row>
    <row r="720" spans="1:27" x14ac:dyDescent="0.25">
      <c r="A720" s="2" t="s">
        <v>18</v>
      </c>
      <c r="B720" s="2">
        <v>311</v>
      </c>
      <c r="C720" s="3">
        <f t="shared" si="180"/>
        <v>87.321059055118113</v>
      </c>
      <c r="D720" s="3">
        <f t="shared" si="181"/>
        <v>89.957791338582666</v>
      </c>
      <c r="E720" s="3">
        <f t="shared" si="182"/>
        <v>87.357791338582672</v>
      </c>
      <c r="F720" s="3">
        <f t="shared" si="183"/>
        <v>37.68</v>
      </c>
      <c r="G720" s="3">
        <f t="shared" si="184"/>
        <v>102.8</v>
      </c>
      <c r="H720" s="3">
        <f t="shared" si="185"/>
        <v>102.8</v>
      </c>
      <c r="I720" s="3"/>
      <c r="J720" s="3">
        <f t="shared" si="186"/>
        <v>83.457791338582666</v>
      </c>
      <c r="K720" s="3">
        <f t="shared" si="187"/>
        <v>89.957791338582666</v>
      </c>
      <c r="L720" s="34">
        <f t="shared" si="188"/>
        <v>87.357791338582672</v>
      </c>
      <c r="M720" s="3">
        <f t="shared" si="189"/>
        <v>-112.2</v>
      </c>
      <c r="N720" s="3">
        <f t="shared" si="190"/>
        <v>85.36</v>
      </c>
      <c r="O720" s="3"/>
      <c r="P720" s="3">
        <f t="shared" si="191"/>
        <v>101.93770078740158</v>
      </c>
      <c r="Q720" s="3">
        <f t="shared" si="192"/>
        <v>137.68578267716538</v>
      </c>
      <c r="R720" s="3">
        <f>vd(DataTable[[#This Row],[Sentido]],DataTable[[#This Row],[Valor]])</f>
        <v>114.03070866141732</v>
      </c>
      <c r="S720" s="3">
        <f>IF(DataTable[[#This Row],[Valor]]&gt;1,1,1)</f>
        <v>1</v>
      </c>
      <c r="T720" s="3">
        <f>IF(DataTable[[#This Row],[Valor]]&gt;1,1,1)</f>
        <v>1</v>
      </c>
      <c r="U720" s="3">
        <f>angr(DataTable[[#This Row],[Sentido]],DataTable[[#This Row],[Valor]])</f>
        <v>37.592125984251965</v>
      </c>
      <c r="V720" s="3">
        <f>ANGI(DataTable[[#This Row],[Sentido]],DataTable[[#This Row],[Valor]])</f>
        <v>38.140944881889759</v>
      </c>
      <c r="W720" s="3">
        <f t="shared" si="193"/>
        <v>3</v>
      </c>
      <c r="X720" s="3">
        <f>IF(DataTable[[#This Row],[Valor]]&gt;1,1,1)</f>
        <v>1</v>
      </c>
      <c r="Y720" s="3">
        <f t="shared" si="194"/>
        <v>3</v>
      </c>
      <c r="Z720" s="3">
        <f>IF(AND(DataTable[[#This Row],[Sentido]]="URUGUAI para BRASIL",DataTable[[#This Row],[Valor]]&gt;350),1,0)</f>
        <v>0</v>
      </c>
      <c r="AA720" s="3">
        <f>IF(DataTable[[#This Row],[Valor]]&gt;1,0,0)</f>
        <v>0</v>
      </c>
    </row>
    <row r="721" spans="1:27" x14ac:dyDescent="0.25">
      <c r="A721" s="2" t="s">
        <v>18</v>
      </c>
      <c r="B721" s="2">
        <v>312</v>
      </c>
      <c r="C721" s="3">
        <f t="shared" si="180"/>
        <v>87.393165354330705</v>
      </c>
      <c r="D721" s="3">
        <f t="shared" si="181"/>
        <v>90.030015748031488</v>
      </c>
      <c r="E721" s="3">
        <f t="shared" si="182"/>
        <v>87.430015748031494</v>
      </c>
      <c r="F721" s="3">
        <f t="shared" si="183"/>
        <v>37.56</v>
      </c>
      <c r="G721" s="3">
        <f t="shared" si="184"/>
        <v>102.6</v>
      </c>
      <c r="H721" s="3">
        <f t="shared" si="185"/>
        <v>102.6</v>
      </c>
      <c r="I721" s="3"/>
      <c r="J721" s="3">
        <f t="shared" si="186"/>
        <v>83.530015748031488</v>
      </c>
      <c r="K721" s="3">
        <f t="shared" si="187"/>
        <v>90.030015748031488</v>
      </c>
      <c r="L721" s="34">
        <f t="shared" si="188"/>
        <v>87.430015748031494</v>
      </c>
      <c r="M721" s="3">
        <f t="shared" si="189"/>
        <v>-112.4</v>
      </c>
      <c r="N721" s="3">
        <f t="shared" si="190"/>
        <v>85.12</v>
      </c>
      <c r="O721" s="3"/>
      <c r="P721" s="3">
        <f t="shared" si="191"/>
        <v>102.19036220472441</v>
      </c>
      <c r="Q721" s="3">
        <f t="shared" si="192"/>
        <v>137.79123149606298</v>
      </c>
      <c r="R721" s="3">
        <f>vd(DataTable[[#This Row],[Sentido]],DataTable[[#This Row],[Valor]])</f>
        <v>114.32598425196851</v>
      </c>
      <c r="S721" s="3">
        <f>IF(DataTable[[#This Row],[Valor]]&gt;1,1,1)</f>
        <v>1</v>
      </c>
      <c r="T721" s="3">
        <f>IF(DataTable[[#This Row],[Valor]]&gt;1,1,1)</f>
        <v>1</v>
      </c>
      <c r="U721" s="3">
        <f>angr(DataTable[[#This Row],[Sentido]],DataTable[[#This Row],[Valor]])</f>
        <v>37.477952755905513</v>
      </c>
      <c r="V721" s="3">
        <f>ANGI(DataTable[[#This Row],[Sentido]],DataTable[[#This Row],[Valor]])</f>
        <v>38.034645669291336</v>
      </c>
      <c r="W721" s="3">
        <f t="shared" si="193"/>
        <v>3</v>
      </c>
      <c r="X721" s="3">
        <f>IF(DataTable[[#This Row],[Valor]]&gt;1,1,1)</f>
        <v>1</v>
      </c>
      <c r="Y721" s="3">
        <f t="shared" si="194"/>
        <v>3</v>
      </c>
      <c r="Z721" s="3">
        <f>IF(AND(DataTable[[#This Row],[Sentido]]="URUGUAI para BRASIL",DataTable[[#This Row],[Valor]]&gt;350),1,0)</f>
        <v>0</v>
      </c>
      <c r="AA721" s="3">
        <f>IF(DataTable[[#This Row],[Valor]]&gt;1,0,0)</f>
        <v>0</v>
      </c>
    </row>
    <row r="722" spans="1:27" x14ac:dyDescent="0.25">
      <c r="A722" s="2" t="s">
        <v>18</v>
      </c>
      <c r="B722" s="2">
        <v>313</v>
      </c>
      <c r="C722" s="3">
        <f t="shared" si="180"/>
        <v>87.465271653543311</v>
      </c>
      <c r="D722" s="3">
        <f t="shared" si="181"/>
        <v>90.10224015748031</v>
      </c>
      <c r="E722" s="3">
        <f t="shared" si="182"/>
        <v>87.502240157480315</v>
      </c>
      <c r="F722" s="3">
        <f t="shared" si="183"/>
        <v>37.44</v>
      </c>
      <c r="G722" s="3">
        <f t="shared" si="184"/>
        <v>102.4</v>
      </c>
      <c r="H722" s="3">
        <f t="shared" si="185"/>
        <v>102.4</v>
      </c>
      <c r="I722" s="3"/>
      <c r="J722" s="3">
        <f t="shared" si="186"/>
        <v>83.60224015748031</v>
      </c>
      <c r="K722" s="3">
        <f t="shared" si="187"/>
        <v>90.10224015748031</v>
      </c>
      <c r="L722" s="34">
        <f t="shared" si="188"/>
        <v>87.502240157480315</v>
      </c>
      <c r="M722" s="3">
        <f t="shared" si="189"/>
        <v>-112.6</v>
      </c>
      <c r="N722" s="3">
        <f t="shared" si="190"/>
        <v>84.88</v>
      </c>
      <c r="O722" s="3"/>
      <c r="P722" s="3">
        <f t="shared" si="191"/>
        <v>102.44302362204726</v>
      </c>
      <c r="Q722" s="3">
        <f t="shared" si="192"/>
        <v>137.89668031496063</v>
      </c>
      <c r="R722" s="3">
        <f>vd(DataTable[[#This Row],[Sentido]],DataTable[[#This Row],[Valor]])</f>
        <v>114.62125984251969</v>
      </c>
      <c r="S722" s="3">
        <f>IF(DataTable[[#This Row],[Valor]]&gt;1,1,1)</f>
        <v>1</v>
      </c>
      <c r="T722" s="3">
        <f>IF(DataTable[[#This Row],[Valor]]&gt;1,1,1)</f>
        <v>1</v>
      </c>
      <c r="U722" s="3">
        <f>angr(DataTable[[#This Row],[Sentido]],DataTable[[#This Row],[Valor]])</f>
        <v>37.363779527559053</v>
      </c>
      <c r="V722" s="3">
        <f>ANGI(DataTable[[#This Row],[Sentido]],DataTable[[#This Row],[Valor]])</f>
        <v>37.928346456692914</v>
      </c>
      <c r="W722" s="3">
        <f t="shared" si="193"/>
        <v>3</v>
      </c>
      <c r="X722" s="3">
        <f>IF(DataTable[[#This Row],[Valor]]&gt;1,1,1)</f>
        <v>1</v>
      </c>
      <c r="Y722" s="3">
        <f t="shared" si="194"/>
        <v>3</v>
      </c>
      <c r="Z722" s="3">
        <f>IF(AND(DataTable[[#This Row],[Sentido]]="URUGUAI para BRASIL",DataTable[[#This Row],[Valor]]&gt;350),1,0)</f>
        <v>0</v>
      </c>
      <c r="AA722" s="3">
        <f>IF(DataTable[[#This Row],[Valor]]&gt;1,0,0)</f>
        <v>0</v>
      </c>
    </row>
    <row r="723" spans="1:27" x14ac:dyDescent="0.25">
      <c r="A723" s="2" t="s">
        <v>18</v>
      </c>
      <c r="B723" s="2">
        <v>314</v>
      </c>
      <c r="C723" s="3">
        <f t="shared" si="180"/>
        <v>87.537377952755904</v>
      </c>
      <c r="D723" s="3">
        <f t="shared" si="181"/>
        <v>90.174464566929132</v>
      </c>
      <c r="E723" s="3">
        <f t="shared" si="182"/>
        <v>87.574464566929137</v>
      </c>
      <c r="F723" s="3">
        <f t="shared" si="183"/>
        <v>37.32</v>
      </c>
      <c r="G723" s="3">
        <f t="shared" si="184"/>
        <v>102.2</v>
      </c>
      <c r="H723" s="3">
        <f t="shared" si="185"/>
        <v>102.2</v>
      </c>
      <c r="I723" s="3"/>
      <c r="J723" s="3">
        <f t="shared" si="186"/>
        <v>83.674464566929132</v>
      </c>
      <c r="K723" s="3">
        <f t="shared" si="187"/>
        <v>90.174464566929132</v>
      </c>
      <c r="L723" s="34">
        <f t="shared" si="188"/>
        <v>87.574464566929137</v>
      </c>
      <c r="M723" s="3">
        <f t="shared" si="189"/>
        <v>-112.8</v>
      </c>
      <c r="N723" s="3">
        <f t="shared" si="190"/>
        <v>84.64</v>
      </c>
      <c r="O723" s="3"/>
      <c r="P723" s="3">
        <f t="shared" si="191"/>
        <v>102.69568503937008</v>
      </c>
      <c r="Q723" s="3">
        <f t="shared" si="192"/>
        <v>138.00212913385826</v>
      </c>
      <c r="R723" s="3">
        <f>vd(DataTable[[#This Row],[Sentido]],DataTable[[#This Row],[Valor]])</f>
        <v>114.91653543307086</v>
      </c>
      <c r="S723" s="3">
        <f>IF(DataTable[[#This Row],[Valor]]&gt;1,1,1)</f>
        <v>1</v>
      </c>
      <c r="T723" s="3">
        <f>IF(DataTable[[#This Row],[Valor]]&gt;1,1,1)</f>
        <v>1</v>
      </c>
      <c r="U723" s="3">
        <f>angr(DataTable[[#This Row],[Sentido]],DataTable[[#This Row],[Valor]])</f>
        <v>37.249606299212594</v>
      </c>
      <c r="V723" s="3">
        <f>ANGI(DataTable[[#This Row],[Sentido]],DataTable[[#This Row],[Valor]])</f>
        <v>37.822047244094485</v>
      </c>
      <c r="W723" s="3">
        <f t="shared" si="193"/>
        <v>3</v>
      </c>
      <c r="X723" s="3">
        <f>IF(DataTable[[#This Row],[Valor]]&gt;1,1,1)</f>
        <v>1</v>
      </c>
      <c r="Y723" s="3">
        <f t="shared" si="194"/>
        <v>3</v>
      </c>
      <c r="Z723" s="3">
        <f>IF(AND(DataTable[[#This Row],[Sentido]]="URUGUAI para BRASIL",DataTable[[#This Row],[Valor]]&gt;350),1,0)</f>
        <v>0</v>
      </c>
      <c r="AA723" s="3">
        <f>IF(DataTable[[#This Row],[Valor]]&gt;1,0,0)</f>
        <v>0</v>
      </c>
    </row>
    <row r="724" spans="1:27" x14ac:dyDescent="0.25">
      <c r="A724" s="2" t="s">
        <v>18</v>
      </c>
      <c r="B724" s="2">
        <v>315</v>
      </c>
      <c r="C724" s="3">
        <f t="shared" si="180"/>
        <v>87.60948425196851</v>
      </c>
      <c r="D724" s="3">
        <f t="shared" si="181"/>
        <v>90.246688976377953</v>
      </c>
      <c r="E724" s="3">
        <f t="shared" si="182"/>
        <v>87.646688976377959</v>
      </c>
      <c r="F724" s="3">
        <f t="shared" si="183"/>
        <v>37.200000000000003</v>
      </c>
      <c r="G724" s="3">
        <f t="shared" si="184"/>
        <v>102</v>
      </c>
      <c r="H724" s="3">
        <f t="shared" si="185"/>
        <v>102</v>
      </c>
      <c r="I724" s="3"/>
      <c r="J724" s="3">
        <f t="shared" si="186"/>
        <v>83.746688976377953</v>
      </c>
      <c r="K724" s="3">
        <f t="shared" si="187"/>
        <v>90.246688976377953</v>
      </c>
      <c r="L724" s="34">
        <f t="shared" si="188"/>
        <v>87.646688976377959</v>
      </c>
      <c r="M724" s="3">
        <f t="shared" si="189"/>
        <v>-113</v>
      </c>
      <c r="N724" s="3">
        <f t="shared" si="190"/>
        <v>84.4</v>
      </c>
      <c r="O724" s="3"/>
      <c r="P724" s="3">
        <f t="shared" si="191"/>
        <v>102.94834645669292</v>
      </c>
      <c r="Q724" s="3">
        <f t="shared" si="192"/>
        <v>138.10757795275589</v>
      </c>
      <c r="R724" s="3">
        <f>vd(DataTable[[#This Row],[Sentido]],DataTable[[#This Row],[Valor]])</f>
        <v>115.21181102362205</v>
      </c>
      <c r="S724" s="3">
        <f>IF(DataTable[[#This Row],[Valor]]&gt;1,1,1)</f>
        <v>1</v>
      </c>
      <c r="T724" s="3">
        <f>IF(DataTable[[#This Row],[Valor]]&gt;1,1,1)</f>
        <v>1</v>
      </c>
      <c r="U724" s="3">
        <f>angr(DataTable[[#This Row],[Sentido]],DataTable[[#This Row],[Valor]])</f>
        <v>37.135433070866142</v>
      </c>
      <c r="V724" s="3">
        <f>ANGI(DataTable[[#This Row],[Sentido]],DataTable[[#This Row],[Valor]])</f>
        <v>37.715748031496062</v>
      </c>
      <c r="W724" s="3">
        <f t="shared" si="193"/>
        <v>3</v>
      </c>
      <c r="X724" s="3">
        <f>IF(DataTable[[#This Row],[Valor]]&gt;1,1,1)</f>
        <v>1</v>
      </c>
      <c r="Y724" s="3">
        <f t="shared" si="194"/>
        <v>3</v>
      </c>
      <c r="Z724" s="3">
        <f>IF(AND(DataTable[[#This Row],[Sentido]]="URUGUAI para BRASIL",DataTable[[#This Row],[Valor]]&gt;350),1,0)</f>
        <v>0</v>
      </c>
      <c r="AA724" s="3">
        <f>IF(DataTable[[#This Row],[Valor]]&gt;1,0,0)</f>
        <v>0</v>
      </c>
    </row>
    <row r="725" spans="1:27" x14ac:dyDescent="0.25">
      <c r="A725" s="2" t="s">
        <v>18</v>
      </c>
      <c r="B725" s="2">
        <v>316</v>
      </c>
      <c r="C725" s="3">
        <f t="shared" si="180"/>
        <v>87.681590551181102</v>
      </c>
      <c r="D725" s="3">
        <f t="shared" si="181"/>
        <v>90.318913385826775</v>
      </c>
      <c r="E725" s="3">
        <f t="shared" si="182"/>
        <v>87.718913385826781</v>
      </c>
      <c r="F725" s="3">
        <f t="shared" si="183"/>
        <v>37.08</v>
      </c>
      <c r="G725" s="3">
        <f t="shared" si="184"/>
        <v>101.8</v>
      </c>
      <c r="H725" s="3">
        <f t="shared" si="185"/>
        <v>101.8</v>
      </c>
      <c r="I725" s="3"/>
      <c r="J725" s="3">
        <f t="shared" si="186"/>
        <v>83.818913385826775</v>
      </c>
      <c r="K725" s="3">
        <f t="shared" si="187"/>
        <v>90.318913385826775</v>
      </c>
      <c r="L725" s="34">
        <f t="shared" si="188"/>
        <v>87.718913385826781</v>
      </c>
      <c r="M725" s="3">
        <f t="shared" si="189"/>
        <v>-113.2</v>
      </c>
      <c r="N725" s="3">
        <f t="shared" si="190"/>
        <v>84.16</v>
      </c>
      <c r="O725" s="3"/>
      <c r="P725" s="3">
        <f t="shared" si="191"/>
        <v>103.20100787401574</v>
      </c>
      <c r="Q725" s="3">
        <f t="shared" si="192"/>
        <v>138.21302677165355</v>
      </c>
      <c r="R725" s="3">
        <f>vd(DataTable[[#This Row],[Sentido]],DataTable[[#This Row],[Valor]])</f>
        <v>115.50708661417323</v>
      </c>
      <c r="S725" s="3">
        <f>IF(DataTable[[#This Row],[Valor]]&gt;1,1,1)</f>
        <v>1</v>
      </c>
      <c r="T725" s="3">
        <f>IF(DataTable[[#This Row],[Valor]]&gt;1,1,1)</f>
        <v>1</v>
      </c>
      <c r="U725" s="3">
        <f>angr(DataTable[[#This Row],[Sentido]],DataTable[[#This Row],[Valor]])</f>
        <v>37.021259842519683</v>
      </c>
      <c r="V725" s="3">
        <f>ANGI(DataTable[[#This Row],[Sentido]],DataTable[[#This Row],[Valor]])</f>
        <v>37.609448818897633</v>
      </c>
      <c r="W725" s="3">
        <f t="shared" si="193"/>
        <v>3</v>
      </c>
      <c r="X725" s="3">
        <f>IF(DataTable[[#This Row],[Valor]]&gt;1,1,1)</f>
        <v>1</v>
      </c>
      <c r="Y725" s="3">
        <f t="shared" si="194"/>
        <v>3</v>
      </c>
      <c r="Z725" s="3">
        <f>IF(AND(DataTable[[#This Row],[Sentido]]="URUGUAI para BRASIL",DataTable[[#This Row],[Valor]]&gt;350),1,0)</f>
        <v>0</v>
      </c>
      <c r="AA725" s="3">
        <f>IF(DataTable[[#This Row],[Valor]]&gt;1,0,0)</f>
        <v>0</v>
      </c>
    </row>
    <row r="726" spans="1:27" x14ac:dyDescent="0.25">
      <c r="A726" s="2" t="s">
        <v>18</v>
      </c>
      <c r="B726" s="2">
        <v>317</v>
      </c>
      <c r="C726" s="3">
        <f t="shared" si="180"/>
        <v>87.753696850393709</v>
      </c>
      <c r="D726" s="3">
        <f t="shared" si="181"/>
        <v>90.391137795275583</v>
      </c>
      <c r="E726" s="3">
        <f t="shared" si="182"/>
        <v>87.791137795275588</v>
      </c>
      <c r="F726" s="3">
        <f t="shared" si="183"/>
        <v>36.96</v>
      </c>
      <c r="G726" s="3">
        <f t="shared" si="184"/>
        <v>101.6</v>
      </c>
      <c r="H726" s="3">
        <f t="shared" si="185"/>
        <v>101.6</v>
      </c>
      <c r="I726" s="3"/>
      <c r="J726" s="3">
        <f t="shared" si="186"/>
        <v>83.891137795275583</v>
      </c>
      <c r="K726" s="3">
        <f t="shared" si="187"/>
        <v>90.391137795275583</v>
      </c>
      <c r="L726" s="34">
        <f t="shared" si="188"/>
        <v>87.791137795275588</v>
      </c>
      <c r="M726" s="3">
        <f t="shared" si="189"/>
        <v>-113.4</v>
      </c>
      <c r="N726" s="3">
        <f t="shared" si="190"/>
        <v>83.92</v>
      </c>
      <c r="O726" s="3"/>
      <c r="P726" s="3">
        <f t="shared" si="191"/>
        <v>103.45366929133858</v>
      </c>
      <c r="Q726" s="3">
        <f t="shared" si="192"/>
        <v>138.31847559055117</v>
      </c>
      <c r="R726" s="3">
        <f>vd(DataTable[[#This Row],[Sentido]],DataTable[[#This Row],[Valor]])</f>
        <v>115.80236220472442</v>
      </c>
      <c r="S726" s="3">
        <f>IF(DataTable[[#This Row],[Valor]]&gt;1,1,1)</f>
        <v>1</v>
      </c>
      <c r="T726" s="3">
        <f>IF(DataTable[[#This Row],[Valor]]&gt;1,1,1)</f>
        <v>1</v>
      </c>
      <c r="U726" s="3">
        <f>angr(DataTable[[#This Row],[Sentido]],DataTable[[#This Row],[Valor]])</f>
        <v>36.907086614173224</v>
      </c>
      <c r="V726" s="3">
        <f>ANGI(DataTable[[#This Row],[Sentido]],DataTable[[#This Row],[Valor]])</f>
        <v>37.50314960629921</v>
      </c>
      <c r="W726" s="3">
        <f t="shared" si="193"/>
        <v>3</v>
      </c>
      <c r="X726" s="3">
        <f>IF(DataTable[[#This Row],[Valor]]&gt;1,1,1)</f>
        <v>1</v>
      </c>
      <c r="Y726" s="3">
        <f t="shared" si="194"/>
        <v>3</v>
      </c>
      <c r="Z726" s="3">
        <f>IF(AND(DataTable[[#This Row],[Sentido]]="URUGUAI para BRASIL",DataTable[[#This Row],[Valor]]&gt;350),1,0)</f>
        <v>0</v>
      </c>
      <c r="AA726" s="3">
        <f>IF(DataTable[[#This Row],[Valor]]&gt;1,0,0)</f>
        <v>0</v>
      </c>
    </row>
    <row r="727" spans="1:27" x14ac:dyDescent="0.25">
      <c r="A727" s="2" t="s">
        <v>18</v>
      </c>
      <c r="B727" s="2">
        <v>318</v>
      </c>
      <c r="C727" s="3">
        <f t="shared" si="180"/>
        <v>87.825803149606301</v>
      </c>
      <c r="D727" s="3">
        <f t="shared" si="181"/>
        <v>90.463362204724405</v>
      </c>
      <c r="E727" s="3">
        <f t="shared" si="182"/>
        <v>87.86336220472441</v>
      </c>
      <c r="F727" s="3">
        <f t="shared" si="183"/>
        <v>36.840000000000003</v>
      </c>
      <c r="G727" s="3">
        <f t="shared" si="184"/>
        <v>101.4</v>
      </c>
      <c r="H727" s="3">
        <f t="shared" si="185"/>
        <v>101.4</v>
      </c>
      <c r="I727" s="3"/>
      <c r="J727" s="3">
        <f t="shared" si="186"/>
        <v>83.963362204724405</v>
      </c>
      <c r="K727" s="3">
        <f t="shared" si="187"/>
        <v>90.463362204724405</v>
      </c>
      <c r="L727" s="34">
        <f t="shared" si="188"/>
        <v>87.86336220472441</v>
      </c>
      <c r="M727" s="3">
        <f t="shared" si="189"/>
        <v>-113.6</v>
      </c>
      <c r="N727" s="3">
        <f t="shared" si="190"/>
        <v>83.68</v>
      </c>
      <c r="O727" s="3"/>
      <c r="P727" s="3">
        <f t="shared" si="191"/>
        <v>103.70633070866143</v>
      </c>
      <c r="Q727" s="3">
        <f t="shared" si="192"/>
        <v>138.42392440944883</v>
      </c>
      <c r="R727" s="3">
        <f>vd(DataTable[[#This Row],[Sentido]],DataTable[[#This Row],[Valor]])</f>
        <v>116.09763779527559</v>
      </c>
      <c r="S727" s="3">
        <f>IF(DataTable[[#This Row],[Valor]]&gt;1,1,1)</f>
        <v>1</v>
      </c>
      <c r="T727" s="3">
        <f>IF(DataTable[[#This Row],[Valor]]&gt;1,1,1)</f>
        <v>1</v>
      </c>
      <c r="U727" s="3">
        <f>angr(DataTable[[#This Row],[Sentido]],DataTable[[#This Row],[Valor]])</f>
        <v>36.792913385826772</v>
      </c>
      <c r="V727" s="3">
        <f>ANGI(DataTable[[#This Row],[Sentido]],DataTable[[#This Row],[Valor]])</f>
        <v>37.396850393700788</v>
      </c>
      <c r="W727" s="3">
        <f t="shared" si="193"/>
        <v>3</v>
      </c>
      <c r="X727" s="3">
        <f>IF(DataTable[[#This Row],[Valor]]&gt;1,1,1)</f>
        <v>1</v>
      </c>
      <c r="Y727" s="3">
        <f t="shared" si="194"/>
        <v>3</v>
      </c>
      <c r="Z727" s="3">
        <f>IF(AND(DataTable[[#This Row],[Sentido]]="URUGUAI para BRASIL",DataTable[[#This Row],[Valor]]&gt;350),1,0)</f>
        <v>0</v>
      </c>
      <c r="AA727" s="3">
        <f>IF(DataTable[[#This Row],[Valor]]&gt;1,0,0)</f>
        <v>0</v>
      </c>
    </row>
    <row r="728" spans="1:27" x14ac:dyDescent="0.25">
      <c r="A728" s="2" t="s">
        <v>18</v>
      </c>
      <c r="B728" s="2">
        <v>319</v>
      </c>
      <c r="C728" s="3">
        <f t="shared" si="180"/>
        <v>87.897909448818893</v>
      </c>
      <c r="D728" s="3">
        <f t="shared" si="181"/>
        <v>90.535586614173226</v>
      </c>
      <c r="E728" s="3">
        <f t="shared" si="182"/>
        <v>87.935586614173232</v>
      </c>
      <c r="F728" s="3">
        <f t="shared" si="183"/>
        <v>36.72</v>
      </c>
      <c r="G728" s="3">
        <f t="shared" si="184"/>
        <v>101.19999999999999</v>
      </c>
      <c r="H728" s="3">
        <f t="shared" si="185"/>
        <v>101.19999999999999</v>
      </c>
      <c r="I728" s="3"/>
      <c r="J728" s="3">
        <f t="shared" si="186"/>
        <v>84.035586614173226</v>
      </c>
      <c r="K728" s="3">
        <f t="shared" si="187"/>
        <v>90.535586614173226</v>
      </c>
      <c r="L728" s="34">
        <f t="shared" si="188"/>
        <v>87.935586614173232</v>
      </c>
      <c r="M728" s="3">
        <f t="shared" si="189"/>
        <v>-113.8</v>
      </c>
      <c r="N728" s="3">
        <f t="shared" si="190"/>
        <v>83.44</v>
      </c>
      <c r="O728" s="3"/>
      <c r="P728" s="3">
        <f t="shared" si="191"/>
        <v>103.95899212598424</v>
      </c>
      <c r="Q728" s="3">
        <f t="shared" si="192"/>
        <v>138.52937322834646</v>
      </c>
      <c r="R728" s="3">
        <f>vd(DataTable[[#This Row],[Sentido]],DataTable[[#This Row],[Valor]])</f>
        <v>116.39291338582677</v>
      </c>
      <c r="S728" s="3">
        <f>IF(DataTable[[#This Row],[Valor]]&gt;1,1,1)</f>
        <v>1</v>
      </c>
      <c r="T728" s="3">
        <f>IF(DataTable[[#This Row],[Valor]]&gt;1,1,1)</f>
        <v>1</v>
      </c>
      <c r="U728" s="3">
        <f>angr(DataTable[[#This Row],[Sentido]],DataTable[[#This Row],[Valor]])</f>
        <v>36.678740157480313</v>
      </c>
      <c r="V728" s="3">
        <f>ANGI(DataTable[[#This Row],[Sentido]],DataTable[[#This Row],[Valor]])</f>
        <v>37.290551181102366</v>
      </c>
      <c r="W728" s="3">
        <f t="shared" si="193"/>
        <v>3</v>
      </c>
      <c r="X728" s="3">
        <f>IF(DataTable[[#This Row],[Valor]]&gt;1,1,1)</f>
        <v>1</v>
      </c>
      <c r="Y728" s="3">
        <f t="shared" si="194"/>
        <v>3</v>
      </c>
      <c r="Z728" s="3">
        <f>IF(AND(DataTable[[#This Row],[Sentido]]="URUGUAI para BRASIL",DataTable[[#This Row],[Valor]]&gt;350),1,0)</f>
        <v>0</v>
      </c>
      <c r="AA728" s="3">
        <f>IF(DataTable[[#This Row],[Valor]]&gt;1,0,0)</f>
        <v>0</v>
      </c>
    </row>
    <row r="729" spans="1:27" x14ac:dyDescent="0.25">
      <c r="A729" s="2" t="s">
        <v>18</v>
      </c>
      <c r="B729" s="2">
        <v>320</v>
      </c>
      <c r="C729" s="3">
        <f t="shared" si="180"/>
        <v>87.9700157480315</v>
      </c>
      <c r="D729" s="3">
        <f t="shared" si="181"/>
        <v>90.607811023622048</v>
      </c>
      <c r="E729" s="3">
        <f t="shared" si="182"/>
        <v>88.007811023622054</v>
      </c>
      <c r="F729" s="3">
        <f t="shared" si="183"/>
        <v>36.6</v>
      </c>
      <c r="G729" s="3">
        <f t="shared" si="184"/>
        <v>101</v>
      </c>
      <c r="H729" s="3">
        <f t="shared" si="185"/>
        <v>101</v>
      </c>
      <c r="I729" s="3"/>
      <c r="J729" s="3">
        <f t="shared" si="186"/>
        <v>84.107811023622048</v>
      </c>
      <c r="K729" s="3">
        <f t="shared" si="187"/>
        <v>90.607811023622048</v>
      </c>
      <c r="L729" s="34">
        <f t="shared" si="188"/>
        <v>88.007811023622054</v>
      </c>
      <c r="M729" s="3">
        <f t="shared" si="189"/>
        <v>-114</v>
      </c>
      <c r="N729" s="3">
        <f t="shared" si="190"/>
        <v>83.2</v>
      </c>
      <c r="O729" s="3"/>
      <c r="P729" s="3">
        <f t="shared" si="191"/>
        <v>104.21165354330711</v>
      </c>
      <c r="Q729" s="3">
        <f t="shared" si="192"/>
        <v>138.63482204724409</v>
      </c>
      <c r="R729" s="3">
        <f>vd(DataTable[[#This Row],[Sentido]],DataTable[[#This Row],[Valor]])</f>
        <v>116.68818897637796</v>
      </c>
      <c r="S729" s="3">
        <f>IF(DataTable[[#This Row],[Valor]]&gt;1,1,1)</f>
        <v>1</v>
      </c>
      <c r="T729" s="3">
        <f>IF(DataTable[[#This Row],[Valor]]&gt;1,1,1)</f>
        <v>1</v>
      </c>
      <c r="U729" s="3">
        <f>angr(DataTable[[#This Row],[Sentido]],DataTable[[#This Row],[Valor]])</f>
        <v>36.564566929133854</v>
      </c>
      <c r="V729" s="3">
        <f>ANGI(DataTable[[#This Row],[Sentido]],DataTable[[#This Row],[Valor]])</f>
        <v>37.184251968503936</v>
      </c>
      <c r="W729" s="3">
        <f t="shared" si="193"/>
        <v>3</v>
      </c>
      <c r="X729" s="3">
        <f>IF(DataTable[[#This Row],[Valor]]&gt;1,1,1)</f>
        <v>1</v>
      </c>
      <c r="Y729" s="3">
        <f t="shared" si="194"/>
        <v>3</v>
      </c>
      <c r="Z729" s="3">
        <f>IF(AND(DataTable[[#This Row],[Sentido]]="URUGUAI para BRASIL",DataTable[[#This Row],[Valor]]&gt;350),1,0)</f>
        <v>0</v>
      </c>
      <c r="AA729" s="3">
        <f>IF(DataTable[[#This Row],[Valor]]&gt;1,0,0)</f>
        <v>0</v>
      </c>
    </row>
    <row r="730" spans="1:27" x14ac:dyDescent="0.25">
      <c r="A730" s="2" t="s">
        <v>18</v>
      </c>
      <c r="B730" s="2">
        <v>321</v>
      </c>
      <c r="C730" s="3">
        <f t="shared" si="180"/>
        <v>88.042122047244092</v>
      </c>
      <c r="D730" s="3">
        <f t="shared" si="181"/>
        <v>90.680035433070856</v>
      </c>
      <c r="E730" s="3">
        <f t="shared" si="182"/>
        <v>88.080035433070861</v>
      </c>
      <c r="F730" s="3">
        <f t="shared" si="183"/>
        <v>36.480000000000004</v>
      </c>
      <c r="G730" s="3">
        <f t="shared" si="184"/>
        <v>100.8</v>
      </c>
      <c r="H730" s="3">
        <f t="shared" si="185"/>
        <v>100.8</v>
      </c>
      <c r="I730" s="3"/>
      <c r="J730" s="3">
        <f t="shared" si="186"/>
        <v>84.180035433070856</v>
      </c>
      <c r="K730" s="3">
        <f t="shared" si="187"/>
        <v>90.680035433070856</v>
      </c>
      <c r="L730" s="34">
        <f t="shared" si="188"/>
        <v>88.080035433070861</v>
      </c>
      <c r="M730" s="3">
        <f t="shared" si="189"/>
        <v>-114.2</v>
      </c>
      <c r="N730" s="3">
        <f t="shared" si="190"/>
        <v>82.96</v>
      </c>
      <c r="O730" s="3"/>
      <c r="P730" s="3">
        <f t="shared" si="191"/>
        <v>104.46431496062992</v>
      </c>
      <c r="Q730" s="3">
        <f t="shared" si="192"/>
        <v>138.74027086614174</v>
      </c>
      <c r="R730" s="3">
        <f>vd(DataTable[[#This Row],[Sentido]],DataTable[[#This Row],[Valor]])</f>
        <v>116.98346456692914</v>
      </c>
      <c r="S730" s="3">
        <f>IF(DataTable[[#This Row],[Valor]]&gt;1,1,1)</f>
        <v>1</v>
      </c>
      <c r="T730" s="3">
        <f>IF(DataTable[[#This Row],[Valor]]&gt;1,1,1)</f>
        <v>1</v>
      </c>
      <c r="U730" s="3">
        <f>angr(DataTable[[#This Row],[Sentido]],DataTable[[#This Row],[Valor]])</f>
        <v>36.450393700787401</v>
      </c>
      <c r="V730" s="3">
        <f>ANGI(DataTable[[#This Row],[Sentido]],DataTable[[#This Row],[Valor]])</f>
        <v>37.077952755905514</v>
      </c>
      <c r="W730" s="3">
        <f t="shared" si="193"/>
        <v>3</v>
      </c>
      <c r="X730" s="3">
        <f>IF(DataTable[[#This Row],[Valor]]&gt;1,1,1)</f>
        <v>1</v>
      </c>
      <c r="Y730" s="3">
        <f t="shared" si="194"/>
        <v>3</v>
      </c>
      <c r="Z730" s="3">
        <f>IF(AND(DataTable[[#This Row],[Sentido]]="URUGUAI para BRASIL",DataTable[[#This Row],[Valor]]&gt;350),1,0)</f>
        <v>0</v>
      </c>
      <c r="AA730" s="3">
        <f>IF(DataTable[[#This Row],[Valor]]&gt;1,0,0)</f>
        <v>0</v>
      </c>
    </row>
    <row r="731" spans="1:27" x14ac:dyDescent="0.25">
      <c r="A731" s="2" t="s">
        <v>18</v>
      </c>
      <c r="B731" s="2">
        <v>322</v>
      </c>
      <c r="C731" s="3">
        <f t="shared" si="180"/>
        <v>88.114228346456699</v>
      </c>
      <c r="D731" s="3">
        <f t="shared" si="181"/>
        <v>90.752259842519678</v>
      </c>
      <c r="E731" s="3">
        <f t="shared" si="182"/>
        <v>88.152259842519683</v>
      </c>
      <c r="F731" s="3">
        <f t="shared" si="183"/>
        <v>36.36</v>
      </c>
      <c r="G731" s="3">
        <f t="shared" si="184"/>
        <v>100.6</v>
      </c>
      <c r="H731" s="3">
        <f t="shared" si="185"/>
        <v>100.6</v>
      </c>
      <c r="I731" s="3"/>
      <c r="J731" s="3">
        <f t="shared" si="186"/>
        <v>84.252259842519678</v>
      </c>
      <c r="K731" s="3">
        <f t="shared" si="187"/>
        <v>90.752259842519678</v>
      </c>
      <c r="L731" s="34">
        <f t="shared" si="188"/>
        <v>88.152259842519683</v>
      </c>
      <c r="M731" s="3">
        <f t="shared" si="189"/>
        <v>-114.4</v>
      </c>
      <c r="N731" s="3">
        <f t="shared" si="190"/>
        <v>82.72</v>
      </c>
      <c r="O731" s="3"/>
      <c r="P731" s="3">
        <f t="shared" si="191"/>
        <v>104.71697637795276</v>
      </c>
      <c r="Q731" s="3">
        <f t="shared" si="192"/>
        <v>138.84571968503937</v>
      </c>
      <c r="R731" s="3">
        <f>vd(DataTable[[#This Row],[Sentido]],DataTable[[#This Row],[Valor]])</f>
        <v>117.27874015748031</v>
      </c>
      <c r="S731" s="3">
        <f>IF(DataTable[[#This Row],[Valor]]&gt;1,1,1)</f>
        <v>1</v>
      </c>
      <c r="T731" s="3">
        <f>IF(DataTable[[#This Row],[Valor]]&gt;1,1,1)</f>
        <v>1</v>
      </c>
      <c r="U731" s="3">
        <f>angr(DataTable[[#This Row],[Sentido]],DataTable[[#This Row],[Valor]])</f>
        <v>36.336220472440942</v>
      </c>
      <c r="V731" s="3">
        <f>ANGI(DataTable[[#This Row],[Sentido]],DataTable[[#This Row],[Valor]])</f>
        <v>36.971653543307085</v>
      </c>
      <c r="W731" s="3">
        <f t="shared" si="193"/>
        <v>3</v>
      </c>
      <c r="X731" s="3">
        <f>IF(DataTable[[#This Row],[Valor]]&gt;1,1,1)</f>
        <v>1</v>
      </c>
      <c r="Y731" s="3">
        <f t="shared" si="194"/>
        <v>3</v>
      </c>
      <c r="Z731" s="3">
        <f>IF(AND(DataTable[[#This Row],[Sentido]]="URUGUAI para BRASIL",DataTable[[#This Row],[Valor]]&gt;350),1,0)</f>
        <v>0</v>
      </c>
      <c r="AA731" s="3">
        <f>IF(DataTable[[#This Row],[Valor]]&gt;1,0,0)</f>
        <v>0</v>
      </c>
    </row>
    <row r="732" spans="1:27" x14ac:dyDescent="0.25">
      <c r="A732" s="2" t="s">
        <v>18</v>
      </c>
      <c r="B732" s="2">
        <v>323</v>
      </c>
      <c r="C732" s="3">
        <f t="shared" si="180"/>
        <v>88.186334645669291</v>
      </c>
      <c r="D732" s="3">
        <f t="shared" si="181"/>
        <v>90.824484251968499</v>
      </c>
      <c r="E732" s="3">
        <f t="shared" si="182"/>
        <v>88.224484251968505</v>
      </c>
      <c r="F732" s="3">
        <f t="shared" si="183"/>
        <v>36.24</v>
      </c>
      <c r="G732" s="3">
        <f t="shared" si="184"/>
        <v>100.4</v>
      </c>
      <c r="H732" s="3">
        <f t="shared" si="185"/>
        <v>100.4</v>
      </c>
      <c r="I732" s="3"/>
      <c r="J732" s="3">
        <f t="shared" si="186"/>
        <v>84.324484251968499</v>
      </c>
      <c r="K732" s="3">
        <f t="shared" si="187"/>
        <v>90.824484251968499</v>
      </c>
      <c r="L732" s="34">
        <f t="shared" si="188"/>
        <v>88.224484251968505</v>
      </c>
      <c r="M732" s="3">
        <f t="shared" si="189"/>
        <v>-114.6</v>
      </c>
      <c r="N732" s="3">
        <f t="shared" si="190"/>
        <v>82.48</v>
      </c>
      <c r="O732" s="3"/>
      <c r="P732" s="3">
        <f t="shared" si="191"/>
        <v>104.96963779527559</v>
      </c>
      <c r="Q732" s="3">
        <f t="shared" si="192"/>
        <v>138.95116850393703</v>
      </c>
      <c r="R732" s="3">
        <f>vd(DataTable[[#This Row],[Sentido]],DataTable[[#This Row],[Valor]])</f>
        <v>117.5740157480315</v>
      </c>
      <c r="S732" s="3">
        <f>IF(DataTable[[#This Row],[Valor]]&gt;1,1,1)</f>
        <v>1</v>
      </c>
      <c r="T732" s="3">
        <f>IF(DataTable[[#This Row],[Valor]]&gt;1,1,1)</f>
        <v>1</v>
      </c>
      <c r="U732" s="3">
        <f>angr(DataTable[[#This Row],[Sentido]],DataTable[[#This Row],[Valor]])</f>
        <v>36.222047244094483</v>
      </c>
      <c r="V732" s="3">
        <f>ANGI(DataTable[[#This Row],[Sentido]],DataTable[[#This Row],[Valor]])</f>
        <v>36.865354330708662</v>
      </c>
      <c r="W732" s="3">
        <f t="shared" si="193"/>
        <v>3</v>
      </c>
      <c r="X732" s="3">
        <f>IF(DataTable[[#This Row],[Valor]]&gt;1,1,1)</f>
        <v>1</v>
      </c>
      <c r="Y732" s="3">
        <f t="shared" si="194"/>
        <v>3</v>
      </c>
      <c r="Z732" s="3">
        <f>IF(AND(DataTable[[#This Row],[Sentido]]="URUGUAI para BRASIL",DataTable[[#This Row],[Valor]]&gt;350),1,0)</f>
        <v>0</v>
      </c>
      <c r="AA732" s="3">
        <f>IF(DataTable[[#This Row],[Valor]]&gt;1,0,0)</f>
        <v>0</v>
      </c>
    </row>
    <row r="733" spans="1:27" x14ac:dyDescent="0.25">
      <c r="A733" s="2" t="s">
        <v>18</v>
      </c>
      <c r="B733" s="2">
        <v>324</v>
      </c>
      <c r="C733" s="3">
        <f t="shared" si="180"/>
        <v>88.258440944881897</v>
      </c>
      <c r="D733" s="3">
        <f t="shared" si="181"/>
        <v>90.896708661417321</v>
      </c>
      <c r="E733" s="3">
        <f t="shared" si="182"/>
        <v>88.296708661417327</v>
      </c>
      <c r="F733" s="3">
        <f t="shared" si="183"/>
        <v>36.120000000000005</v>
      </c>
      <c r="G733" s="3">
        <f t="shared" si="184"/>
        <v>100.19999999999999</v>
      </c>
      <c r="H733" s="3">
        <f t="shared" si="185"/>
        <v>100.19999999999999</v>
      </c>
      <c r="I733" s="3"/>
      <c r="J733" s="3">
        <f t="shared" si="186"/>
        <v>84.396708661417321</v>
      </c>
      <c r="K733" s="3">
        <f t="shared" si="187"/>
        <v>90.896708661417321</v>
      </c>
      <c r="L733" s="34">
        <f t="shared" si="188"/>
        <v>88.296708661417327</v>
      </c>
      <c r="M733" s="3">
        <f t="shared" si="189"/>
        <v>-114.8</v>
      </c>
      <c r="N733" s="3">
        <f t="shared" si="190"/>
        <v>82.24</v>
      </c>
      <c r="O733" s="3"/>
      <c r="P733" s="3">
        <f t="shared" si="191"/>
        <v>105.22229921259843</v>
      </c>
      <c r="Q733" s="3">
        <f t="shared" si="192"/>
        <v>139.05661732283465</v>
      </c>
      <c r="R733" s="3">
        <f>vd(DataTable[[#This Row],[Sentido]],DataTable[[#This Row],[Valor]])</f>
        <v>117.86929133858268</v>
      </c>
      <c r="S733" s="3">
        <f>IF(DataTable[[#This Row],[Valor]]&gt;1,1,1)</f>
        <v>1</v>
      </c>
      <c r="T733" s="3">
        <f>IF(DataTable[[#This Row],[Valor]]&gt;1,1,1)</f>
        <v>1</v>
      </c>
      <c r="U733" s="3">
        <f>angr(DataTable[[#This Row],[Sentido]],DataTable[[#This Row],[Valor]])</f>
        <v>36.107874015748031</v>
      </c>
      <c r="V733" s="3">
        <f>ANGI(DataTable[[#This Row],[Sentido]],DataTable[[#This Row],[Valor]])</f>
        <v>36.75905511811024</v>
      </c>
      <c r="W733" s="3">
        <f t="shared" si="193"/>
        <v>3</v>
      </c>
      <c r="X733" s="3">
        <f>IF(DataTable[[#This Row],[Valor]]&gt;1,1,1)</f>
        <v>1</v>
      </c>
      <c r="Y733" s="3">
        <f t="shared" si="194"/>
        <v>3</v>
      </c>
      <c r="Z733" s="3">
        <f>IF(AND(DataTable[[#This Row],[Sentido]]="URUGUAI para BRASIL",DataTable[[#This Row],[Valor]]&gt;350),1,0)</f>
        <v>0</v>
      </c>
      <c r="AA733" s="3">
        <f>IF(DataTable[[#This Row],[Valor]]&gt;1,0,0)</f>
        <v>0</v>
      </c>
    </row>
    <row r="734" spans="1:27" x14ac:dyDescent="0.25">
      <c r="A734" s="2" t="s">
        <v>18</v>
      </c>
      <c r="B734" s="2">
        <v>325</v>
      </c>
      <c r="C734" s="3">
        <f t="shared" si="180"/>
        <v>88.33054724409449</v>
      </c>
      <c r="D734" s="3">
        <f t="shared" si="181"/>
        <v>90.968933070866143</v>
      </c>
      <c r="E734" s="3">
        <f t="shared" si="182"/>
        <v>88.368933070866149</v>
      </c>
      <c r="F734" s="3">
        <f t="shared" si="183"/>
        <v>36</v>
      </c>
      <c r="G734" s="3">
        <f t="shared" si="184"/>
        <v>100</v>
      </c>
      <c r="H734" s="3">
        <f t="shared" si="185"/>
        <v>100</v>
      </c>
      <c r="I734" s="3"/>
      <c r="J734" s="3">
        <f t="shared" si="186"/>
        <v>84.468933070866143</v>
      </c>
      <c r="K734" s="3">
        <f t="shared" si="187"/>
        <v>90.968933070866143</v>
      </c>
      <c r="L734" s="34">
        <f t="shared" si="188"/>
        <v>88.368933070866149</v>
      </c>
      <c r="M734" s="3">
        <f t="shared" si="189"/>
        <v>-115</v>
      </c>
      <c r="N734" s="3">
        <f t="shared" si="190"/>
        <v>82</v>
      </c>
      <c r="O734" s="3"/>
      <c r="P734" s="3">
        <f t="shared" si="191"/>
        <v>105.47496062992127</v>
      </c>
      <c r="Q734" s="3">
        <f t="shared" si="192"/>
        <v>139.16206614173228</v>
      </c>
      <c r="R734" s="3">
        <f>vd(DataTable[[#This Row],[Sentido]],DataTable[[#This Row],[Valor]])</f>
        <v>118.16456692913385</v>
      </c>
      <c r="S734" s="3">
        <f>IF(DataTable[[#This Row],[Valor]]&gt;1,1,1)</f>
        <v>1</v>
      </c>
      <c r="T734" s="3">
        <f>IF(DataTable[[#This Row],[Valor]]&gt;1,1,1)</f>
        <v>1</v>
      </c>
      <c r="U734" s="3">
        <f>angr(DataTable[[#This Row],[Sentido]],DataTable[[#This Row],[Valor]])</f>
        <v>35.993700787401572</v>
      </c>
      <c r="V734" s="3">
        <f>ANGI(DataTable[[#This Row],[Sentido]],DataTable[[#This Row],[Valor]])</f>
        <v>36.65275590551181</v>
      </c>
      <c r="W734" s="3">
        <f t="shared" si="193"/>
        <v>3</v>
      </c>
      <c r="X734" s="3">
        <f>IF(DataTable[[#This Row],[Valor]]&gt;1,1,1)</f>
        <v>1</v>
      </c>
      <c r="Y734" s="3">
        <f t="shared" si="194"/>
        <v>3</v>
      </c>
      <c r="Z734" s="3">
        <f>IF(AND(DataTable[[#This Row],[Sentido]]="URUGUAI para BRASIL",DataTable[[#This Row],[Valor]]&gt;350),1,0)</f>
        <v>0</v>
      </c>
      <c r="AA734" s="3">
        <f>IF(DataTable[[#This Row],[Valor]]&gt;1,0,0)</f>
        <v>0</v>
      </c>
    </row>
    <row r="735" spans="1:27" x14ac:dyDescent="0.25">
      <c r="A735" s="2" t="s">
        <v>18</v>
      </c>
      <c r="B735" s="2">
        <v>326</v>
      </c>
      <c r="C735" s="3">
        <f t="shared" si="180"/>
        <v>88.402653543307096</v>
      </c>
      <c r="D735" s="3">
        <f t="shared" si="181"/>
        <v>91.041157480314951</v>
      </c>
      <c r="E735" s="3">
        <f t="shared" si="182"/>
        <v>88.441157480314956</v>
      </c>
      <c r="F735" s="3">
        <f t="shared" si="183"/>
        <v>35.879999999999995</v>
      </c>
      <c r="G735" s="3">
        <f t="shared" si="184"/>
        <v>99.8</v>
      </c>
      <c r="H735" s="3">
        <f t="shared" si="185"/>
        <v>99.8</v>
      </c>
      <c r="I735" s="3"/>
      <c r="J735" s="3">
        <f t="shared" si="186"/>
        <v>84.541157480314951</v>
      </c>
      <c r="K735" s="3">
        <f t="shared" si="187"/>
        <v>91.041157480314951</v>
      </c>
      <c r="L735" s="34">
        <f t="shared" si="188"/>
        <v>88.441157480314956</v>
      </c>
      <c r="M735" s="3">
        <f t="shared" si="189"/>
        <v>-115.2</v>
      </c>
      <c r="N735" s="3">
        <f t="shared" si="190"/>
        <v>81.760000000000005</v>
      </c>
      <c r="O735" s="3"/>
      <c r="P735" s="3">
        <f t="shared" si="191"/>
        <v>105.72762204724411</v>
      </c>
      <c r="Q735" s="3">
        <f t="shared" si="192"/>
        <v>139.26751496062994</v>
      </c>
      <c r="R735" s="3">
        <f>vd(DataTable[[#This Row],[Sentido]],DataTable[[#This Row],[Valor]])</f>
        <v>118.45984251968505</v>
      </c>
      <c r="S735" s="3">
        <f>IF(DataTable[[#This Row],[Valor]]&gt;1,1,1)</f>
        <v>1</v>
      </c>
      <c r="T735" s="3">
        <f>IF(DataTable[[#This Row],[Valor]]&gt;1,1,1)</f>
        <v>1</v>
      </c>
      <c r="U735" s="3">
        <f>angr(DataTable[[#This Row],[Sentido]],DataTable[[#This Row],[Valor]])</f>
        <v>35.879527559055113</v>
      </c>
      <c r="V735" s="3">
        <f>ANGI(DataTable[[#This Row],[Sentido]],DataTable[[#This Row],[Valor]])</f>
        <v>36.546456692913388</v>
      </c>
      <c r="W735" s="3">
        <f t="shared" si="193"/>
        <v>3</v>
      </c>
      <c r="X735" s="3">
        <f>IF(DataTable[[#This Row],[Valor]]&gt;1,1,1)</f>
        <v>1</v>
      </c>
      <c r="Y735" s="3">
        <f t="shared" si="194"/>
        <v>3</v>
      </c>
      <c r="Z735" s="3">
        <f>IF(AND(DataTable[[#This Row],[Sentido]]="URUGUAI para BRASIL",DataTable[[#This Row],[Valor]]&gt;350),1,0)</f>
        <v>0</v>
      </c>
      <c r="AA735" s="3">
        <f>IF(DataTable[[#This Row],[Valor]]&gt;1,0,0)</f>
        <v>0</v>
      </c>
    </row>
    <row r="736" spans="1:27" x14ac:dyDescent="0.25">
      <c r="A736" s="2" t="s">
        <v>18</v>
      </c>
      <c r="B736" s="2">
        <v>327</v>
      </c>
      <c r="C736" s="3">
        <f t="shared" si="180"/>
        <v>88.474759842519688</v>
      </c>
      <c r="D736" s="3">
        <f t="shared" si="181"/>
        <v>91.113381889763772</v>
      </c>
      <c r="E736" s="3">
        <f t="shared" si="182"/>
        <v>88.513381889763778</v>
      </c>
      <c r="F736" s="3">
        <f t="shared" si="183"/>
        <v>35.760000000000005</v>
      </c>
      <c r="G736" s="3">
        <f t="shared" si="184"/>
        <v>99.6</v>
      </c>
      <c r="H736" s="3">
        <f t="shared" si="185"/>
        <v>99.6</v>
      </c>
      <c r="I736" s="3"/>
      <c r="J736" s="3">
        <f t="shared" si="186"/>
        <v>84.613381889763772</v>
      </c>
      <c r="K736" s="3">
        <f t="shared" si="187"/>
        <v>91.113381889763772</v>
      </c>
      <c r="L736" s="34">
        <f t="shared" si="188"/>
        <v>88.513381889763778</v>
      </c>
      <c r="M736" s="3">
        <f t="shared" si="189"/>
        <v>-115.4</v>
      </c>
      <c r="N736" s="3">
        <f t="shared" si="190"/>
        <v>81.52</v>
      </c>
      <c r="O736" s="3"/>
      <c r="P736" s="3">
        <f t="shared" si="191"/>
        <v>105.98028346456692</v>
      </c>
      <c r="Q736" s="3">
        <f t="shared" si="192"/>
        <v>139.37296377952757</v>
      </c>
      <c r="R736" s="3">
        <f>vd(DataTable[[#This Row],[Sentido]],DataTable[[#This Row],[Valor]])</f>
        <v>118.75511811023622</v>
      </c>
      <c r="S736" s="3">
        <f>IF(DataTable[[#This Row],[Valor]]&gt;1,1,1)</f>
        <v>1</v>
      </c>
      <c r="T736" s="3">
        <f>IF(DataTable[[#This Row],[Valor]]&gt;1,1,1)</f>
        <v>1</v>
      </c>
      <c r="U736" s="3">
        <f>angr(DataTable[[#This Row],[Sentido]],DataTable[[#This Row],[Valor]])</f>
        <v>35.765354330708661</v>
      </c>
      <c r="V736" s="3">
        <f>ANGI(DataTable[[#This Row],[Sentido]],DataTable[[#This Row],[Valor]])</f>
        <v>36.440157480314959</v>
      </c>
      <c r="W736" s="3">
        <f t="shared" si="193"/>
        <v>3</v>
      </c>
      <c r="X736" s="3">
        <f>IF(DataTable[[#This Row],[Valor]]&gt;1,1,1)</f>
        <v>1</v>
      </c>
      <c r="Y736" s="3">
        <f t="shared" si="194"/>
        <v>3</v>
      </c>
      <c r="Z736" s="3">
        <f>IF(AND(DataTable[[#This Row],[Sentido]]="URUGUAI para BRASIL",DataTable[[#This Row],[Valor]]&gt;350),1,0)</f>
        <v>0</v>
      </c>
      <c r="AA736" s="3">
        <f>IF(DataTable[[#This Row],[Valor]]&gt;1,0,0)</f>
        <v>0</v>
      </c>
    </row>
    <row r="737" spans="1:27" x14ac:dyDescent="0.25">
      <c r="A737" s="2" t="s">
        <v>18</v>
      </c>
      <c r="B737" s="2">
        <v>328</v>
      </c>
      <c r="C737" s="3">
        <f t="shared" si="180"/>
        <v>88.546866141732281</v>
      </c>
      <c r="D737" s="3">
        <f t="shared" si="181"/>
        <v>91.185606299212594</v>
      </c>
      <c r="E737" s="3">
        <f t="shared" si="182"/>
        <v>88.5856062992126</v>
      </c>
      <c r="F737" s="3">
        <f t="shared" si="183"/>
        <v>35.64</v>
      </c>
      <c r="G737" s="3">
        <f t="shared" si="184"/>
        <v>99.4</v>
      </c>
      <c r="H737" s="3">
        <f t="shared" si="185"/>
        <v>99.4</v>
      </c>
      <c r="I737" s="3"/>
      <c r="J737" s="3">
        <f t="shared" si="186"/>
        <v>84.685606299212594</v>
      </c>
      <c r="K737" s="3">
        <f t="shared" si="187"/>
        <v>91.185606299212594</v>
      </c>
      <c r="L737" s="34">
        <f t="shared" si="188"/>
        <v>88.5856062992126</v>
      </c>
      <c r="M737" s="3">
        <f t="shared" si="189"/>
        <v>-115.6</v>
      </c>
      <c r="N737" s="3">
        <f t="shared" si="190"/>
        <v>81.28</v>
      </c>
      <c r="O737" s="3"/>
      <c r="P737" s="3">
        <f t="shared" si="191"/>
        <v>106.23294488188976</v>
      </c>
      <c r="Q737" s="3">
        <f t="shared" si="192"/>
        <v>139.47841259842519</v>
      </c>
      <c r="R737" s="3">
        <f>vd(DataTable[[#This Row],[Sentido]],DataTable[[#This Row],[Valor]])</f>
        <v>119.0503937007874</v>
      </c>
      <c r="S737" s="3">
        <f>IF(DataTable[[#This Row],[Valor]]&gt;1,1,1)</f>
        <v>1</v>
      </c>
      <c r="T737" s="3">
        <f>IF(DataTable[[#This Row],[Valor]]&gt;1,1,1)</f>
        <v>1</v>
      </c>
      <c r="U737" s="3">
        <f>angr(DataTable[[#This Row],[Sentido]],DataTable[[#This Row],[Valor]])</f>
        <v>35.651181102362202</v>
      </c>
      <c r="V737" s="3">
        <f>ANGI(DataTable[[#This Row],[Sentido]],DataTable[[#This Row],[Valor]])</f>
        <v>36.333858267716536</v>
      </c>
      <c r="W737" s="3">
        <f t="shared" si="193"/>
        <v>3</v>
      </c>
      <c r="X737" s="3">
        <f>IF(DataTable[[#This Row],[Valor]]&gt;1,1,1)</f>
        <v>1</v>
      </c>
      <c r="Y737" s="3">
        <f t="shared" si="194"/>
        <v>3</v>
      </c>
      <c r="Z737" s="3">
        <f>IF(AND(DataTable[[#This Row],[Sentido]]="URUGUAI para BRASIL",DataTable[[#This Row],[Valor]]&gt;350),1,0)</f>
        <v>0</v>
      </c>
      <c r="AA737" s="3">
        <f>IF(DataTable[[#This Row],[Valor]]&gt;1,0,0)</f>
        <v>0</v>
      </c>
    </row>
    <row r="738" spans="1:27" x14ac:dyDescent="0.25">
      <c r="A738" s="2" t="s">
        <v>18</v>
      </c>
      <c r="B738" s="2">
        <v>329</v>
      </c>
      <c r="C738" s="3">
        <f t="shared" si="180"/>
        <v>88.618972440944887</v>
      </c>
      <c r="D738" s="3">
        <f t="shared" si="181"/>
        <v>91.257830708661416</v>
      </c>
      <c r="E738" s="3">
        <f t="shared" si="182"/>
        <v>88.657830708661422</v>
      </c>
      <c r="F738" s="3">
        <f t="shared" si="183"/>
        <v>35.519999999999996</v>
      </c>
      <c r="G738" s="3">
        <f t="shared" si="184"/>
        <v>99.199999999999989</v>
      </c>
      <c r="H738" s="3">
        <f t="shared" si="185"/>
        <v>99.199999999999989</v>
      </c>
      <c r="I738" s="3"/>
      <c r="J738" s="3">
        <f t="shared" si="186"/>
        <v>84.757830708661416</v>
      </c>
      <c r="K738" s="3">
        <f t="shared" si="187"/>
        <v>91.257830708661416</v>
      </c>
      <c r="L738" s="34">
        <f t="shared" si="188"/>
        <v>88.657830708661422</v>
      </c>
      <c r="M738" s="3">
        <f t="shared" si="189"/>
        <v>-115.8</v>
      </c>
      <c r="N738" s="3">
        <f t="shared" si="190"/>
        <v>81.040000000000006</v>
      </c>
      <c r="O738" s="3"/>
      <c r="P738" s="3">
        <f t="shared" si="191"/>
        <v>106.48560629921261</v>
      </c>
      <c r="Q738" s="3">
        <f t="shared" si="192"/>
        <v>139.58386141732282</v>
      </c>
      <c r="R738" s="3">
        <f>vd(DataTable[[#This Row],[Sentido]],DataTable[[#This Row],[Valor]])</f>
        <v>119.34566929133858</v>
      </c>
      <c r="S738" s="3">
        <f>IF(DataTable[[#This Row],[Valor]]&gt;1,1,1)</f>
        <v>1</v>
      </c>
      <c r="T738" s="3">
        <f>IF(DataTable[[#This Row],[Valor]]&gt;1,1,1)</f>
        <v>1</v>
      </c>
      <c r="U738" s="3">
        <f>angr(DataTable[[#This Row],[Sentido]],DataTable[[#This Row],[Valor]])</f>
        <v>35.53700787401575</v>
      </c>
      <c r="V738" s="3">
        <f>ANGI(DataTable[[#This Row],[Sentido]],DataTable[[#This Row],[Valor]])</f>
        <v>36.227559055118114</v>
      </c>
      <c r="W738" s="3">
        <f t="shared" si="193"/>
        <v>3</v>
      </c>
      <c r="X738" s="3">
        <f>IF(DataTable[[#This Row],[Valor]]&gt;1,1,1)</f>
        <v>1</v>
      </c>
      <c r="Y738" s="3">
        <f t="shared" si="194"/>
        <v>3</v>
      </c>
      <c r="Z738" s="3">
        <f>IF(AND(DataTable[[#This Row],[Sentido]]="URUGUAI para BRASIL",DataTable[[#This Row],[Valor]]&gt;350),1,0)</f>
        <v>0</v>
      </c>
      <c r="AA738" s="3">
        <f>IF(DataTable[[#This Row],[Valor]]&gt;1,0,0)</f>
        <v>0</v>
      </c>
    </row>
    <row r="739" spans="1:27" x14ac:dyDescent="0.25">
      <c r="A739" s="2" t="s">
        <v>18</v>
      </c>
      <c r="B739" s="2">
        <v>330</v>
      </c>
      <c r="C739" s="3">
        <f t="shared" si="180"/>
        <v>88.691078740157479</v>
      </c>
      <c r="D739" s="3">
        <f t="shared" si="181"/>
        <v>91.330055118110224</v>
      </c>
      <c r="E739" s="3">
        <f t="shared" si="182"/>
        <v>88.730055118110229</v>
      </c>
      <c r="F739" s="3">
        <f t="shared" si="183"/>
        <v>35.4</v>
      </c>
      <c r="G739" s="3">
        <f t="shared" si="184"/>
        <v>99</v>
      </c>
      <c r="H739" s="3">
        <f t="shared" si="185"/>
        <v>99</v>
      </c>
      <c r="I739" s="3"/>
      <c r="J739" s="3">
        <f t="shared" si="186"/>
        <v>84.830055118110224</v>
      </c>
      <c r="K739" s="3">
        <f t="shared" si="187"/>
        <v>91.330055118110224</v>
      </c>
      <c r="L739" s="34">
        <f t="shared" si="188"/>
        <v>88.730055118110229</v>
      </c>
      <c r="M739" s="3">
        <f t="shared" si="189"/>
        <v>-116</v>
      </c>
      <c r="N739" s="3">
        <f t="shared" si="190"/>
        <v>80.8</v>
      </c>
      <c r="O739" s="3"/>
      <c r="P739" s="3">
        <f t="shared" si="191"/>
        <v>106.73826771653543</v>
      </c>
      <c r="Q739" s="3">
        <f t="shared" si="192"/>
        <v>139.68931023622048</v>
      </c>
      <c r="R739" s="3">
        <f>vd(DataTable[[#This Row],[Sentido]],DataTable[[#This Row],[Valor]])</f>
        <v>119.64094488188977</v>
      </c>
      <c r="S739" s="3">
        <f>IF(DataTable[[#This Row],[Valor]]&gt;1,1,1)</f>
        <v>1</v>
      </c>
      <c r="T739" s="3">
        <f>IF(DataTable[[#This Row],[Valor]]&gt;1,1,1)</f>
        <v>1</v>
      </c>
      <c r="U739" s="3">
        <f>angr(DataTable[[#This Row],[Sentido]],DataTable[[#This Row],[Valor]])</f>
        <v>35.42283464566929</v>
      </c>
      <c r="V739" s="3">
        <f>ANGI(DataTable[[#This Row],[Sentido]],DataTable[[#This Row],[Valor]])</f>
        <v>36.121259842519692</v>
      </c>
      <c r="W739" s="3">
        <f t="shared" si="193"/>
        <v>3</v>
      </c>
      <c r="X739" s="3">
        <f>IF(DataTable[[#This Row],[Valor]]&gt;1,1,1)</f>
        <v>1</v>
      </c>
      <c r="Y739" s="3">
        <f t="shared" si="194"/>
        <v>3</v>
      </c>
      <c r="Z739" s="3">
        <f>IF(AND(DataTable[[#This Row],[Sentido]]="URUGUAI para BRASIL",DataTable[[#This Row],[Valor]]&gt;350),1,0)</f>
        <v>0</v>
      </c>
      <c r="AA739" s="3">
        <f>IF(DataTable[[#This Row],[Valor]]&gt;1,0,0)</f>
        <v>0</v>
      </c>
    </row>
    <row r="740" spans="1:27" x14ac:dyDescent="0.25">
      <c r="A740" s="2" t="s">
        <v>18</v>
      </c>
      <c r="B740" s="2">
        <v>331</v>
      </c>
      <c r="C740" s="3">
        <f t="shared" si="180"/>
        <v>88.763185039370086</v>
      </c>
      <c r="D740" s="3">
        <f t="shared" si="181"/>
        <v>91.40227952755906</v>
      </c>
      <c r="E740" s="3">
        <f t="shared" si="182"/>
        <v>88.802279527559065</v>
      </c>
      <c r="F740" s="3">
        <f t="shared" si="183"/>
        <v>35.28</v>
      </c>
      <c r="G740" s="3">
        <f t="shared" si="184"/>
        <v>98.8</v>
      </c>
      <c r="H740" s="3">
        <f t="shared" si="185"/>
        <v>98.8</v>
      </c>
      <c r="I740" s="3"/>
      <c r="J740" s="3">
        <f t="shared" si="186"/>
        <v>84.90227952755906</v>
      </c>
      <c r="K740" s="3">
        <f t="shared" si="187"/>
        <v>91.40227952755906</v>
      </c>
      <c r="L740" s="34">
        <f t="shared" si="188"/>
        <v>88.802279527559065</v>
      </c>
      <c r="M740" s="3">
        <f t="shared" si="189"/>
        <v>-116.2</v>
      </c>
      <c r="N740" s="3">
        <f t="shared" si="190"/>
        <v>80.56</v>
      </c>
      <c r="O740" s="3"/>
      <c r="P740" s="3">
        <f t="shared" si="191"/>
        <v>106.99092913385827</v>
      </c>
      <c r="Q740" s="3">
        <f t="shared" si="192"/>
        <v>139.79475905511811</v>
      </c>
      <c r="R740" s="3">
        <f>vd(DataTable[[#This Row],[Sentido]],DataTable[[#This Row],[Valor]])</f>
        <v>119.93622047244097</v>
      </c>
      <c r="S740" s="3">
        <f>IF(DataTable[[#This Row],[Valor]]&gt;1,1,1)</f>
        <v>1</v>
      </c>
      <c r="T740" s="3">
        <f>IF(DataTable[[#This Row],[Valor]]&gt;1,1,1)</f>
        <v>1</v>
      </c>
      <c r="U740" s="3">
        <f>angr(DataTable[[#This Row],[Sentido]],DataTable[[#This Row],[Valor]])</f>
        <v>35.308661417322831</v>
      </c>
      <c r="V740" s="3">
        <f>ANGI(DataTable[[#This Row],[Sentido]],DataTable[[#This Row],[Valor]])</f>
        <v>36.011811023622045</v>
      </c>
      <c r="W740" s="3">
        <f t="shared" si="193"/>
        <v>3</v>
      </c>
      <c r="X740" s="3">
        <f>IF(DataTable[[#This Row],[Valor]]&gt;1,1,1)</f>
        <v>1</v>
      </c>
      <c r="Y740" s="3">
        <f t="shared" si="194"/>
        <v>3</v>
      </c>
      <c r="Z740" s="3">
        <f>IF(AND(DataTable[[#This Row],[Sentido]]="URUGUAI para BRASIL",DataTable[[#This Row],[Valor]]&gt;350),1,0)</f>
        <v>0</v>
      </c>
      <c r="AA740" s="3">
        <f>IF(DataTable[[#This Row],[Valor]]&gt;1,0,0)</f>
        <v>0</v>
      </c>
    </row>
    <row r="741" spans="1:27" x14ac:dyDescent="0.25">
      <c r="A741" s="2" t="s">
        <v>18</v>
      </c>
      <c r="B741" s="2">
        <v>332</v>
      </c>
      <c r="C741" s="3">
        <f t="shared" si="180"/>
        <v>88.835291338582678</v>
      </c>
      <c r="D741" s="3">
        <f t="shared" si="181"/>
        <v>91.474503937007867</v>
      </c>
      <c r="E741" s="3">
        <f t="shared" si="182"/>
        <v>88.874503937007873</v>
      </c>
      <c r="F741" s="3">
        <f t="shared" si="183"/>
        <v>35.159999999999997</v>
      </c>
      <c r="G741" s="3">
        <f t="shared" si="184"/>
        <v>98.6</v>
      </c>
      <c r="H741" s="3">
        <f t="shared" si="185"/>
        <v>98.6</v>
      </c>
      <c r="I741" s="3"/>
      <c r="J741" s="3">
        <f t="shared" si="186"/>
        <v>84.974503937007867</v>
      </c>
      <c r="K741" s="3">
        <f t="shared" si="187"/>
        <v>91.474503937007867</v>
      </c>
      <c r="L741" s="34">
        <f t="shared" si="188"/>
        <v>88.874503937007873</v>
      </c>
      <c r="M741" s="3">
        <f t="shared" si="189"/>
        <v>-116.4</v>
      </c>
      <c r="N741" s="3">
        <f t="shared" si="190"/>
        <v>80.320000000000007</v>
      </c>
      <c r="O741" s="3"/>
      <c r="P741" s="3">
        <f t="shared" si="191"/>
        <v>107.24359055118111</v>
      </c>
      <c r="Q741" s="3">
        <f t="shared" si="192"/>
        <v>139.90020787401573</v>
      </c>
      <c r="R741" s="3">
        <f>vd(DataTable[[#This Row],[Sentido]],DataTable[[#This Row],[Valor]])</f>
        <v>120.23149606299214</v>
      </c>
      <c r="S741" s="3">
        <f>IF(DataTable[[#This Row],[Valor]]&gt;1,1,1)</f>
        <v>1</v>
      </c>
      <c r="T741" s="3">
        <f>IF(DataTable[[#This Row],[Valor]]&gt;1,1,1)</f>
        <v>1</v>
      </c>
      <c r="U741" s="3">
        <f>angr(DataTable[[#This Row],[Sentido]],DataTable[[#This Row],[Valor]])</f>
        <v>35.194488188976372</v>
      </c>
      <c r="V741" s="3">
        <f>ANGI(DataTable[[#This Row],[Sentido]],DataTable[[#This Row],[Valor]])</f>
        <v>35.901574803149607</v>
      </c>
      <c r="W741" s="3">
        <f t="shared" si="193"/>
        <v>3</v>
      </c>
      <c r="X741" s="3">
        <f>IF(DataTable[[#This Row],[Valor]]&gt;1,1,1)</f>
        <v>1</v>
      </c>
      <c r="Y741" s="3">
        <f t="shared" si="194"/>
        <v>3</v>
      </c>
      <c r="Z741" s="3">
        <f>IF(AND(DataTable[[#This Row],[Sentido]]="URUGUAI para BRASIL",DataTable[[#This Row],[Valor]]&gt;350),1,0)</f>
        <v>0</v>
      </c>
      <c r="AA741" s="3">
        <f>IF(DataTable[[#This Row],[Valor]]&gt;1,0,0)</f>
        <v>0</v>
      </c>
    </row>
    <row r="742" spans="1:27" x14ac:dyDescent="0.25">
      <c r="A742" s="2" t="s">
        <v>18</v>
      </c>
      <c r="B742" s="2">
        <v>333</v>
      </c>
      <c r="C742" s="3">
        <f t="shared" si="180"/>
        <v>88.907397637795285</v>
      </c>
      <c r="D742" s="3">
        <f t="shared" si="181"/>
        <v>91.546728346456689</v>
      </c>
      <c r="E742" s="3">
        <f t="shared" si="182"/>
        <v>88.946728346456695</v>
      </c>
      <c r="F742" s="3">
        <f t="shared" si="183"/>
        <v>35.04</v>
      </c>
      <c r="G742" s="3">
        <f t="shared" si="184"/>
        <v>98.4</v>
      </c>
      <c r="H742" s="3">
        <f t="shared" si="185"/>
        <v>98.4</v>
      </c>
      <c r="I742" s="3"/>
      <c r="J742" s="3">
        <f t="shared" si="186"/>
        <v>85.046728346456689</v>
      </c>
      <c r="K742" s="3">
        <f t="shared" si="187"/>
        <v>91.546728346456689</v>
      </c>
      <c r="L742" s="34">
        <f t="shared" si="188"/>
        <v>88.946728346456695</v>
      </c>
      <c r="M742" s="3">
        <f t="shared" si="189"/>
        <v>-116.6</v>
      </c>
      <c r="N742" s="3">
        <f t="shared" si="190"/>
        <v>80.08</v>
      </c>
      <c r="O742" s="3"/>
      <c r="P742" s="3">
        <f t="shared" si="191"/>
        <v>107.49625196850396</v>
      </c>
      <c r="Q742" s="3">
        <f t="shared" si="192"/>
        <v>140.00565669291339</v>
      </c>
      <c r="R742" s="3">
        <f>vd(DataTable[[#This Row],[Sentido]],DataTable[[#This Row],[Valor]])</f>
        <v>120.52677165354331</v>
      </c>
      <c r="S742" s="3">
        <f>IF(DataTable[[#This Row],[Valor]]&gt;1,1,1)</f>
        <v>1</v>
      </c>
      <c r="T742" s="3">
        <f>IF(DataTable[[#This Row],[Valor]]&gt;1,1,1)</f>
        <v>1</v>
      </c>
      <c r="U742" s="3">
        <f>angr(DataTable[[#This Row],[Sentido]],DataTable[[#This Row],[Valor]])</f>
        <v>35.08031496062992</v>
      </c>
      <c r="V742" s="3">
        <f>ANGI(DataTable[[#This Row],[Sentido]],DataTable[[#This Row],[Valor]])</f>
        <v>35.791338582677163</v>
      </c>
      <c r="W742" s="3">
        <f t="shared" si="193"/>
        <v>3</v>
      </c>
      <c r="X742" s="3">
        <f>IF(DataTable[[#This Row],[Valor]]&gt;1,1,1)</f>
        <v>1</v>
      </c>
      <c r="Y742" s="3">
        <f t="shared" si="194"/>
        <v>3</v>
      </c>
      <c r="Z742" s="3">
        <f>IF(AND(DataTable[[#This Row],[Sentido]]="URUGUAI para BRASIL",DataTable[[#This Row],[Valor]]&gt;350),1,0)</f>
        <v>0</v>
      </c>
      <c r="AA742" s="3">
        <f>IF(DataTable[[#This Row],[Valor]]&gt;1,0,0)</f>
        <v>0</v>
      </c>
    </row>
    <row r="743" spans="1:27" x14ac:dyDescent="0.25">
      <c r="A743" s="2" t="s">
        <v>18</v>
      </c>
      <c r="B743" s="2">
        <v>334</v>
      </c>
      <c r="C743" s="3">
        <f t="shared" si="180"/>
        <v>88.979503937007877</v>
      </c>
      <c r="D743" s="3">
        <f t="shared" si="181"/>
        <v>91.618952755905511</v>
      </c>
      <c r="E743" s="3">
        <f t="shared" si="182"/>
        <v>89.018952755905516</v>
      </c>
      <c r="F743" s="3">
        <f t="shared" si="183"/>
        <v>34.92</v>
      </c>
      <c r="G743" s="3">
        <f t="shared" si="184"/>
        <v>98.199999999999989</v>
      </c>
      <c r="H743" s="3">
        <f t="shared" si="185"/>
        <v>98.199999999999989</v>
      </c>
      <c r="I743" s="3"/>
      <c r="J743" s="3">
        <f t="shared" si="186"/>
        <v>85.118952755905511</v>
      </c>
      <c r="K743" s="3">
        <f t="shared" si="187"/>
        <v>91.618952755905511</v>
      </c>
      <c r="L743" s="34">
        <f t="shared" si="188"/>
        <v>89.018952755905516</v>
      </c>
      <c r="M743" s="3">
        <f t="shared" si="189"/>
        <v>-116.8</v>
      </c>
      <c r="N743" s="3">
        <f t="shared" si="190"/>
        <v>79.84</v>
      </c>
      <c r="O743" s="3"/>
      <c r="P743" s="3">
        <f t="shared" si="191"/>
        <v>107.74891338582677</v>
      </c>
      <c r="Q743" s="3">
        <f t="shared" si="192"/>
        <v>140.11110551181102</v>
      </c>
      <c r="R743" s="3">
        <f>vd(DataTable[[#This Row],[Sentido]],DataTable[[#This Row],[Valor]])</f>
        <v>120.82204724409449</v>
      </c>
      <c r="S743" s="3">
        <f>IF(DataTable[[#This Row],[Valor]]&gt;1,1,1)</f>
        <v>1</v>
      </c>
      <c r="T743" s="3">
        <f>IF(DataTable[[#This Row],[Valor]]&gt;1,1,1)</f>
        <v>1</v>
      </c>
      <c r="U743" s="3">
        <f>angr(DataTable[[#This Row],[Sentido]],DataTable[[#This Row],[Valor]])</f>
        <v>34.966141732283461</v>
      </c>
      <c r="V743" s="3">
        <f>ANGI(DataTable[[#This Row],[Sentido]],DataTable[[#This Row],[Valor]])</f>
        <v>35.681102362204726</v>
      </c>
      <c r="W743" s="3">
        <f t="shared" si="193"/>
        <v>3</v>
      </c>
      <c r="X743" s="3">
        <f>IF(DataTable[[#This Row],[Valor]]&gt;1,1,1)</f>
        <v>1</v>
      </c>
      <c r="Y743" s="3">
        <f t="shared" si="194"/>
        <v>3</v>
      </c>
      <c r="Z743" s="3">
        <f>IF(AND(DataTable[[#This Row],[Sentido]]="URUGUAI para BRASIL",DataTable[[#This Row],[Valor]]&gt;350),1,0)</f>
        <v>0</v>
      </c>
      <c r="AA743" s="3">
        <f>IF(DataTable[[#This Row],[Valor]]&gt;1,0,0)</f>
        <v>0</v>
      </c>
    </row>
    <row r="744" spans="1:27" x14ac:dyDescent="0.25">
      <c r="A744" s="2" t="s">
        <v>18</v>
      </c>
      <c r="B744" s="2">
        <v>335</v>
      </c>
      <c r="C744" s="3">
        <f t="shared" si="180"/>
        <v>89.051610236220469</v>
      </c>
      <c r="D744" s="3">
        <f t="shared" si="181"/>
        <v>91.691177165354318</v>
      </c>
      <c r="E744" s="3">
        <f t="shared" si="182"/>
        <v>89.091177165354324</v>
      </c>
      <c r="F744" s="3">
        <f t="shared" si="183"/>
        <v>34.799999999999997</v>
      </c>
      <c r="G744" s="3">
        <f t="shared" si="184"/>
        <v>98</v>
      </c>
      <c r="H744" s="3">
        <f t="shared" si="185"/>
        <v>98</v>
      </c>
      <c r="I744" s="3"/>
      <c r="J744" s="3">
        <f t="shared" si="186"/>
        <v>85.191177165354318</v>
      </c>
      <c r="K744" s="3">
        <f t="shared" si="187"/>
        <v>91.691177165354318</v>
      </c>
      <c r="L744" s="34">
        <f t="shared" si="188"/>
        <v>89.091177165354324</v>
      </c>
      <c r="M744" s="3">
        <f t="shared" si="189"/>
        <v>-117</v>
      </c>
      <c r="N744" s="3">
        <f t="shared" si="190"/>
        <v>79.599999999999994</v>
      </c>
      <c r="O744" s="3"/>
      <c r="P744" s="3">
        <f t="shared" si="191"/>
        <v>108.00157480314961</v>
      </c>
      <c r="Q744" s="3">
        <f t="shared" si="192"/>
        <v>140.21655433070868</v>
      </c>
      <c r="R744" s="3">
        <f>vd(DataTable[[#This Row],[Sentido]],DataTable[[#This Row],[Valor]])</f>
        <v>121.11732283464568</v>
      </c>
      <c r="S744" s="3">
        <f>IF(DataTable[[#This Row],[Valor]]&gt;1,1,1)</f>
        <v>1</v>
      </c>
      <c r="T744" s="3">
        <f>IF(DataTable[[#This Row],[Valor]]&gt;1,1,1)</f>
        <v>1</v>
      </c>
      <c r="U744" s="3">
        <f>angr(DataTable[[#This Row],[Sentido]],DataTable[[#This Row],[Valor]])</f>
        <v>34.851968503937009</v>
      </c>
      <c r="V744" s="3">
        <f>ANGI(DataTable[[#This Row],[Sentido]],DataTable[[#This Row],[Valor]])</f>
        <v>35.570866141732282</v>
      </c>
      <c r="W744" s="3">
        <f t="shared" si="193"/>
        <v>3</v>
      </c>
      <c r="X744" s="3">
        <f>IF(DataTable[[#This Row],[Valor]]&gt;1,1,1)</f>
        <v>1</v>
      </c>
      <c r="Y744" s="3">
        <f t="shared" si="194"/>
        <v>3</v>
      </c>
      <c r="Z744" s="3">
        <f>IF(AND(DataTable[[#This Row],[Sentido]]="URUGUAI para BRASIL",DataTable[[#This Row],[Valor]]&gt;350),1,0)</f>
        <v>0</v>
      </c>
      <c r="AA744" s="3">
        <f>IF(DataTable[[#This Row],[Valor]]&gt;1,0,0)</f>
        <v>0</v>
      </c>
    </row>
    <row r="745" spans="1:27" x14ac:dyDescent="0.25">
      <c r="A745" s="2" t="s">
        <v>18</v>
      </c>
      <c r="B745" s="2">
        <v>336</v>
      </c>
      <c r="C745" s="3">
        <f t="shared" si="180"/>
        <v>89.123716535433076</v>
      </c>
      <c r="D745" s="3">
        <f t="shared" si="181"/>
        <v>91.76340157480314</v>
      </c>
      <c r="E745" s="3">
        <f t="shared" si="182"/>
        <v>89.163401574803146</v>
      </c>
      <c r="F745" s="3">
        <f t="shared" si="183"/>
        <v>34.68</v>
      </c>
      <c r="G745" s="3">
        <f t="shared" si="184"/>
        <v>97.8</v>
      </c>
      <c r="H745" s="3">
        <f t="shared" si="185"/>
        <v>97.8</v>
      </c>
      <c r="I745" s="3"/>
      <c r="J745" s="3">
        <f t="shared" si="186"/>
        <v>85.26340157480314</v>
      </c>
      <c r="K745" s="3">
        <f t="shared" si="187"/>
        <v>91.76340157480314</v>
      </c>
      <c r="L745" s="34">
        <f t="shared" si="188"/>
        <v>89.163401574803146</v>
      </c>
      <c r="M745" s="3">
        <f t="shared" si="189"/>
        <v>-117.2</v>
      </c>
      <c r="N745" s="3">
        <f t="shared" si="190"/>
        <v>79.36</v>
      </c>
      <c r="O745" s="3"/>
      <c r="P745" s="3">
        <f t="shared" si="191"/>
        <v>108.25423622047245</v>
      </c>
      <c r="Q745" s="3">
        <f t="shared" si="192"/>
        <v>140.3220031496063</v>
      </c>
      <c r="R745" s="3">
        <f>vd(DataTable[[#This Row],[Sentido]],DataTable[[#This Row],[Valor]])</f>
        <v>121.41259842519685</v>
      </c>
      <c r="S745" s="3">
        <f>IF(DataTable[[#This Row],[Valor]]&gt;1,1,1)</f>
        <v>1</v>
      </c>
      <c r="T745" s="3">
        <f>IF(DataTable[[#This Row],[Valor]]&gt;1,1,1)</f>
        <v>1</v>
      </c>
      <c r="U745" s="3">
        <f>angr(DataTable[[#This Row],[Sentido]],DataTable[[#This Row],[Valor]])</f>
        <v>34.73779527559055</v>
      </c>
      <c r="V745" s="3">
        <f>ANGI(DataTable[[#This Row],[Sentido]],DataTable[[#This Row],[Valor]])</f>
        <v>35.460629921259844</v>
      </c>
      <c r="W745" s="3">
        <f t="shared" si="193"/>
        <v>3</v>
      </c>
      <c r="X745" s="3">
        <f>IF(DataTable[[#This Row],[Valor]]&gt;1,1,1)</f>
        <v>1</v>
      </c>
      <c r="Y745" s="3">
        <f t="shared" si="194"/>
        <v>3</v>
      </c>
      <c r="Z745" s="3">
        <f>IF(AND(DataTable[[#This Row],[Sentido]]="URUGUAI para BRASIL",DataTable[[#This Row],[Valor]]&gt;350),1,0)</f>
        <v>0</v>
      </c>
      <c r="AA745" s="3">
        <f>IF(DataTable[[#This Row],[Valor]]&gt;1,0,0)</f>
        <v>0</v>
      </c>
    </row>
    <row r="746" spans="1:27" x14ac:dyDescent="0.25">
      <c r="A746" s="2" t="s">
        <v>18</v>
      </c>
      <c r="B746" s="2">
        <v>337</v>
      </c>
      <c r="C746" s="3">
        <f t="shared" si="180"/>
        <v>89.195822834645668</v>
      </c>
      <c r="D746" s="3">
        <f t="shared" si="181"/>
        <v>91.835625984251962</v>
      </c>
      <c r="E746" s="3">
        <f t="shared" si="182"/>
        <v>89.235625984251968</v>
      </c>
      <c r="F746" s="3">
        <f t="shared" si="183"/>
        <v>34.56</v>
      </c>
      <c r="G746" s="3">
        <f t="shared" si="184"/>
        <v>97.6</v>
      </c>
      <c r="H746" s="3">
        <f t="shared" si="185"/>
        <v>97.6</v>
      </c>
      <c r="I746" s="3"/>
      <c r="J746" s="3">
        <f t="shared" si="186"/>
        <v>85.335625984251962</v>
      </c>
      <c r="K746" s="3">
        <f t="shared" si="187"/>
        <v>91.835625984251962</v>
      </c>
      <c r="L746" s="34">
        <f t="shared" si="188"/>
        <v>89.235625984251968</v>
      </c>
      <c r="M746" s="3">
        <f t="shared" si="189"/>
        <v>-117.4</v>
      </c>
      <c r="N746" s="3">
        <f t="shared" si="190"/>
        <v>79.12</v>
      </c>
      <c r="O746" s="3"/>
      <c r="P746" s="3">
        <f t="shared" si="191"/>
        <v>108.50689763779526</v>
      </c>
      <c r="Q746" s="3">
        <f t="shared" si="192"/>
        <v>140.42745196850393</v>
      </c>
      <c r="R746" s="3">
        <f>vd(DataTable[[#This Row],[Sentido]],DataTable[[#This Row],[Valor]])</f>
        <v>121.70787401574802</v>
      </c>
      <c r="S746" s="3">
        <f>IF(DataTable[[#This Row],[Valor]]&gt;1,1,1)</f>
        <v>1</v>
      </c>
      <c r="T746" s="3">
        <f>IF(DataTable[[#This Row],[Valor]]&gt;1,1,1)</f>
        <v>1</v>
      </c>
      <c r="U746" s="3">
        <f>angr(DataTable[[#This Row],[Sentido]],DataTable[[#This Row],[Valor]])</f>
        <v>34.623622047244098</v>
      </c>
      <c r="V746" s="3">
        <f>ANGI(DataTable[[#This Row],[Sentido]],DataTable[[#This Row],[Valor]])</f>
        <v>35.350393700787407</v>
      </c>
      <c r="W746" s="3">
        <f t="shared" si="193"/>
        <v>3</v>
      </c>
      <c r="X746" s="3">
        <f>IF(DataTable[[#This Row],[Valor]]&gt;1,1,1)</f>
        <v>1</v>
      </c>
      <c r="Y746" s="3">
        <f t="shared" si="194"/>
        <v>3</v>
      </c>
      <c r="Z746" s="3">
        <f>IF(AND(DataTable[[#This Row],[Sentido]]="URUGUAI para BRASIL",DataTable[[#This Row],[Valor]]&gt;350),1,0)</f>
        <v>0</v>
      </c>
      <c r="AA746" s="3">
        <f>IF(DataTable[[#This Row],[Valor]]&gt;1,0,0)</f>
        <v>0</v>
      </c>
    </row>
    <row r="747" spans="1:27" x14ac:dyDescent="0.25">
      <c r="A747" s="2" t="s">
        <v>18</v>
      </c>
      <c r="B747" s="2">
        <v>338</v>
      </c>
      <c r="C747" s="3">
        <f t="shared" si="180"/>
        <v>89.267929133858274</v>
      </c>
      <c r="D747" s="3">
        <f t="shared" si="181"/>
        <v>91.907850393700784</v>
      </c>
      <c r="E747" s="3">
        <f t="shared" si="182"/>
        <v>89.307850393700789</v>
      </c>
      <c r="F747" s="3">
        <f t="shared" si="183"/>
        <v>34.44</v>
      </c>
      <c r="G747" s="3">
        <f t="shared" si="184"/>
        <v>97.4</v>
      </c>
      <c r="H747" s="3">
        <f t="shared" si="185"/>
        <v>97.4</v>
      </c>
      <c r="I747" s="3"/>
      <c r="J747" s="3">
        <f t="shared" si="186"/>
        <v>85.407850393700784</v>
      </c>
      <c r="K747" s="3">
        <f t="shared" si="187"/>
        <v>91.907850393700784</v>
      </c>
      <c r="L747" s="34">
        <f t="shared" si="188"/>
        <v>89.307850393700789</v>
      </c>
      <c r="M747" s="3">
        <f t="shared" si="189"/>
        <v>-117.6</v>
      </c>
      <c r="N747" s="3">
        <f t="shared" si="190"/>
        <v>78.88</v>
      </c>
      <c r="O747" s="3"/>
      <c r="P747" s="3">
        <f t="shared" si="191"/>
        <v>108.75955905511812</v>
      </c>
      <c r="Q747" s="3">
        <f t="shared" si="192"/>
        <v>140.53290078740159</v>
      </c>
      <c r="R747" s="3">
        <f>vd(DataTable[[#This Row],[Sentido]],DataTable[[#This Row],[Valor]])</f>
        <v>122.00314960629922</v>
      </c>
      <c r="S747" s="3">
        <f>IF(DataTable[[#This Row],[Valor]]&gt;1,1,1)</f>
        <v>1</v>
      </c>
      <c r="T747" s="3">
        <f>IF(DataTable[[#This Row],[Valor]]&gt;1,1,1)</f>
        <v>1</v>
      </c>
      <c r="U747" s="3">
        <f>angr(DataTable[[#This Row],[Sentido]],DataTable[[#This Row],[Valor]])</f>
        <v>34.509448818897631</v>
      </c>
      <c r="V747" s="3">
        <f>ANGI(DataTable[[#This Row],[Sentido]],DataTable[[#This Row],[Valor]])</f>
        <v>35.240157480314956</v>
      </c>
      <c r="W747" s="3">
        <f t="shared" si="193"/>
        <v>3</v>
      </c>
      <c r="X747" s="3">
        <f>IF(DataTable[[#This Row],[Valor]]&gt;1,1,1)</f>
        <v>1</v>
      </c>
      <c r="Y747" s="3">
        <f t="shared" si="194"/>
        <v>3</v>
      </c>
      <c r="Z747" s="3">
        <f>IF(AND(DataTable[[#This Row],[Sentido]]="URUGUAI para BRASIL",DataTable[[#This Row],[Valor]]&gt;350),1,0)</f>
        <v>0</v>
      </c>
      <c r="AA747" s="3">
        <f>IF(DataTable[[#This Row],[Valor]]&gt;1,0,0)</f>
        <v>0</v>
      </c>
    </row>
    <row r="748" spans="1:27" x14ac:dyDescent="0.25">
      <c r="A748" s="2" t="s">
        <v>18</v>
      </c>
      <c r="B748" s="2">
        <v>339</v>
      </c>
      <c r="C748" s="3">
        <f t="shared" si="180"/>
        <v>89.340035433070867</v>
      </c>
      <c r="D748" s="3">
        <f t="shared" si="181"/>
        <v>91.980074803149606</v>
      </c>
      <c r="E748" s="3">
        <f t="shared" si="182"/>
        <v>89.380074803149611</v>
      </c>
      <c r="F748" s="3">
        <f t="shared" si="183"/>
        <v>34.32</v>
      </c>
      <c r="G748" s="3">
        <f t="shared" si="184"/>
        <v>97.199999999999989</v>
      </c>
      <c r="H748" s="3">
        <f t="shared" si="185"/>
        <v>97.199999999999989</v>
      </c>
      <c r="I748" s="3"/>
      <c r="J748" s="3">
        <f t="shared" si="186"/>
        <v>85.480074803149606</v>
      </c>
      <c r="K748" s="3">
        <f t="shared" si="187"/>
        <v>91.980074803149606</v>
      </c>
      <c r="L748" s="34">
        <f t="shared" si="188"/>
        <v>89.380074803149611</v>
      </c>
      <c r="M748" s="3">
        <f t="shared" si="189"/>
        <v>-117.8</v>
      </c>
      <c r="N748" s="3">
        <f t="shared" si="190"/>
        <v>78.64</v>
      </c>
      <c r="O748" s="3"/>
      <c r="P748" s="3">
        <f t="shared" si="191"/>
        <v>109.01222047244096</v>
      </c>
      <c r="Q748" s="3">
        <f t="shared" si="192"/>
        <v>140.63834960629922</v>
      </c>
      <c r="R748" s="3">
        <f>vd(DataTable[[#This Row],[Sentido]],DataTable[[#This Row],[Valor]])</f>
        <v>122.2984251968504</v>
      </c>
      <c r="S748" s="3">
        <f>IF(DataTable[[#This Row],[Valor]]&gt;1,1,1)</f>
        <v>1</v>
      </c>
      <c r="T748" s="3">
        <f>IF(DataTable[[#This Row],[Valor]]&gt;1,1,1)</f>
        <v>1</v>
      </c>
      <c r="U748" s="3">
        <f>angr(DataTable[[#This Row],[Sentido]],DataTable[[#This Row],[Valor]])</f>
        <v>34.395275590551179</v>
      </c>
      <c r="V748" s="3">
        <f>ANGI(DataTable[[#This Row],[Sentido]],DataTable[[#This Row],[Valor]])</f>
        <v>35.129921259842519</v>
      </c>
      <c r="W748" s="3">
        <f t="shared" si="193"/>
        <v>3</v>
      </c>
      <c r="X748" s="3">
        <f>IF(DataTable[[#This Row],[Valor]]&gt;1,1,1)</f>
        <v>1</v>
      </c>
      <c r="Y748" s="3">
        <f t="shared" si="194"/>
        <v>3</v>
      </c>
      <c r="Z748" s="3">
        <f>IF(AND(DataTable[[#This Row],[Sentido]]="URUGUAI para BRASIL",DataTable[[#This Row],[Valor]]&gt;350),1,0)</f>
        <v>0</v>
      </c>
      <c r="AA748" s="3">
        <f>IF(DataTable[[#This Row],[Valor]]&gt;1,0,0)</f>
        <v>0</v>
      </c>
    </row>
    <row r="749" spans="1:27" x14ac:dyDescent="0.25">
      <c r="A749" s="2" t="s">
        <v>18</v>
      </c>
      <c r="B749" s="2">
        <v>340</v>
      </c>
      <c r="C749" s="3">
        <f t="shared" si="180"/>
        <v>89.412141732283473</v>
      </c>
      <c r="D749" s="3">
        <f t="shared" si="181"/>
        <v>92.052299212598427</v>
      </c>
      <c r="E749" s="3">
        <f t="shared" si="182"/>
        <v>89.452299212598433</v>
      </c>
      <c r="F749" s="3">
        <f t="shared" si="183"/>
        <v>34.200000000000003</v>
      </c>
      <c r="G749" s="3">
        <f t="shared" si="184"/>
        <v>97</v>
      </c>
      <c r="H749" s="3">
        <f t="shared" si="185"/>
        <v>97</v>
      </c>
      <c r="I749" s="3"/>
      <c r="J749" s="3">
        <f t="shared" si="186"/>
        <v>85.552299212598427</v>
      </c>
      <c r="K749" s="3">
        <f t="shared" si="187"/>
        <v>92.052299212598427</v>
      </c>
      <c r="L749" s="34">
        <f t="shared" si="188"/>
        <v>89.452299212598433</v>
      </c>
      <c r="M749" s="3">
        <f t="shared" si="189"/>
        <v>-118</v>
      </c>
      <c r="N749" s="3">
        <f t="shared" si="190"/>
        <v>78.400000000000006</v>
      </c>
      <c r="O749" s="3"/>
      <c r="P749" s="3">
        <f t="shared" si="191"/>
        <v>109.26488188976377</v>
      </c>
      <c r="Q749" s="3">
        <f t="shared" si="192"/>
        <v>140.74379842519687</v>
      </c>
      <c r="R749" s="3">
        <f>vd(DataTable[[#This Row],[Sentido]],DataTable[[#This Row],[Valor]])</f>
        <v>122.59370078740159</v>
      </c>
      <c r="S749" s="3">
        <f>IF(DataTable[[#This Row],[Valor]]&gt;1,1,1)</f>
        <v>1</v>
      </c>
      <c r="T749" s="3">
        <f>IF(DataTable[[#This Row],[Valor]]&gt;1,1,1)</f>
        <v>1</v>
      </c>
      <c r="U749" s="3">
        <f>angr(DataTable[[#This Row],[Sentido]],DataTable[[#This Row],[Valor]])</f>
        <v>34.28110236220472</v>
      </c>
      <c r="V749" s="3">
        <f>ANGI(DataTable[[#This Row],[Sentido]],DataTable[[#This Row],[Valor]])</f>
        <v>35.019685039370074</v>
      </c>
      <c r="W749" s="3">
        <f t="shared" si="193"/>
        <v>3</v>
      </c>
      <c r="X749" s="3">
        <f>IF(DataTable[[#This Row],[Valor]]&gt;1,1,1)</f>
        <v>1</v>
      </c>
      <c r="Y749" s="3">
        <f t="shared" si="194"/>
        <v>3</v>
      </c>
      <c r="Z749" s="3">
        <f>IF(AND(DataTable[[#This Row],[Sentido]]="URUGUAI para BRASIL",DataTable[[#This Row],[Valor]]&gt;350),1,0)</f>
        <v>0</v>
      </c>
      <c r="AA749" s="3">
        <f>IF(DataTable[[#This Row],[Valor]]&gt;1,0,0)</f>
        <v>0</v>
      </c>
    </row>
    <row r="750" spans="1:27" x14ac:dyDescent="0.25">
      <c r="A750" s="2" t="s">
        <v>18</v>
      </c>
      <c r="B750" s="2">
        <v>341</v>
      </c>
      <c r="C750" s="3">
        <f t="shared" si="180"/>
        <v>89.484248031496065</v>
      </c>
      <c r="D750" s="3">
        <f t="shared" si="181"/>
        <v>92.124523622047235</v>
      </c>
      <c r="E750" s="3">
        <f t="shared" si="182"/>
        <v>89.524523622047241</v>
      </c>
      <c r="F750" s="3">
        <f t="shared" si="183"/>
        <v>34.08</v>
      </c>
      <c r="G750" s="3">
        <f t="shared" si="184"/>
        <v>96.8</v>
      </c>
      <c r="H750" s="3">
        <f t="shared" si="185"/>
        <v>96.8</v>
      </c>
      <c r="I750" s="3"/>
      <c r="J750" s="3">
        <f t="shared" si="186"/>
        <v>85.624523622047235</v>
      </c>
      <c r="K750" s="3">
        <f t="shared" si="187"/>
        <v>92.124523622047235</v>
      </c>
      <c r="L750" s="34">
        <f t="shared" si="188"/>
        <v>89.524523622047241</v>
      </c>
      <c r="M750" s="3">
        <f t="shared" si="189"/>
        <v>-118.2</v>
      </c>
      <c r="N750" s="3">
        <f t="shared" si="190"/>
        <v>78.16</v>
      </c>
      <c r="O750" s="3"/>
      <c r="P750" s="3">
        <f t="shared" si="191"/>
        <v>109.51754330708661</v>
      </c>
      <c r="Q750" s="3">
        <f t="shared" si="192"/>
        <v>140.8492472440945</v>
      </c>
      <c r="R750" s="3">
        <f>vd(DataTable[[#This Row],[Sentido]],DataTable[[#This Row],[Valor]])</f>
        <v>122.88897637795276</v>
      </c>
      <c r="S750" s="3">
        <f>IF(DataTable[[#This Row],[Valor]]&gt;1,1,1)</f>
        <v>1</v>
      </c>
      <c r="T750" s="3">
        <f>IF(DataTable[[#This Row],[Valor]]&gt;1,1,1)</f>
        <v>1</v>
      </c>
      <c r="U750" s="3">
        <f>angr(DataTable[[#This Row],[Sentido]],DataTable[[#This Row],[Valor]])</f>
        <v>34.166929133858268</v>
      </c>
      <c r="V750" s="3">
        <f>ANGI(DataTable[[#This Row],[Sentido]],DataTable[[#This Row],[Valor]])</f>
        <v>34.909448818897637</v>
      </c>
      <c r="W750" s="3">
        <f t="shared" si="193"/>
        <v>3</v>
      </c>
      <c r="X750" s="3">
        <f>IF(DataTable[[#This Row],[Valor]]&gt;1,1,1)</f>
        <v>1</v>
      </c>
      <c r="Y750" s="3">
        <f t="shared" si="194"/>
        <v>3</v>
      </c>
      <c r="Z750" s="3">
        <f>IF(AND(DataTable[[#This Row],[Sentido]]="URUGUAI para BRASIL",DataTable[[#This Row],[Valor]]&gt;350),1,0)</f>
        <v>0</v>
      </c>
      <c r="AA750" s="3">
        <f>IF(DataTable[[#This Row],[Valor]]&gt;1,0,0)</f>
        <v>0</v>
      </c>
    </row>
    <row r="751" spans="1:27" x14ac:dyDescent="0.25">
      <c r="A751" s="2" t="s">
        <v>18</v>
      </c>
      <c r="B751" s="2">
        <v>342</v>
      </c>
      <c r="C751" s="3">
        <f t="shared" si="180"/>
        <v>89.556354330708658</v>
      </c>
      <c r="D751" s="3">
        <f t="shared" si="181"/>
        <v>92.196748031496057</v>
      </c>
      <c r="E751" s="3">
        <f t="shared" si="182"/>
        <v>89.596748031496062</v>
      </c>
      <c r="F751" s="3">
        <f t="shared" si="183"/>
        <v>33.96</v>
      </c>
      <c r="G751" s="3">
        <f t="shared" si="184"/>
        <v>96.6</v>
      </c>
      <c r="H751" s="3">
        <f t="shared" si="185"/>
        <v>96.6</v>
      </c>
      <c r="I751" s="3"/>
      <c r="J751" s="3">
        <f t="shared" si="186"/>
        <v>85.696748031496057</v>
      </c>
      <c r="K751" s="3">
        <f t="shared" si="187"/>
        <v>92.196748031496057</v>
      </c>
      <c r="L751" s="34">
        <f t="shared" si="188"/>
        <v>89.596748031496062</v>
      </c>
      <c r="M751" s="3">
        <f t="shared" si="189"/>
        <v>-118.4</v>
      </c>
      <c r="N751" s="3">
        <f t="shared" si="190"/>
        <v>77.92</v>
      </c>
      <c r="O751" s="3"/>
      <c r="P751" s="3">
        <f t="shared" si="191"/>
        <v>109.77020472440945</v>
      </c>
      <c r="Q751" s="3">
        <f t="shared" si="192"/>
        <v>140.95469606299213</v>
      </c>
      <c r="R751" s="3">
        <f>vd(DataTable[[#This Row],[Sentido]],DataTable[[#This Row],[Valor]])</f>
        <v>123.18425196850393</v>
      </c>
      <c r="S751" s="3">
        <f>IF(DataTable[[#This Row],[Valor]]&gt;1,1,1)</f>
        <v>1</v>
      </c>
      <c r="T751" s="3">
        <f>IF(DataTable[[#This Row],[Valor]]&gt;1,1,1)</f>
        <v>1</v>
      </c>
      <c r="U751" s="3">
        <f>angr(DataTable[[#This Row],[Sentido]],DataTable[[#This Row],[Valor]])</f>
        <v>34.052755905511809</v>
      </c>
      <c r="V751" s="3">
        <f>ANGI(DataTable[[#This Row],[Sentido]],DataTable[[#This Row],[Valor]])</f>
        <v>34.7992125984252</v>
      </c>
      <c r="W751" s="3">
        <f t="shared" si="193"/>
        <v>3</v>
      </c>
      <c r="X751" s="3">
        <f>IF(DataTable[[#This Row],[Valor]]&gt;1,1,1)</f>
        <v>1</v>
      </c>
      <c r="Y751" s="3">
        <f t="shared" si="194"/>
        <v>3</v>
      </c>
      <c r="Z751" s="3">
        <f>IF(AND(DataTable[[#This Row],[Sentido]]="URUGUAI para BRASIL",DataTable[[#This Row],[Valor]]&gt;350),1,0)</f>
        <v>0</v>
      </c>
      <c r="AA751" s="3">
        <f>IF(DataTable[[#This Row],[Valor]]&gt;1,0,0)</f>
        <v>0</v>
      </c>
    </row>
    <row r="752" spans="1:27" x14ac:dyDescent="0.25">
      <c r="A752" s="2" t="s">
        <v>18</v>
      </c>
      <c r="B752" s="2">
        <v>343</v>
      </c>
      <c r="C752" s="3">
        <f t="shared" si="180"/>
        <v>89.628460629921264</v>
      </c>
      <c r="D752" s="3">
        <f t="shared" si="181"/>
        <v>92.268972440944879</v>
      </c>
      <c r="E752" s="3">
        <f t="shared" si="182"/>
        <v>89.668972440944884</v>
      </c>
      <c r="F752" s="3">
        <f t="shared" si="183"/>
        <v>33.840000000000003</v>
      </c>
      <c r="G752" s="3">
        <f t="shared" si="184"/>
        <v>96.4</v>
      </c>
      <c r="H752" s="3">
        <f t="shared" si="185"/>
        <v>96.4</v>
      </c>
      <c r="I752" s="3"/>
      <c r="J752" s="3">
        <f t="shared" si="186"/>
        <v>85.768972440944879</v>
      </c>
      <c r="K752" s="3">
        <f t="shared" si="187"/>
        <v>92.268972440944879</v>
      </c>
      <c r="L752" s="34">
        <f t="shared" si="188"/>
        <v>89.668972440944884</v>
      </c>
      <c r="M752" s="3">
        <f t="shared" si="189"/>
        <v>-118.6</v>
      </c>
      <c r="N752" s="3">
        <f t="shared" si="190"/>
        <v>77.680000000000007</v>
      </c>
      <c r="O752" s="3"/>
      <c r="P752" s="3">
        <f t="shared" si="191"/>
        <v>110.02286614173229</v>
      </c>
      <c r="Q752" s="3">
        <f t="shared" si="192"/>
        <v>141.06014488188976</v>
      </c>
      <c r="R752" s="3">
        <f>vd(DataTable[[#This Row],[Sentido]],DataTable[[#This Row],[Valor]])</f>
        <v>123.47952755905511</v>
      </c>
      <c r="S752" s="3">
        <f>IF(DataTable[[#This Row],[Valor]]&gt;1,1,1)</f>
        <v>1</v>
      </c>
      <c r="T752" s="3">
        <f>IF(DataTable[[#This Row],[Valor]]&gt;1,1,1)</f>
        <v>1</v>
      </c>
      <c r="U752" s="3">
        <f>angr(DataTable[[#This Row],[Sentido]],DataTable[[#This Row],[Valor]])</f>
        <v>33.938582677165357</v>
      </c>
      <c r="V752" s="3">
        <f>ANGI(DataTable[[#This Row],[Sentido]],DataTable[[#This Row],[Valor]])</f>
        <v>34.688976377952756</v>
      </c>
      <c r="W752" s="3">
        <f t="shared" si="193"/>
        <v>3</v>
      </c>
      <c r="X752" s="3">
        <f>IF(DataTable[[#This Row],[Valor]]&gt;1,1,1)</f>
        <v>1</v>
      </c>
      <c r="Y752" s="3">
        <f t="shared" si="194"/>
        <v>3</v>
      </c>
      <c r="Z752" s="3">
        <f>IF(AND(DataTable[[#This Row],[Sentido]]="URUGUAI para BRASIL",DataTable[[#This Row],[Valor]]&gt;350),1,0)</f>
        <v>0</v>
      </c>
      <c r="AA752" s="3">
        <f>IF(DataTable[[#This Row],[Valor]]&gt;1,0,0)</f>
        <v>0</v>
      </c>
    </row>
    <row r="753" spans="1:27" x14ac:dyDescent="0.25">
      <c r="A753" s="2" t="s">
        <v>18</v>
      </c>
      <c r="B753" s="2">
        <v>344</v>
      </c>
      <c r="C753" s="3">
        <f t="shared" si="180"/>
        <v>89.700566929133856</v>
      </c>
      <c r="D753" s="3">
        <f t="shared" si="181"/>
        <v>92.3411968503937</v>
      </c>
      <c r="E753" s="3">
        <f t="shared" si="182"/>
        <v>89.741196850393706</v>
      </c>
      <c r="F753" s="3">
        <f t="shared" si="183"/>
        <v>33.72</v>
      </c>
      <c r="G753" s="3">
        <f t="shared" si="184"/>
        <v>96.2</v>
      </c>
      <c r="H753" s="3">
        <f t="shared" si="185"/>
        <v>96.2</v>
      </c>
      <c r="I753" s="3"/>
      <c r="J753" s="3">
        <f t="shared" si="186"/>
        <v>85.8411968503937</v>
      </c>
      <c r="K753" s="3">
        <f t="shared" si="187"/>
        <v>92.3411968503937</v>
      </c>
      <c r="L753" s="34">
        <f t="shared" si="188"/>
        <v>89.741196850393706</v>
      </c>
      <c r="M753" s="3">
        <f t="shared" si="189"/>
        <v>-118.8</v>
      </c>
      <c r="N753" s="3">
        <f t="shared" si="190"/>
        <v>77.44</v>
      </c>
      <c r="O753" s="3"/>
      <c r="P753" s="3">
        <f t="shared" si="191"/>
        <v>110.27552755905511</v>
      </c>
      <c r="Q753" s="3">
        <f t="shared" si="192"/>
        <v>141.16559370078738</v>
      </c>
      <c r="R753" s="3">
        <f>vd(DataTable[[#This Row],[Sentido]],DataTable[[#This Row],[Valor]])</f>
        <v>123.7748031496063</v>
      </c>
      <c r="S753" s="3">
        <f>IF(DataTable[[#This Row],[Valor]]&gt;1,1,1)</f>
        <v>1</v>
      </c>
      <c r="T753" s="3">
        <f>IF(DataTable[[#This Row],[Valor]]&gt;1,1,1)</f>
        <v>1</v>
      </c>
      <c r="U753" s="3">
        <f>angr(DataTable[[#This Row],[Sentido]],DataTable[[#This Row],[Valor]])</f>
        <v>33.824409448818898</v>
      </c>
      <c r="V753" s="3">
        <f>ANGI(DataTable[[#This Row],[Sentido]],DataTable[[#This Row],[Valor]])</f>
        <v>34.578740157480318</v>
      </c>
      <c r="W753" s="3">
        <f t="shared" si="193"/>
        <v>3</v>
      </c>
      <c r="X753" s="3">
        <f>IF(DataTable[[#This Row],[Valor]]&gt;1,1,1)</f>
        <v>1</v>
      </c>
      <c r="Y753" s="3">
        <f t="shared" si="194"/>
        <v>3</v>
      </c>
      <c r="Z753" s="3">
        <f>IF(AND(DataTable[[#This Row],[Sentido]]="URUGUAI para BRASIL",DataTable[[#This Row],[Valor]]&gt;350),1,0)</f>
        <v>0</v>
      </c>
      <c r="AA753" s="3">
        <f>IF(DataTable[[#This Row],[Valor]]&gt;1,0,0)</f>
        <v>0</v>
      </c>
    </row>
    <row r="754" spans="1:27" x14ac:dyDescent="0.25">
      <c r="A754" s="2" t="s">
        <v>18</v>
      </c>
      <c r="B754" s="2">
        <v>345</v>
      </c>
      <c r="C754" s="3">
        <f t="shared" si="180"/>
        <v>89.772673228346463</v>
      </c>
      <c r="D754" s="3">
        <f t="shared" si="181"/>
        <v>92.413421259842522</v>
      </c>
      <c r="E754" s="3">
        <f t="shared" si="182"/>
        <v>89.813421259842528</v>
      </c>
      <c r="F754" s="3">
        <f t="shared" si="183"/>
        <v>33.6</v>
      </c>
      <c r="G754" s="3">
        <f t="shared" si="184"/>
        <v>96</v>
      </c>
      <c r="H754" s="3">
        <f t="shared" si="185"/>
        <v>96</v>
      </c>
      <c r="I754" s="3"/>
      <c r="J754" s="3">
        <f t="shared" si="186"/>
        <v>85.913421259842522</v>
      </c>
      <c r="K754" s="3">
        <f t="shared" si="187"/>
        <v>92.413421259842522</v>
      </c>
      <c r="L754" s="34">
        <f t="shared" si="188"/>
        <v>89.813421259842528</v>
      </c>
      <c r="M754" s="3">
        <f t="shared" si="189"/>
        <v>-119</v>
      </c>
      <c r="N754" s="3">
        <f t="shared" si="190"/>
        <v>77.2</v>
      </c>
      <c r="O754" s="3"/>
      <c r="P754" s="3">
        <f t="shared" si="191"/>
        <v>110.52818897637796</v>
      </c>
      <c r="Q754" s="3">
        <f t="shared" si="192"/>
        <v>141.27104251968504</v>
      </c>
      <c r="R754" s="3">
        <f>vd(DataTable[[#This Row],[Sentido]],DataTable[[#This Row],[Valor]])</f>
        <v>124.0700787401575</v>
      </c>
      <c r="S754" s="3">
        <f>IF(DataTable[[#This Row],[Valor]]&gt;1,1,1)</f>
        <v>1</v>
      </c>
      <c r="T754" s="3">
        <f>IF(DataTable[[#This Row],[Valor]]&gt;1,1,1)</f>
        <v>1</v>
      </c>
      <c r="U754" s="3">
        <f>angr(DataTable[[#This Row],[Sentido]],DataTable[[#This Row],[Valor]])</f>
        <v>33.710236220472439</v>
      </c>
      <c r="V754" s="3">
        <f>ANGI(DataTable[[#This Row],[Sentido]],DataTable[[#This Row],[Valor]])</f>
        <v>34.468503937007867</v>
      </c>
      <c r="W754" s="3">
        <f t="shared" si="193"/>
        <v>3</v>
      </c>
      <c r="X754" s="3">
        <f>IF(DataTable[[#This Row],[Valor]]&gt;1,1,1)</f>
        <v>1</v>
      </c>
      <c r="Y754" s="3">
        <f t="shared" si="194"/>
        <v>3</v>
      </c>
      <c r="Z754" s="3">
        <f>IF(AND(DataTable[[#This Row],[Sentido]]="URUGUAI para BRASIL",DataTable[[#This Row],[Valor]]&gt;350),1,0)</f>
        <v>0</v>
      </c>
      <c r="AA754" s="3">
        <f>IF(DataTable[[#This Row],[Valor]]&gt;1,0,0)</f>
        <v>0</v>
      </c>
    </row>
    <row r="755" spans="1:27" x14ac:dyDescent="0.25">
      <c r="A755" s="2" t="s">
        <v>18</v>
      </c>
      <c r="B755" s="2">
        <v>346</v>
      </c>
      <c r="C755" s="3">
        <f t="shared" si="180"/>
        <v>89.844779527559055</v>
      </c>
      <c r="D755" s="3">
        <f t="shared" si="181"/>
        <v>92.48564566929133</v>
      </c>
      <c r="E755" s="3">
        <f t="shared" si="182"/>
        <v>89.885645669291335</v>
      </c>
      <c r="F755" s="3">
        <f t="shared" si="183"/>
        <v>33.480000000000004</v>
      </c>
      <c r="G755" s="3">
        <f t="shared" si="184"/>
        <v>95.8</v>
      </c>
      <c r="H755" s="3">
        <f t="shared" si="185"/>
        <v>95.8</v>
      </c>
      <c r="I755" s="3"/>
      <c r="J755" s="3">
        <f t="shared" si="186"/>
        <v>85.98564566929133</v>
      </c>
      <c r="K755" s="3">
        <f t="shared" si="187"/>
        <v>92.48564566929133</v>
      </c>
      <c r="L755" s="34">
        <f t="shared" si="188"/>
        <v>89.885645669291335</v>
      </c>
      <c r="M755" s="3">
        <f t="shared" si="189"/>
        <v>-119.2</v>
      </c>
      <c r="N755" s="3">
        <f t="shared" si="190"/>
        <v>76.960000000000008</v>
      </c>
      <c r="O755" s="3"/>
      <c r="P755" s="3">
        <f t="shared" si="191"/>
        <v>110.7808503937008</v>
      </c>
      <c r="Q755" s="3">
        <f t="shared" si="192"/>
        <v>141.37649133858267</v>
      </c>
      <c r="R755" s="3">
        <f>vd(DataTable[[#This Row],[Sentido]],DataTable[[#This Row],[Valor]])</f>
        <v>124.36535433070867</v>
      </c>
      <c r="S755" s="3">
        <f>IF(DataTable[[#This Row],[Valor]]&gt;1,1,1)</f>
        <v>1</v>
      </c>
      <c r="T755" s="3">
        <f>IF(DataTable[[#This Row],[Valor]]&gt;1,1,1)</f>
        <v>1</v>
      </c>
      <c r="U755" s="3">
        <f>angr(DataTable[[#This Row],[Sentido]],DataTable[[#This Row],[Valor]])</f>
        <v>33.596062992125979</v>
      </c>
      <c r="V755" s="3">
        <f>ANGI(DataTable[[#This Row],[Sentido]],DataTable[[#This Row],[Valor]])</f>
        <v>34.35826771653543</v>
      </c>
      <c r="W755" s="3">
        <f t="shared" si="193"/>
        <v>3</v>
      </c>
      <c r="X755" s="3">
        <f>IF(DataTable[[#This Row],[Valor]]&gt;1,1,1)</f>
        <v>1</v>
      </c>
      <c r="Y755" s="3">
        <f t="shared" si="194"/>
        <v>3</v>
      </c>
      <c r="Z755" s="3">
        <f>IF(AND(DataTable[[#This Row],[Sentido]]="URUGUAI para BRASIL",DataTable[[#This Row],[Valor]]&gt;350),1,0)</f>
        <v>0</v>
      </c>
      <c r="AA755" s="3">
        <f>IF(DataTable[[#This Row],[Valor]]&gt;1,0,0)</f>
        <v>0</v>
      </c>
    </row>
    <row r="756" spans="1:27" x14ac:dyDescent="0.25">
      <c r="A756" s="2" t="s">
        <v>18</v>
      </c>
      <c r="B756" s="2">
        <v>347</v>
      </c>
      <c r="C756" s="3">
        <f t="shared" si="180"/>
        <v>89.916885826771662</v>
      </c>
      <c r="D756" s="3">
        <f t="shared" si="181"/>
        <v>92.557870078740152</v>
      </c>
      <c r="E756" s="3">
        <f t="shared" si="182"/>
        <v>89.957870078740157</v>
      </c>
      <c r="F756" s="3">
        <f t="shared" si="183"/>
        <v>33.36</v>
      </c>
      <c r="G756" s="3">
        <f t="shared" si="184"/>
        <v>95.6</v>
      </c>
      <c r="H756" s="3">
        <f t="shared" si="185"/>
        <v>95.6</v>
      </c>
      <c r="I756" s="3"/>
      <c r="J756" s="3">
        <f t="shared" si="186"/>
        <v>86.057870078740152</v>
      </c>
      <c r="K756" s="3">
        <f t="shared" si="187"/>
        <v>92.557870078740152</v>
      </c>
      <c r="L756" s="34">
        <f t="shared" si="188"/>
        <v>89.957870078740157</v>
      </c>
      <c r="M756" s="3">
        <f t="shared" si="189"/>
        <v>-119.4</v>
      </c>
      <c r="N756" s="3">
        <f t="shared" si="190"/>
        <v>76.72</v>
      </c>
      <c r="O756" s="3"/>
      <c r="P756" s="3">
        <f t="shared" si="191"/>
        <v>111.03351181102362</v>
      </c>
      <c r="Q756" s="3">
        <f t="shared" si="192"/>
        <v>141.48194015748032</v>
      </c>
      <c r="R756" s="3">
        <f>vd(DataTable[[#This Row],[Sentido]],DataTable[[#This Row],[Valor]])</f>
        <v>124.66062992125984</v>
      </c>
      <c r="S756" s="3">
        <f>IF(DataTable[[#This Row],[Valor]]&gt;1,1,1)</f>
        <v>1</v>
      </c>
      <c r="T756" s="3">
        <f>IF(DataTable[[#This Row],[Valor]]&gt;1,1,1)</f>
        <v>1</v>
      </c>
      <c r="U756" s="3">
        <f>angr(DataTable[[#This Row],[Sentido]],DataTable[[#This Row],[Valor]])</f>
        <v>33.481889763779527</v>
      </c>
      <c r="V756" s="3">
        <f>ANGI(DataTable[[#This Row],[Sentido]],DataTable[[#This Row],[Valor]])</f>
        <v>34.248031496062993</v>
      </c>
      <c r="W756" s="3">
        <f t="shared" si="193"/>
        <v>3</v>
      </c>
      <c r="X756" s="3">
        <f>IF(DataTable[[#This Row],[Valor]]&gt;1,1,1)</f>
        <v>1</v>
      </c>
      <c r="Y756" s="3">
        <f t="shared" si="194"/>
        <v>3</v>
      </c>
      <c r="Z756" s="3">
        <f>IF(AND(DataTable[[#This Row],[Sentido]]="URUGUAI para BRASIL",DataTable[[#This Row],[Valor]]&gt;350),1,0)</f>
        <v>0</v>
      </c>
      <c r="AA756" s="3">
        <f>IF(DataTable[[#This Row],[Valor]]&gt;1,0,0)</f>
        <v>0</v>
      </c>
    </row>
    <row r="757" spans="1:27" x14ac:dyDescent="0.25">
      <c r="A757" s="2" t="s">
        <v>18</v>
      </c>
      <c r="B757" s="2">
        <v>348</v>
      </c>
      <c r="C757" s="3">
        <f t="shared" si="180"/>
        <v>89.988992125984254</v>
      </c>
      <c r="D757" s="3">
        <f t="shared" si="181"/>
        <v>92.630094488188973</v>
      </c>
      <c r="E757" s="3">
        <f t="shared" si="182"/>
        <v>90.030094488188979</v>
      </c>
      <c r="F757" s="3">
        <f t="shared" si="183"/>
        <v>33.24</v>
      </c>
      <c r="G757" s="3">
        <f t="shared" si="184"/>
        <v>95.4</v>
      </c>
      <c r="H757" s="3">
        <f t="shared" si="185"/>
        <v>95.4</v>
      </c>
      <c r="I757" s="3"/>
      <c r="J757" s="3">
        <f t="shared" si="186"/>
        <v>86.130094488188973</v>
      </c>
      <c r="K757" s="3">
        <f t="shared" si="187"/>
        <v>92.630094488188973</v>
      </c>
      <c r="L757" s="34">
        <f t="shared" si="188"/>
        <v>90.030094488188979</v>
      </c>
      <c r="M757" s="3">
        <f t="shared" si="189"/>
        <v>-119.6</v>
      </c>
      <c r="N757" s="3">
        <f t="shared" si="190"/>
        <v>76.48</v>
      </c>
      <c r="O757" s="3"/>
      <c r="P757" s="3">
        <f t="shared" si="191"/>
        <v>111.28617322834646</v>
      </c>
      <c r="Q757" s="3">
        <f t="shared" si="192"/>
        <v>141.58738897637795</v>
      </c>
      <c r="R757" s="3">
        <f>vd(DataTable[[#This Row],[Sentido]],DataTable[[#This Row],[Valor]])</f>
        <v>124.95590551181103</v>
      </c>
      <c r="S757" s="3">
        <f>IF(DataTable[[#This Row],[Valor]]&gt;1,1,1)</f>
        <v>1</v>
      </c>
      <c r="T757" s="3">
        <f>IF(DataTable[[#This Row],[Valor]]&gt;1,1,1)</f>
        <v>1</v>
      </c>
      <c r="U757" s="3">
        <f>angr(DataTable[[#This Row],[Sentido]],DataTable[[#This Row],[Valor]])</f>
        <v>33.367716535433068</v>
      </c>
      <c r="V757" s="3">
        <f>ANGI(DataTable[[#This Row],[Sentido]],DataTable[[#This Row],[Valor]])</f>
        <v>34.137795275590548</v>
      </c>
      <c r="W757" s="3">
        <f t="shared" si="193"/>
        <v>3</v>
      </c>
      <c r="X757" s="3">
        <f>IF(DataTable[[#This Row],[Valor]]&gt;1,1,1)</f>
        <v>1</v>
      </c>
      <c r="Y757" s="3">
        <f t="shared" si="194"/>
        <v>3</v>
      </c>
      <c r="Z757" s="3">
        <f>IF(AND(DataTable[[#This Row],[Sentido]]="URUGUAI para BRASIL",DataTable[[#This Row],[Valor]]&gt;350),1,0)</f>
        <v>0</v>
      </c>
      <c r="AA757" s="3">
        <f>IF(DataTable[[#This Row],[Valor]]&gt;1,0,0)</f>
        <v>0</v>
      </c>
    </row>
    <row r="758" spans="1:27" x14ac:dyDescent="0.25">
      <c r="A758" s="2" t="s">
        <v>18</v>
      </c>
      <c r="B758" s="2">
        <v>349</v>
      </c>
      <c r="C758" s="3">
        <f t="shared" si="180"/>
        <v>90.061098425196846</v>
      </c>
      <c r="D758" s="3">
        <f t="shared" si="181"/>
        <v>92.702318897637795</v>
      </c>
      <c r="E758" s="3">
        <f t="shared" si="182"/>
        <v>90.102318897637801</v>
      </c>
      <c r="F758" s="3">
        <f t="shared" si="183"/>
        <v>33.120000000000005</v>
      </c>
      <c r="G758" s="3">
        <f t="shared" si="184"/>
        <v>95.2</v>
      </c>
      <c r="H758" s="3">
        <f t="shared" si="185"/>
        <v>95.2</v>
      </c>
      <c r="I758" s="3"/>
      <c r="J758" s="3">
        <f t="shared" si="186"/>
        <v>86.202318897637795</v>
      </c>
      <c r="K758" s="3">
        <f t="shared" si="187"/>
        <v>92.702318897637795</v>
      </c>
      <c r="L758" s="34">
        <f t="shared" si="188"/>
        <v>90.102318897637801</v>
      </c>
      <c r="M758" s="3">
        <f t="shared" si="189"/>
        <v>-119.8</v>
      </c>
      <c r="N758" s="3">
        <f t="shared" si="190"/>
        <v>76.239999999999995</v>
      </c>
      <c r="O758" s="3"/>
      <c r="P758" s="3">
        <f t="shared" si="191"/>
        <v>111.5388346456693</v>
      </c>
      <c r="Q758" s="3">
        <f t="shared" si="192"/>
        <v>141.69283779527558</v>
      </c>
      <c r="R758" s="3">
        <f>vd(DataTable[[#This Row],[Sentido]],DataTable[[#This Row],[Valor]])</f>
        <v>125.25118110236221</v>
      </c>
      <c r="S758" s="3">
        <f>IF(DataTable[[#This Row],[Valor]]&gt;1,1,1)</f>
        <v>1</v>
      </c>
      <c r="T758" s="3">
        <f>IF(DataTable[[#This Row],[Valor]]&gt;1,1,1)</f>
        <v>1</v>
      </c>
      <c r="U758" s="3">
        <f>angr(DataTable[[#This Row],[Sentido]],DataTable[[#This Row],[Valor]])</f>
        <v>33.253543307086616</v>
      </c>
      <c r="V758" s="3">
        <f>ANGI(DataTable[[#This Row],[Sentido]],DataTable[[#This Row],[Valor]])</f>
        <v>34.027559055118111</v>
      </c>
      <c r="W758" s="3">
        <f t="shared" si="193"/>
        <v>3</v>
      </c>
      <c r="X758" s="3">
        <f>IF(DataTable[[#This Row],[Valor]]&gt;1,1,1)</f>
        <v>1</v>
      </c>
      <c r="Y758" s="3">
        <f t="shared" si="194"/>
        <v>3</v>
      </c>
      <c r="Z758" s="3">
        <f>IF(AND(DataTable[[#This Row],[Sentido]]="URUGUAI para BRASIL",DataTable[[#This Row],[Valor]]&gt;350),1,0)</f>
        <v>0</v>
      </c>
      <c r="AA758" s="3">
        <f>IF(DataTable[[#This Row],[Valor]]&gt;1,0,0)</f>
        <v>0</v>
      </c>
    </row>
    <row r="759" spans="1:27" x14ac:dyDescent="0.25">
      <c r="A759" s="2" t="s">
        <v>18</v>
      </c>
      <c r="B759" s="2">
        <v>350</v>
      </c>
      <c r="C759" s="3">
        <f t="shared" si="180"/>
        <v>90.133204724409453</v>
      </c>
      <c r="D759" s="3">
        <f t="shared" si="181"/>
        <v>92.774543307086603</v>
      </c>
      <c r="E759" s="3">
        <f t="shared" si="182"/>
        <v>90.174543307086608</v>
      </c>
      <c r="F759" s="3">
        <f t="shared" si="183"/>
        <v>33</v>
      </c>
      <c r="G759" s="3">
        <f t="shared" si="184"/>
        <v>95</v>
      </c>
      <c r="H759" s="3">
        <f t="shared" si="185"/>
        <v>95</v>
      </c>
      <c r="I759" s="3"/>
      <c r="J759" s="3">
        <f t="shared" si="186"/>
        <v>86.274543307086603</v>
      </c>
      <c r="K759" s="3">
        <f t="shared" si="187"/>
        <v>92.774543307086603</v>
      </c>
      <c r="L759" s="34">
        <f t="shared" si="188"/>
        <v>90.174543307086608</v>
      </c>
      <c r="M759" s="3">
        <f t="shared" si="189"/>
        <v>-120</v>
      </c>
      <c r="N759" s="3">
        <f t="shared" si="190"/>
        <v>76</v>
      </c>
      <c r="O759" s="3"/>
      <c r="P759" s="3">
        <f t="shared" si="191"/>
        <v>111.79149606299214</v>
      </c>
      <c r="Q759" s="3">
        <f t="shared" si="192"/>
        <v>141.79828661417324</v>
      </c>
      <c r="R759" s="3">
        <f>vd(DataTable[[#This Row],[Sentido]],DataTable[[#This Row],[Valor]])</f>
        <v>125.54645669291338</v>
      </c>
      <c r="S759" s="3">
        <f>IF(DataTable[[#This Row],[Valor]]&gt;1,1,1)</f>
        <v>1</v>
      </c>
      <c r="T759" s="3">
        <f>IF(DataTable[[#This Row],[Valor]]&gt;1,1,1)</f>
        <v>1</v>
      </c>
      <c r="U759" s="3">
        <f>angr(DataTable[[#This Row],[Sentido]],DataTable[[#This Row],[Valor]])</f>
        <v>33.139370078740157</v>
      </c>
      <c r="V759" s="3">
        <f>ANGI(DataTable[[#This Row],[Sentido]],DataTable[[#This Row],[Valor]])</f>
        <v>33.917322834645674</v>
      </c>
      <c r="W759" s="3">
        <f t="shared" si="193"/>
        <v>3</v>
      </c>
      <c r="X759" s="3">
        <f>IF(DataTable[[#This Row],[Valor]]&gt;1,1,1)</f>
        <v>1</v>
      </c>
      <c r="Y759" s="3">
        <f t="shared" si="194"/>
        <v>3</v>
      </c>
      <c r="Z759" s="3">
        <f>IF(AND(DataTable[[#This Row],[Sentido]]="URUGUAI para BRASIL",DataTable[[#This Row],[Valor]]&gt;350),1,0)</f>
        <v>0</v>
      </c>
      <c r="AA759" s="3">
        <f>IF(DataTable[[#This Row],[Valor]]&gt;1,0,0)</f>
        <v>0</v>
      </c>
    </row>
    <row r="760" spans="1:27" x14ac:dyDescent="0.25">
      <c r="A760" s="2" t="s">
        <v>18</v>
      </c>
      <c r="B760" s="2">
        <v>351</v>
      </c>
      <c r="C760" s="3">
        <f t="shared" si="180"/>
        <v>90.205311023622045</v>
      </c>
      <c r="D760" s="3">
        <f t="shared" si="181"/>
        <v>92.846767716535425</v>
      </c>
      <c r="E760" s="3">
        <f t="shared" si="182"/>
        <v>90.24676771653543</v>
      </c>
      <c r="F760" s="3">
        <f t="shared" si="183"/>
        <v>32.880000000000003</v>
      </c>
      <c r="G760" s="3">
        <f t="shared" si="184"/>
        <v>94.8</v>
      </c>
      <c r="H760" s="3">
        <f t="shared" si="185"/>
        <v>94.8</v>
      </c>
      <c r="I760" s="3"/>
      <c r="J760" s="3">
        <f t="shared" si="186"/>
        <v>86.346767716535425</v>
      </c>
      <c r="K760" s="3">
        <f t="shared" si="187"/>
        <v>92.846767716535425</v>
      </c>
      <c r="L760" s="34">
        <f t="shared" si="188"/>
        <v>90.24676771653543</v>
      </c>
      <c r="M760" s="3">
        <f t="shared" si="189"/>
        <v>-120.2</v>
      </c>
      <c r="N760" s="3">
        <f t="shared" si="190"/>
        <v>75.760000000000005</v>
      </c>
      <c r="O760" s="3"/>
      <c r="P760" s="3">
        <f t="shared" si="191"/>
        <v>112.04415748031496</v>
      </c>
      <c r="Q760" s="3">
        <f t="shared" si="192"/>
        <v>141.90373543307086</v>
      </c>
      <c r="R760" s="3">
        <f>vd(DataTable[[#This Row],[Sentido]],DataTable[[#This Row],[Valor]])</f>
        <v>125.84173228346458</v>
      </c>
      <c r="S760" s="3">
        <f>IF(DataTable[[#This Row],[Valor]]&gt;1,1,1)</f>
        <v>1</v>
      </c>
      <c r="T760" s="3">
        <f>IF(DataTable[[#This Row],[Valor]]&gt;1,1,1)</f>
        <v>1</v>
      </c>
      <c r="U760" s="3">
        <f>angr(DataTable[[#This Row],[Sentido]],DataTable[[#This Row],[Valor]])</f>
        <v>33.025196850393698</v>
      </c>
      <c r="V760" s="3">
        <f>ANGI(DataTable[[#This Row],[Sentido]],DataTable[[#This Row],[Valor]])</f>
        <v>33.807086614173222</v>
      </c>
      <c r="W760" s="3">
        <f t="shared" si="193"/>
        <v>3</v>
      </c>
      <c r="X760" s="3">
        <f>IF(DataTable[[#This Row],[Valor]]&gt;1,1,1)</f>
        <v>1</v>
      </c>
      <c r="Y760" s="3">
        <f t="shared" si="194"/>
        <v>3</v>
      </c>
      <c r="Z760" s="3">
        <f>IF(AND(DataTable[[#This Row],[Sentido]]="URUGUAI para BRASIL",DataTable[[#This Row],[Valor]]&gt;350),1,0)</f>
        <v>1</v>
      </c>
      <c r="AA760" s="3">
        <f>IF(DataTable[[#This Row],[Valor]]&gt;1,0,0)</f>
        <v>0</v>
      </c>
    </row>
    <row r="761" spans="1:27" x14ac:dyDescent="0.25">
      <c r="A761" s="2" t="s">
        <v>18</v>
      </c>
      <c r="B761" s="2">
        <v>352</v>
      </c>
      <c r="C761" s="3">
        <f t="shared" si="180"/>
        <v>90.277417322834651</v>
      </c>
      <c r="D761" s="3">
        <f t="shared" si="181"/>
        <v>92.918992125984246</v>
      </c>
      <c r="E761" s="3">
        <f t="shared" si="182"/>
        <v>90.318992125984252</v>
      </c>
      <c r="F761" s="3">
        <f t="shared" si="183"/>
        <v>32.76</v>
      </c>
      <c r="G761" s="3">
        <f t="shared" si="184"/>
        <v>94.6</v>
      </c>
      <c r="H761" s="3">
        <f t="shared" si="185"/>
        <v>94.6</v>
      </c>
      <c r="I761" s="3"/>
      <c r="J761" s="3">
        <f t="shared" si="186"/>
        <v>86.418992125984246</v>
      </c>
      <c r="K761" s="3">
        <f t="shared" si="187"/>
        <v>92.918992125984246</v>
      </c>
      <c r="L761" s="34">
        <f t="shared" si="188"/>
        <v>90.318992125984252</v>
      </c>
      <c r="M761" s="3">
        <f t="shared" si="189"/>
        <v>-120.4</v>
      </c>
      <c r="N761" s="3">
        <f t="shared" si="190"/>
        <v>75.52</v>
      </c>
      <c r="O761" s="3"/>
      <c r="P761" s="3">
        <f t="shared" si="191"/>
        <v>112.29681889763781</v>
      </c>
      <c r="Q761" s="3">
        <f t="shared" si="192"/>
        <v>142.00918425196852</v>
      </c>
      <c r="R761" s="3">
        <f>vd(DataTable[[#This Row],[Sentido]],DataTable[[#This Row],[Valor]])</f>
        <v>126.13700787401575</v>
      </c>
      <c r="S761" s="3">
        <f>IF(DataTable[[#This Row],[Valor]]&gt;1,1,1)</f>
        <v>1</v>
      </c>
      <c r="T761" s="3">
        <f>IF(DataTable[[#This Row],[Valor]]&gt;1,1,1)</f>
        <v>1</v>
      </c>
      <c r="U761" s="3">
        <f>angr(DataTable[[#This Row],[Sentido]],DataTable[[#This Row],[Valor]])</f>
        <v>32.911023622047239</v>
      </c>
      <c r="V761" s="3">
        <f>ANGI(DataTable[[#This Row],[Sentido]],DataTable[[#This Row],[Valor]])</f>
        <v>33.696850393700785</v>
      </c>
      <c r="W761" s="3">
        <f t="shared" si="193"/>
        <v>3</v>
      </c>
      <c r="X761" s="3">
        <f>IF(DataTable[[#This Row],[Valor]]&gt;1,1,1)</f>
        <v>1</v>
      </c>
      <c r="Y761" s="3">
        <f t="shared" si="194"/>
        <v>3</v>
      </c>
      <c r="Z761" s="3">
        <f>IF(AND(DataTable[[#This Row],[Sentido]]="URUGUAI para BRASIL",DataTable[[#This Row],[Valor]]&gt;350),1,0)</f>
        <v>1</v>
      </c>
      <c r="AA761" s="3">
        <f>IF(DataTable[[#This Row],[Valor]]&gt;1,0,0)</f>
        <v>0</v>
      </c>
    </row>
    <row r="762" spans="1:27" x14ac:dyDescent="0.25">
      <c r="A762" s="2" t="s">
        <v>18</v>
      </c>
      <c r="B762" s="2">
        <v>353</v>
      </c>
      <c r="C762" s="3">
        <f t="shared" si="180"/>
        <v>90.349523622047244</v>
      </c>
      <c r="D762" s="3">
        <f t="shared" si="181"/>
        <v>92.991216535433068</v>
      </c>
      <c r="E762" s="3">
        <f t="shared" si="182"/>
        <v>90.391216535433074</v>
      </c>
      <c r="F762" s="3">
        <f t="shared" si="183"/>
        <v>32.64</v>
      </c>
      <c r="G762" s="3">
        <f t="shared" si="184"/>
        <v>94.4</v>
      </c>
      <c r="H762" s="3">
        <f t="shared" si="185"/>
        <v>94.4</v>
      </c>
      <c r="I762" s="3"/>
      <c r="J762" s="3">
        <f t="shared" si="186"/>
        <v>86.491216535433068</v>
      </c>
      <c r="K762" s="3">
        <f t="shared" si="187"/>
        <v>92.991216535433068</v>
      </c>
      <c r="L762" s="34">
        <f t="shared" si="188"/>
        <v>90.391216535433074</v>
      </c>
      <c r="M762" s="3">
        <f t="shared" si="189"/>
        <v>-120.6</v>
      </c>
      <c r="N762" s="3">
        <f t="shared" si="190"/>
        <v>75.28</v>
      </c>
      <c r="O762" s="3"/>
      <c r="P762" s="3">
        <f t="shared" si="191"/>
        <v>112.54948031496062</v>
      </c>
      <c r="Q762" s="3">
        <f t="shared" si="192"/>
        <v>142.11463307086615</v>
      </c>
      <c r="R762" s="3">
        <f>vd(DataTable[[#This Row],[Sentido]],DataTable[[#This Row],[Valor]])</f>
        <v>126.43228346456694</v>
      </c>
      <c r="S762" s="3">
        <f>IF(DataTable[[#This Row],[Valor]]&gt;1,1,1)</f>
        <v>1</v>
      </c>
      <c r="T762" s="3">
        <f>IF(DataTable[[#This Row],[Valor]]&gt;1,1,1)</f>
        <v>1</v>
      </c>
      <c r="U762" s="3">
        <f>angr(DataTable[[#This Row],[Sentido]],DataTable[[#This Row],[Valor]])</f>
        <v>32.796850393700787</v>
      </c>
      <c r="V762" s="3">
        <f>ANGI(DataTable[[#This Row],[Sentido]],DataTable[[#This Row],[Valor]])</f>
        <v>33.586614173228341</v>
      </c>
      <c r="W762" s="3">
        <f t="shared" si="193"/>
        <v>3</v>
      </c>
      <c r="X762" s="3">
        <f>IF(DataTable[[#This Row],[Valor]]&gt;1,1,1)</f>
        <v>1</v>
      </c>
      <c r="Y762" s="3">
        <f t="shared" si="194"/>
        <v>3</v>
      </c>
      <c r="Z762" s="3">
        <f>IF(AND(DataTable[[#This Row],[Sentido]]="URUGUAI para BRASIL",DataTable[[#This Row],[Valor]]&gt;350),1,0)</f>
        <v>1</v>
      </c>
      <c r="AA762" s="3">
        <f>IF(DataTable[[#This Row],[Valor]]&gt;1,0,0)</f>
        <v>0</v>
      </c>
    </row>
    <row r="763" spans="1:27" x14ac:dyDescent="0.25">
      <c r="A763" s="2" t="s">
        <v>18</v>
      </c>
      <c r="B763" s="2">
        <v>354</v>
      </c>
      <c r="C763" s="3">
        <f t="shared" si="180"/>
        <v>90.42162992125985</v>
      </c>
      <c r="D763" s="3">
        <f t="shared" si="181"/>
        <v>93.06344094488189</v>
      </c>
      <c r="E763" s="3">
        <f t="shared" si="182"/>
        <v>90.463440944881896</v>
      </c>
      <c r="F763" s="3">
        <f t="shared" si="183"/>
        <v>32.520000000000003</v>
      </c>
      <c r="G763" s="3">
        <f t="shared" si="184"/>
        <v>94.2</v>
      </c>
      <c r="H763" s="3">
        <f t="shared" si="185"/>
        <v>94.2</v>
      </c>
      <c r="I763" s="3"/>
      <c r="J763" s="3">
        <f t="shared" si="186"/>
        <v>86.56344094488189</v>
      </c>
      <c r="K763" s="3">
        <f t="shared" si="187"/>
        <v>93.06344094488189</v>
      </c>
      <c r="L763" s="34">
        <f t="shared" si="188"/>
        <v>90.463440944881896</v>
      </c>
      <c r="M763" s="3">
        <f t="shared" si="189"/>
        <v>-120.8</v>
      </c>
      <c r="N763" s="3">
        <f t="shared" si="190"/>
        <v>75.040000000000006</v>
      </c>
      <c r="O763" s="3"/>
      <c r="P763" s="3">
        <f t="shared" si="191"/>
        <v>112.80214173228346</v>
      </c>
      <c r="Q763" s="3">
        <f t="shared" si="192"/>
        <v>142.22008188976378</v>
      </c>
      <c r="R763" s="3">
        <f>vd(DataTable[[#This Row],[Sentido]],DataTable[[#This Row],[Valor]])</f>
        <v>126.72755905511812</v>
      </c>
      <c r="S763" s="3">
        <f>IF(DataTable[[#This Row],[Valor]]&gt;1,1,1)</f>
        <v>1</v>
      </c>
      <c r="T763" s="3">
        <f>IF(DataTable[[#This Row],[Valor]]&gt;1,1,1)</f>
        <v>1</v>
      </c>
      <c r="U763" s="3">
        <f>angr(DataTable[[#This Row],[Sentido]],DataTable[[#This Row],[Valor]])</f>
        <v>32.682677165354328</v>
      </c>
      <c r="V763" s="3">
        <f>ANGI(DataTable[[#This Row],[Sentido]],DataTable[[#This Row],[Valor]])</f>
        <v>33.476377952755904</v>
      </c>
      <c r="W763" s="3">
        <f t="shared" si="193"/>
        <v>3</v>
      </c>
      <c r="X763" s="3">
        <f>IF(DataTable[[#This Row],[Valor]]&gt;1,1,1)</f>
        <v>1</v>
      </c>
      <c r="Y763" s="3">
        <f t="shared" si="194"/>
        <v>3</v>
      </c>
      <c r="Z763" s="3">
        <f>IF(AND(DataTable[[#This Row],[Sentido]]="URUGUAI para BRASIL",DataTable[[#This Row],[Valor]]&gt;350),1,0)</f>
        <v>1</v>
      </c>
      <c r="AA763" s="3">
        <f>IF(DataTable[[#This Row],[Valor]]&gt;1,0,0)</f>
        <v>0</v>
      </c>
    </row>
    <row r="764" spans="1:27" x14ac:dyDescent="0.25">
      <c r="A764" s="2" t="s">
        <v>18</v>
      </c>
      <c r="B764" s="2">
        <v>355</v>
      </c>
      <c r="C764" s="3">
        <f t="shared" si="180"/>
        <v>90.493736220472442</v>
      </c>
      <c r="D764" s="3">
        <f t="shared" si="181"/>
        <v>93.135665354330698</v>
      </c>
      <c r="E764" s="3">
        <f t="shared" si="182"/>
        <v>90.535665354330703</v>
      </c>
      <c r="F764" s="3">
        <f t="shared" si="183"/>
        <v>32.4</v>
      </c>
      <c r="G764" s="3">
        <f t="shared" si="184"/>
        <v>94</v>
      </c>
      <c r="H764" s="3">
        <f t="shared" si="185"/>
        <v>94</v>
      </c>
      <c r="I764" s="3"/>
      <c r="J764" s="3">
        <f t="shared" si="186"/>
        <v>86.635665354330698</v>
      </c>
      <c r="K764" s="3">
        <f t="shared" si="187"/>
        <v>93.135665354330698</v>
      </c>
      <c r="L764" s="34">
        <f t="shared" si="188"/>
        <v>90.535665354330703</v>
      </c>
      <c r="M764" s="3">
        <f t="shared" si="189"/>
        <v>-121</v>
      </c>
      <c r="N764" s="3">
        <f t="shared" si="190"/>
        <v>74.8</v>
      </c>
      <c r="O764" s="3"/>
      <c r="P764" s="3">
        <f t="shared" si="191"/>
        <v>113.0548031496063</v>
      </c>
      <c r="Q764" s="3">
        <f t="shared" si="192"/>
        <v>142.32553070866143</v>
      </c>
      <c r="R764" s="3">
        <f>vd(DataTable[[#This Row],[Sentido]],DataTable[[#This Row],[Valor]])</f>
        <v>127.02283464566929</v>
      </c>
      <c r="S764" s="3">
        <f>IF(DataTable[[#This Row],[Valor]]&gt;1,1,1)</f>
        <v>1</v>
      </c>
      <c r="T764" s="3">
        <f>IF(DataTable[[#This Row],[Valor]]&gt;1,1,1)</f>
        <v>1</v>
      </c>
      <c r="U764" s="3">
        <f>angr(DataTable[[#This Row],[Sentido]],DataTable[[#This Row],[Valor]])</f>
        <v>32.568503937007875</v>
      </c>
      <c r="V764" s="3">
        <f>ANGI(DataTable[[#This Row],[Sentido]],DataTable[[#This Row],[Valor]])</f>
        <v>33.366141732283459</v>
      </c>
      <c r="W764" s="3">
        <f t="shared" si="193"/>
        <v>3</v>
      </c>
      <c r="X764" s="3">
        <f>IF(DataTable[[#This Row],[Valor]]&gt;1,1,1)</f>
        <v>1</v>
      </c>
      <c r="Y764" s="3">
        <f t="shared" si="194"/>
        <v>3</v>
      </c>
      <c r="Z764" s="3">
        <f>IF(AND(DataTable[[#This Row],[Sentido]]="URUGUAI para BRASIL",DataTable[[#This Row],[Valor]]&gt;350),1,0)</f>
        <v>1</v>
      </c>
      <c r="AA764" s="3">
        <f>IF(DataTable[[#This Row],[Valor]]&gt;1,0,0)</f>
        <v>0</v>
      </c>
    </row>
    <row r="765" spans="1:27" x14ac:dyDescent="0.25">
      <c r="A765" s="2" t="s">
        <v>18</v>
      </c>
      <c r="B765" s="2">
        <v>356</v>
      </c>
      <c r="C765" s="3">
        <f t="shared" si="180"/>
        <v>90.565842519685035</v>
      </c>
      <c r="D765" s="3">
        <f t="shared" si="181"/>
        <v>93.207889763779519</v>
      </c>
      <c r="E765" s="3">
        <f t="shared" si="182"/>
        <v>90.607889763779525</v>
      </c>
      <c r="F765" s="3">
        <f t="shared" si="183"/>
        <v>32.28</v>
      </c>
      <c r="G765" s="3">
        <f t="shared" si="184"/>
        <v>93.8</v>
      </c>
      <c r="H765" s="3">
        <f t="shared" si="185"/>
        <v>93.8</v>
      </c>
      <c r="I765" s="3"/>
      <c r="J765" s="3">
        <f t="shared" si="186"/>
        <v>86.707889763779519</v>
      </c>
      <c r="K765" s="3">
        <f t="shared" si="187"/>
        <v>93.207889763779519</v>
      </c>
      <c r="L765" s="34">
        <f t="shared" si="188"/>
        <v>90.607889763779525</v>
      </c>
      <c r="M765" s="3">
        <f t="shared" si="189"/>
        <v>-121.2</v>
      </c>
      <c r="N765" s="3">
        <f t="shared" si="190"/>
        <v>74.56</v>
      </c>
      <c r="O765" s="3"/>
      <c r="P765" s="3">
        <f t="shared" si="191"/>
        <v>113.30746456692914</v>
      </c>
      <c r="Q765" s="3">
        <f t="shared" si="192"/>
        <v>142.43097952755906</v>
      </c>
      <c r="R765" s="3">
        <f>vd(DataTable[[#This Row],[Sentido]],DataTable[[#This Row],[Valor]])</f>
        <v>127.31811023622046</v>
      </c>
      <c r="S765" s="3">
        <f>IF(DataTable[[#This Row],[Valor]]&gt;1,1,1)</f>
        <v>1</v>
      </c>
      <c r="T765" s="3">
        <f>IF(DataTable[[#This Row],[Valor]]&gt;1,1,1)</f>
        <v>1</v>
      </c>
      <c r="U765" s="3">
        <f>angr(DataTable[[#This Row],[Sentido]],DataTable[[#This Row],[Valor]])</f>
        <v>32.452755905511815</v>
      </c>
      <c r="V765" s="3">
        <f>ANGI(DataTable[[#This Row],[Sentido]],DataTable[[#This Row],[Valor]])</f>
        <v>33.254330708661413</v>
      </c>
      <c r="W765" s="3">
        <f t="shared" si="193"/>
        <v>3</v>
      </c>
      <c r="X765" s="3">
        <f>IF(DataTable[[#This Row],[Valor]]&gt;1,1,1)</f>
        <v>1</v>
      </c>
      <c r="Y765" s="3">
        <f t="shared" si="194"/>
        <v>3</v>
      </c>
      <c r="Z765" s="3">
        <f>IF(AND(DataTable[[#This Row],[Sentido]]="URUGUAI para BRASIL",DataTable[[#This Row],[Valor]]&gt;350),1,0)</f>
        <v>1</v>
      </c>
      <c r="AA765" s="3">
        <f>IF(DataTable[[#This Row],[Valor]]&gt;1,0,0)</f>
        <v>0</v>
      </c>
    </row>
    <row r="766" spans="1:27" x14ac:dyDescent="0.25">
      <c r="A766" s="2" t="s">
        <v>18</v>
      </c>
      <c r="B766" s="2">
        <v>357</v>
      </c>
      <c r="C766" s="3">
        <f t="shared" si="180"/>
        <v>90.637948818897641</v>
      </c>
      <c r="D766" s="3">
        <f t="shared" si="181"/>
        <v>93.280114173228341</v>
      </c>
      <c r="E766" s="3">
        <f t="shared" si="182"/>
        <v>90.680114173228347</v>
      </c>
      <c r="F766" s="3">
        <f t="shared" si="183"/>
        <v>32.160000000000004</v>
      </c>
      <c r="G766" s="3">
        <f t="shared" si="184"/>
        <v>93.6</v>
      </c>
      <c r="H766" s="3">
        <f t="shared" si="185"/>
        <v>93.6</v>
      </c>
      <c r="I766" s="3"/>
      <c r="J766" s="3">
        <f t="shared" si="186"/>
        <v>86.780114173228341</v>
      </c>
      <c r="K766" s="3">
        <f t="shared" si="187"/>
        <v>93.280114173228341</v>
      </c>
      <c r="L766" s="34">
        <f t="shared" si="188"/>
        <v>90.680114173228347</v>
      </c>
      <c r="M766" s="3">
        <f t="shared" si="189"/>
        <v>-121.4</v>
      </c>
      <c r="N766" s="3">
        <f t="shared" si="190"/>
        <v>74.320000000000007</v>
      </c>
      <c r="O766" s="3"/>
      <c r="P766" s="3">
        <f t="shared" si="191"/>
        <v>113.56012598425195</v>
      </c>
      <c r="Q766" s="3">
        <f t="shared" si="192"/>
        <v>142.53642834645669</v>
      </c>
      <c r="R766" s="3">
        <f>vd(DataTable[[#This Row],[Sentido]],DataTable[[#This Row],[Valor]])</f>
        <v>127.61338582677165</v>
      </c>
      <c r="S766" s="3">
        <f>IF(DataTable[[#This Row],[Valor]]&gt;1,1,1)</f>
        <v>1</v>
      </c>
      <c r="T766" s="3">
        <f>IF(DataTable[[#This Row],[Valor]]&gt;1,1,1)</f>
        <v>1</v>
      </c>
      <c r="U766" s="3">
        <f>angr(DataTable[[#This Row],[Sentido]],DataTable[[#This Row],[Valor]])</f>
        <v>32.334645669291341</v>
      </c>
      <c r="V766" s="3">
        <f>ANGI(DataTable[[#This Row],[Sentido]],DataTable[[#This Row],[Valor]])</f>
        <v>33.140157480314961</v>
      </c>
      <c r="W766" s="3">
        <f t="shared" si="193"/>
        <v>3</v>
      </c>
      <c r="X766" s="3">
        <f>IF(DataTable[[#This Row],[Valor]]&gt;1,1,1)</f>
        <v>1</v>
      </c>
      <c r="Y766" s="3">
        <f t="shared" si="194"/>
        <v>3</v>
      </c>
      <c r="Z766" s="3">
        <f>IF(AND(DataTable[[#This Row],[Sentido]]="URUGUAI para BRASIL",DataTable[[#This Row],[Valor]]&gt;350),1,0)</f>
        <v>1</v>
      </c>
      <c r="AA766" s="3">
        <f>IF(DataTable[[#This Row],[Valor]]&gt;1,0,0)</f>
        <v>0</v>
      </c>
    </row>
    <row r="767" spans="1:27" x14ac:dyDescent="0.25">
      <c r="A767" s="2" t="s">
        <v>18</v>
      </c>
      <c r="B767" s="2">
        <v>358</v>
      </c>
      <c r="C767" s="3">
        <f t="shared" si="180"/>
        <v>90.710055118110233</v>
      </c>
      <c r="D767" s="3">
        <f t="shared" si="181"/>
        <v>93.352338582677163</v>
      </c>
      <c r="E767" s="3">
        <f t="shared" si="182"/>
        <v>90.752338582677169</v>
      </c>
      <c r="F767" s="3">
        <f t="shared" si="183"/>
        <v>32.04</v>
      </c>
      <c r="G767" s="3">
        <f t="shared" si="184"/>
        <v>93.4</v>
      </c>
      <c r="H767" s="3">
        <f t="shared" si="185"/>
        <v>93.4</v>
      </c>
      <c r="I767" s="3"/>
      <c r="J767" s="3">
        <f t="shared" si="186"/>
        <v>86.852338582677163</v>
      </c>
      <c r="K767" s="3">
        <f t="shared" si="187"/>
        <v>93.352338582677163</v>
      </c>
      <c r="L767" s="34">
        <f t="shared" si="188"/>
        <v>90.752338582677169</v>
      </c>
      <c r="M767" s="3">
        <f t="shared" si="189"/>
        <v>-121.6</v>
      </c>
      <c r="N767" s="3">
        <f t="shared" si="190"/>
        <v>74.08</v>
      </c>
      <c r="O767" s="3"/>
      <c r="P767" s="3">
        <f t="shared" si="191"/>
        <v>113.81278740157481</v>
      </c>
      <c r="Q767" s="3">
        <f t="shared" si="192"/>
        <v>142.64187716535434</v>
      </c>
      <c r="R767" s="3">
        <f>vd(DataTable[[#This Row],[Sentido]],DataTable[[#This Row],[Valor]])</f>
        <v>127.90866141732285</v>
      </c>
      <c r="S767" s="3">
        <f>IF(DataTable[[#This Row],[Valor]]&gt;1,1,1)</f>
        <v>1</v>
      </c>
      <c r="T767" s="3">
        <f>IF(DataTable[[#This Row],[Valor]]&gt;1,1,1)</f>
        <v>1</v>
      </c>
      <c r="U767" s="3">
        <f>angr(DataTable[[#This Row],[Sentido]],DataTable[[#This Row],[Valor]])</f>
        <v>32.21653543307086</v>
      </c>
      <c r="V767" s="3">
        <f>ANGI(DataTable[[#This Row],[Sentido]],DataTable[[#This Row],[Valor]])</f>
        <v>33.025984251968495</v>
      </c>
      <c r="W767" s="3">
        <f t="shared" si="193"/>
        <v>3</v>
      </c>
      <c r="X767" s="3">
        <f>IF(DataTable[[#This Row],[Valor]]&gt;1,1,1)</f>
        <v>1</v>
      </c>
      <c r="Y767" s="3">
        <f t="shared" si="194"/>
        <v>3</v>
      </c>
      <c r="Z767" s="3">
        <f>IF(AND(DataTable[[#This Row],[Sentido]]="URUGUAI para BRASIL",DataTable[[#This Row],[Valor]]&gt;350),1,0)</f>
        <v>1</v>
      </c>
      <c r="AA767" s="3">
        <f>IF(DataTable[[#This Row],[Valor]]&gt;1,0,0)</f>
        <v>0</v>
      </c>
    </row>
    <row r="768" spans="1:27" x14ac:dyDescent="0.25">
      <c r="A768" s="2" t="s">
        <v>18</v>
      </c>
      <c r="B768" s="2">
        <v>359</v>
      </c>
      <c r="C768" s="3">
        <f t="shared" si="180"/>
        <v>90.78216141732284</v>
      </c>
      <c r="D768" s="3">
        <f t="shared" si="181"/>
        <v>93.424562992125985</v>
      </c>
      <c r="E768" s="3">
        <f t="shared" si="182"/>
        <v>90.82456299212599</v>
      </c>
      <c r="F768" s="3">
        <f t="shared" si="183"/>
        <v>31.92</v>
      </c>
      <c r="G768" s="3">
        <f t="shared" si="184"/>
        <v>93.2</v>
      </c>
      <c r="H768" s="3">
        <f t="shared" si="185"/>
        <v>93.2</v>
      </c>
      <c r="I768" s="3"/>
      <c r="J768" s="3">
        <f t="shared" si="186"/>
        <v>86.924562992125985</v>
      </c>
      <c r="K768" s="3">
        <f t="shared" si="187"/>
        <v>93.424562992125985</v>
      </c>
      <c r="L768" s="34">
        <f t="shared" si="188"/>
        <v>90.82456299212599</v>
      </c>
      <c r="M768" s="3">
        <f t="shared" si="189"/>
        <v>-121.8</v>
      </c>
      <c r="N768" s="3">
        <f t="shared" si="190"/>
        <v>73.84</v>
      </c>
      <c r="O768" s="3"/>
      <c r="P768" s="3">
        <f t="shared" si="191"/>
        <v>114.06544881889765</v>
      </c>
      <c r="Q768" s="3">
        <f t="shared" si="192"/>
        <v>142.74732598425197</v>
      </c>
      <c r="R768" s="3">
        <f>vd(DataTable[[#This Row],[Sentido]],DataTable[[#This Row],[Valor]])</f>
        <v>128.20393700787403</v>
      </c>
      <c r="S768" s="3">
        <f>IF(DataTable[[#This Row],[Valor]]&gt;1,1,1)</f>
        <v>1</v>
      </c>
      <c r="T768" s="3">
        <f>IF(DataTable[[#This Row],[Valor]]&gt;1,1,1)</f>
        <v>1</v>
      </c>
      <c r="U768" s="3">
        <f>angr(DataTable[[#This Row],[Sentido]],DataTable[[#This Row],[Valor]])</f>
        <v>32.098425196850393</v>
      </c>
      <c r="V768" s="3">
        <f>ANGI(DataTable[[#This Row],[Sentido]],DataTable[[#This Row],[Valor]])</f>
        <v>32.911811023622043</v>
      </c>
      <c r="W768" s="3">
        <f t="shared" si="193"/>
        <v>3</v>
      </c>
      <c r="X768" s="3">
        <f>IF(DataTable[[#This Row],[Valor]]&gt;1,1,1)</f>
        <v>1</v>
      </c>
      <c r="Y768" s="3">
        <f t="shared" si="194"/>
        <v>3</v>
      </c>
      <c r="Z768" s="3">
        <f>IF(AND(DataTable[[#This Row],[Sentido]]="URUGUAI para BRASIL",DataTable[[#This Row],[Valor]]&gt;350),1,0)</f>
        <v>1</v>
      </c>
      <c r="AA768" s="3">
        <f>IF(DataTable[[#This Row],[Valor]]&gt;1,0,0)</f>
        <v>0</v>
      </c>
    </row>
    <row r="769" spans="1:27" x14ac:dyDescent="0.25">
      <c r="A769" s="2" t="s">
        <v>18</v>
      </c>
      <c r="B769" s="2">
        <v>360</v>
      </c>
      <c r="C769" s="3">
        <f t="shared" si="180"/>
        <v>90.854267716535432</v>
      </c>
      <c r="D769" s="3">
        <f t="shared" si="181"/>
        <v>93.496787401574792</v>
      </c>
      <c r="E769" s="3">
        <f t="shared" si="182"/>
        <v>90.896787401574798</v>
      </c>
      <c r="F769" s="3">
        <f t="shared" si="183"/>
        <v>31.799999999999997</v>
      </c>
      <c r="G769" s="3">
        <f t="shared" si="184"/>
        <v>93</v>
      </c>
      <c r="H769" s="3">
        <f t="shared" si="185"/>
        <v>93</v>
      </c>
      <c r="I769" s="3"/>
      <c r="J769" s="3">
        <f t="shared" si="186"/>
        <v>86.996787401574792</v>
      </c>
      <c r="K769" s="3">
        <f t="shared" si="187"/>
        <v>93.496787401574792</v>
      </c>
      <c r="L769" s="34">
        <f t="shared" si="188"/>
        <v>90.896787401574798</v>
      </c>
      <c r="M769" s="3">
        <f t="shared" si="189"/>
        <v>-122</v>
      </c>
      <c r="N769" s="3">
        <f t="shared" si="190"/>
        <v>73.599999999999994</v>
      </c>
      <c r="O769" s="3"/>
      <c r="P769" s="3">
        <f t="shared" si="191"/>
        <v>114.31811023622046</v>
      </c>
      <c r="Q769" s="3">
        <f t="shared" si="192"/>
        <v>142.8527748031496</v>
      </c>
      <c r="R769" s="3">
        <f>vd(DataTable[[#This Row],[Sentido]],DataTable[[#This Row],[Valor]])</f>
        <v>128.4992125984252</v>
      </c>
      <c r="S769" s="3">
        <f>IF(DataTable[[#This Row],[Valor]]&gt;1,1,1)</f>
        <v>1</v>
      </c>
      <c r="T769" s="3">
        <f>IF(DataTable[[#This Row],[Valor]]&gt;1,1,1)</f>
        <v>1</v>
      </c>
      <c r="U769" s="3">
        <f>angr(DataTable[[#This Row],[Sentido]],DataTable[[#This Row],[Valor]])</f>
        <v>31.980314960629919</v>
      </c>
      <c r="V769" s="3">
        <f>ANGI(DataTable[[#This Row],[Sentido]],DataTable[[#This Row],[Valor]])</f>
        <v>32.797637795275584</v>
      </c>
      <c r="W769" s="3">
        <f t="shared" si="193"/>
        <v>3</v>
      </c>
      <c r="X769" s="3">
        <f>IF(DataTable[[#This Row],[Valor]]&gt;1,1,1)</f>
        <v>1</v>
      </c>
      <c r="Y769" s="3">
        <f t="shared" si="194"/>
        <v>3</v>
      </c>
      <c r="Z769" s="3">
        <f>IF(AND(DataTable[[#This Row],[Sentido]]="URUGUAI para BRASIL",DataTable[[#This Row],[Valor]]&gt;350),1,0)</f>
        <v>1</v>
      </c>
      <c r="AA769" s="3">
        <f>IF(DataTable[[#This Row],[Valor]]&gt;1,0,0)</f>
        <v>0</v>
      </c>
    </row>
    <row r="770" spans="1:27" x14ac:dyDescent="0.25">
      <c r="A770" s="2" t="s">
        <v>18</v>
      </c>
      <c r="B770" s="2">
        <v>361</v>
      </c>
      <c r="C770" s="3">
        <f t="shared" si="180"/>
        <v>90.926374015748038</v>
      </c>
      <c r="D770" s="3">
        <f t="shared" si="181"/>
        <v>93.569011811023614</v>
      </c>
      <c r="E770" s="3">
        <f t="shared" si="182"/>
        <v>90.96901181102362</v>
      </c>
      <c r="F770" s="3">
        <f t="shared" si="183"/>
        <v>31.68</v>
      </c>
      <c r="G770" s="3">
        <f t="shared" si="184"/>
        <v>92.8</v>
      </c>
      <c r="H770" s="3">
        <f t="shared" si="185"/>
        <v>92.8</v>
      </c>
      <c r="I770" s="3"/>
      <c r="J770" s="3">
        <f t="shared" si="186"/>
        <v>87.069011811023614</v>
      </c>
      <c r="K770" s="3">
        <f t="shared" si="187"/>
        <v>93.569011811023614</v>
      </c>
      <c r="L770" s="34">
        <f t="shared" si="188"/>
        <v>90.96901181102362</v>
      </c>
      <c r="M770" s="3">
        <f t="shared" si="189"/>
        <v>-122.2</v>
      </c>
      <c r="N770" s="3">
        <f t="shared" si="190"/>
        <v>73.36</v>
      </c>
      <c r="O770" s="3"/>
      <c r="P770" s="3">
        <f t="shared" si="191"/>
        <v>114.5707716535433</v>
      </c>
      <c r="Q770" s="3">
        <f t="shared" si="192"/>
        <v>142.95822362204723</v>
      </c>
      <c r="R770" s="3">
        <f>vd(DataTable[[#This Row],[Sentido]],DataTable[[#This Row],[Valor]])</f>
        <v>128.79448818897637</v>
      </c>
      <c r="S770" s="3">
        <f>IF(DataTable[[#This Row],[Valor]]&gt;1,1,1)</f>
        <v>1</v>
      </c>
      <c r="T770" s="3">
        <f>IF(DataTable[[#This Row],[Valor]]&gt;1,1,1)</f>
        <v>1</v>
      </c>
      <c r="U770" s="3">
        <f>angr(DataTable[[#This Row],[Sentido]],DataTable[[#This Row],[Valor]])</f>
        <v>31.862204724409448</v>
      </c>
      <c r="V770" s="3">
        <f>ANGI(DataTable[[#This Row],[Sentido]],DataTable[[#This Row],[Valor]])</f>
        <v>32.683464566929132</v>
      </c>
      <c r="W770" s="3">
        <f t="shared" si="193"/>
        <v>3</v>
      </c>
      <c r="X770" s="3">
        <f>IF(DataTable[[#This Row],[Valor]]&gt;1,1,1)</f>
        <v>1</v>
      </c>
      <c r="Y770" s="3">
        <f t="shared" si="194"/>
        <v>3</v>
      </c>
      <c r="Z770" s="3">
        <f>IF(AND(DataTable[[#This Row],[Sentido]]="URUGUAI para BRASIL",DataTable[[#This Row],[Valor]]&gt;350),1,0)</f>
        <v>1</v>
      </c>
      <c r="AA770" s="3">
        <f>IF(DataTable[[#This Row],[Valor]]&gt;1,0,0)</f>
        <v>0</v>
      </c>
    </row>
    <row r="771" spans="1:27" x14ac:dyDescent="0.25">
      <c r="A771" s="2" t="s">
        <v>18</v>
      </c>
      <c r="B771" s="2">
        <v>362</v>
      </c>
      <c r="C771" s="3">
        <f t="shared" si="180"/>
        <v>90.998480314960631</v>
      </c>
      <c r="D771" s="3">
        <f t="shared" si="181"/>
        <v>93.641236220472436</v>
      </c>
      <c r="E771" s="3">
        <f t="shared" si="182"/>
        <v>91.041236220472442</v>
      </c>
      <c r="F771" s="3">
        <f t="shared" si="183"/>
        <v>31.560000000000002</v>
      </c>
      <c r="G771" s="3">
        <f t="shared" si="184"/>
        <v>92.6</v>
      </c>
      <c r="H771" s="3">
        <f t="shared" si="185"/>
        <v>92.6</v>
      </c>
      <c r="I771" s="3"/>
      <c r="J771" s="3">
        <f t="shared" si="186"/>
        <v>87.141236220472436</v>
      </c>
      <c r="K771" s="3">
        <f t="shared" si="187"/>
        <v>93.641236220472436</v>
      </c>
      <c r="L771" s="34">
        <f t="shared" si="188"/>
        <v>91.041236220472442</v>
      </c>
      <c r="M771" s="3">
        <f t="shared" si="189"/>
        <v>-122.4</v>
      </c>
      <c r="N771" s="3">
        <f t="shared" si="190"/>
        <v>73.12</v>
      </c>
      <c r="O771" s="3"/>
      <c r="P771" s="3">
        <f t="shared" si="191"/>
        <v>114.82343307086614</v>
      </c>
      <c r="Q771" s="3">
        <f t="shared" si="192"/>
        <v>143.06367244094488</v>
      </c>
      <c r="R771" s="3">
        <f>vd(DataTable[[#This Row],[Sentido]],DataTable[[#This Row],[Valor]])</f>
        <v>129.08976377952754</v>
      </c>
      <c r="S771" s="3">
        <f>IF(DataTable[[#This Row],[Valor]]&gt;1,1,1)</f>
        <v>1</v>
      </c>
      <c r="T771" s="3">
        <f>IF(DataTable[[#This Row],[Valor]]&gt;1,1,1)</f>
        <v>1</v>
      </c>
      <c r="U771" s="3">
        <f>angr(DataTable[[#This Row],[Sentido]],DataTable[[#This Row],[Valor]])</f>
        <v>31.744094488188978</v>
      </c>
      <c r="V771" s="3">
        <f>ANGI(DataTable[[#This Row],[Sentido]],DataTable[[#This Row],[Valor]])</f>
        <v>32.569291338582673</v>
      </c>
      <c r="W771" s="3">
        <f t="shared" si="193"/>
        <v>3</v>
      </c>
      <c r="X771" s="3">
        <f>IF(DataTable[[#This Row],[Valor]]&gt;1,1,1)</f>
        <v>1</v>
      </c>
      <c r="Y771" s="3">
        <f t="shared" si="194"/>
        <v>3</v>
      </c>
      <c r="Z771" s="3">
        <f>IF(AND(DataTable[[#This Row],[Sentido]]="URUGUAI para BRASIL",DataTable[[#This Row],[Valor]]&gt;350),1,0)</f>
        <v>1</v>
      </c>
      <c r="AA771" s="3">
        <f>IF(DataTable[[#This Row],[Valor]]&gt;1,0,0)</f>
        <v>0</v>
      </c>
    </row>
    <row r="772" spans="1:27" x14ac:dyDescent="0.25">
      <c r="A772" s="2" t="s">
        <v>18</v>
      </c>
      <c r="B772" s="2">
        <v>363</v>
      </c>
      <c r="C772" s="3">
        <f t="shared" si="180"/>
        <v>91.070586614173223</v>
      </c>
      <c r="D772" s="3">
        <f t="shared" si="181"/>
        <v>93.713460629921258</v>
      </c>
      <c r="E772" s="3">
        <f t="shared" si="182"/>
        <v>91.113460629921263</v>
      </c>
      <c r="F772" s="3">
        <f t="shared" si="183"/>
        <v>31.439999999999998</v>
      </c>
      <c r="G772" s="3">
        <f t="shared" si="184"/>
        <v>92.4</v>
      </c>
      <c r="H772" s="3">
        <f t="shared" si="185"/>
        <v>92.4</v>
      </c>
      <c r="I772" s="3"/>
      <c r="J772" s="3">
        <f t="shared" si="186"/>
        <v>87.213460629921258</v>
      </c>
      <c r="K772" s="3">
        <f t="shared" si="187"/>
        <v>93.713460629921258</v>
      </c>
      <c r="L772" s="34">
        <f t="shared" si="188"/>
        <v>91.113460629921263</v>
      </c>
      <c r="M772" s="3">
        <f t="shared" si="189"/>
        <v>-122.6</v>
      </c>
      <c r="N772" s="3">
        <f t="shared" si="190"/>
        <v>72.88</v>
      </c>
      <c r="O772" s="3"/>
      <c r="P772" s="3">
        <f t="shared" si="191"/>
        <v>115.07609448818899</v>
      </c>
      <c r="Q772" s="3">
        <f t="shared" si="192"/>
        <v>143.16912125984251</v>
      </c>
      <c r="R772" s="3">
        <f>vd(DataTable[[#This Row],[Sentido]],DataTable[[#This Row],[Valor]])</f>
        <v>129.38503937007874</v>
      </c>
      <c r="S772" s="3">
        <f>IF(DataTable[[#This Row],[Valor]]&gt;1,1,1)</f>
        <v>1</v>
      </c>
      <c r="T772" s="3">
        <f>IF(DataTable[[#This Row],[Valor]]&gt;1,1,1)</f>
        <v>1</v>
      </c>
      <c r="U772" s="3">
        <f>angr(DataTable[[#This Row],[Sentido]],DataTable[[#This Row],[Valor]])</f>
        <v>31.625984251968507</v>
      </c>
      <c r="V772" s="3">
        <f>ANGI(DataTable[[#This Row],[Sentido]],DataTable[[#This Row],[Valor]])</f>
        <v>32.455118110236221</v>
      </c>
      <c r="W772" s="3">
        <f t="shared" si="193"/>
        <v>3</v>
      </c>
      <c r="X772" s="3">
        <f>IF(DataTable[[#This Row],[Valor]]&gt;1,1,1)</f>
        <v>1</v>
      </c>
      <c r="Y772" s="3">
        <f t="shared" si="194"/>
        <v>3</v>
      </c>
      <c r="Z772" s="3">
        <f>IF(AND(DataTable[[#This Row],[Sentido]]="URUGUAI para BRASIL",DataTable[[#This Row],[Valor]]&gt;350),1,0)</f>
        <v>1</v>
      </c>
      <c r="AA772" s="3">
        <f>IF(DataTable[[#This Row],[Valor]]&gt;1,0,0)</f>
        <v>0</v>
      </c>
    </row>
    <row r="773" spans="1:27" x14ac:dyDescent="0.25">
      <c r="A773" s="2" t="s">
        <v>18</v>
      </c>
      <c r="B773" s="2">
        <v>364</v>
      </c>
      <c r="C773" s="3">
        <f t="shared" ref="C773:C836" si="195">MiniVWVB(A773,B773,E773)</f>
        <v>91.142692913385829</v>
      </c>
      <c r="D773" s="3">
        <f t="shared" ref="D773:D836" si="196">MaxVWV(A773,B773)</f>
        <v>93.785685039370065</v>
      </c>
      <c r="E773" s="3">
        <f t="shared" ref="E773:E836" si="197">RatedVWV(B773)</f>
        <v>91.185685039370071</v>
      </c>
      <c r="F773" s="3">
        <f t="shared" ref="F773:F836" si="198">MinQB(A773,B773)</f>
        <v>31.32</v>
      </c>
      <c r="G773" s="3">
        <f t="shared" ref="G773:G836" si="199">MaxQB3F(A773,B773)</f>
        <v>92.2</v>
      </c>
      <c r="H773" s="3">
        <f t="shared" ref="H773:H836" si="200">MaxQB4F(A773,B773)</f>
        <v>92.2</v>
      </c>
      <c r="I773" s="3"/>
      <c r="J773" s="3">
        <f t="shared" ref="J773:J836" si="201">MiniVWVU(A773,B773,L773)</f>
        <v>87.285685039370065</v>
      </c>
      <c r="K773" s="3">
        <f t="shared" ref="K773:K836" si="202">MaxVWV(A773,B773)</f>
        <v>93.785685039370065</v>
      </c>
      <c r="L773" s="34">
        <f t="shared" ref="L773:L836" si="203">RatedVWV(B773)</f>
        <v>91.185685039370071</v>
      </c>
      <c r="M773" s="3">
        <f t="shared" ref="M773:M836" si="204">MinQU(A773,B773)</f>
        <v>-122.8</v>
      </c>
      <c r="N773" s="3">
        <f t="shared" ref="N773:N836" si="205">MaxQU(A773,B773)</f>
        <v>72.64</v>
      </c>
      <c r="O773" s="3"/>
      <c r="P773" s="3">
        <f t="shared" ref="P773:P836" si="206">MiniUpper(A773,B773)</f>
        <v>115.3287559055118</v>
      </c>
      <c r="Q773" s="3">
        <f t="shared" ref="Q773:Q836" si="207">MaxUpper(A773,B773)</f>
        <v>143.27457007874017</v>
      </c>
      <c r="R773" s="3">
        <f>vd(DataTable[[#This Row],[Sentido]],DataTable[[#This Row],[Valor]])</f>
        <v>129.68031496062991</v>
      </c>
      <c r="S773" s="3">
        <f>IF(DataTable[[#This Row],[Valor]]&gt;1,1,1)</f>
        <v>1</v>
      </c>
      <c r="T773" s="3">
        <f>IF(DataTable[[#This Row],[Valor]]&gt;1,1,1)</f>
        <v>1</v>
      </c>
      <c r="U773" s="3">
        <f>angr(DataTable[[#This Row],[Sentido]],DataTable[[#This Row],[Valor]])</f>
        <v>31.507874015748037</v>
      </c>
      <c r="V773" s="3">
        <f>ANGI(DataTable[[#This Row],[Sentido]],DataTable[[#This Row],[Valor]])</f>
        <v>32.340944881889769</v>
      </c>
      <c r="W773" s="3">
        <f t="shared" ref="W773:W836" si="208">IF(A774="URUGUAI para BRASIL",IF(B773&gt;119,IF(B773&gt;240,3,2),1),IF(B773&gt;120,IF(B773&gt;240,3,2),1))</f>
        <v>3</v>
      </c>
      <c r="X773" s="3">
        <f>IF(DataTable[[#This Row],[Valor]]&gt;1,1,1)</f>
        <v>1</v>
      </c>
      <c r="Y773" s="3">
        <f t="shared" ref="Y773:Y836" si="209">IF(A774="URUGUAI para BRASIL",IF(B773&gt;119,IF(B773&gt;240,3,2),1),IF(B773&gt;120,IF(B773&gt;240,3,2),1))</f>
        <v>3</v>
      </c>
      <c r="Z773" s="3">
        <f>IF(AND(DataTable[[#This Row],[Sentido]]="URUGUAI para BRASIL",DataTable[[#This Row],[Valor]]&gt;350),1,0)</f>
        <v>1</v>
      </c>
      <c r="AA773" s="3">
        <f>IF(DataTable[[#This Row],[Valor]]&gt;1,0,0)</f>
        <v>0</v>
      </c>
    </row>
    <row r="774" spans="1:27" x14ac:dyDescent="0.25">
      <c r="A774" s="2" t="s">
        <v>18</v>
      </c>
      <c r="B774" s="2">
        <v>365</v>
      </c>
      <c r="C774" s="3">
        <f t="shared" si="195"/>
        <v>91.214799212598436</v>
      </c>
      <c r="D774" s="3">
        <f t="shared" si="196"/>
        <v>93.857909448818901</v>
      </c>
      <c r="E774" s="3">
        <f t="shared" si="197"/>
        <v>91.257909448818907</v>
      </c>
      <c r="F774" s="3">
        <f t="shared" si="198"/>
        <v>31.200000000000003</v>
      </c>
      <c r="G774" s="3">
        <f t="shared" si="199"/>
        <v>92</v>
      </c>
      <c r="H774" s="3">
        <f t="shared" si="200"/>
        <v>92</v>
      </c>
      <c r="I774" s="3"/>
      <c r="J774" s="3">
        <f t="shared" si="201"/>
        <v>87.357909448818901</v>
      </c>
      <c r="K774" s="3">
        <f t="shared" si="202"/>
        <v>93.857909448818901</v>
      </c>
      <c r="L774" s="34">
        <f t="shared" si="203"/>
        <v>91.257909448818907</v>
      </c>
      <c r="M774" s="3">
        <f t="shared" si="204"/>
        <v>-123</v>
      </c>
      <c r="N774" s="3">
        <f t="shared" si="205"/>
        <v>72.400000000000006</v>
      </c>
      <c r="O774" s="3"/>
      <c r="P774" s="3">
        <f t="shared" si="206"/>
        <v>115.58141732283465</v>
      </c>
      <c r="Q774" s="3">
        <f t="shared" si="207"/>
        <v>143.3800188976378</v>
      </c>
      <c r="R774" s="3">
        <f>vd(DataTable[[#This Row],[Sentido]],DataTable[[#This Row],[Valor]])</f>
        <v>129.97559055118111</v>
      </c>
      <c r="S774" s="3">
        <f>IF(DataTable[[#This Row],[Valor]]&gt;1,1,1)</f>
        <v>1</v>
      </c>
      <c r="T774" s="3">
        <f>IF(DataTable[[#This Row],[Valor]]&gt;1,1,1)</f>
        <v>1</v>
      </c>
      <c r="U774" s="3">
        <f>angr(DataTable[[#This Row],[Sentido]],DataTable[[#This Row],[Valor]])</f>
        <v>31.389763779527556</v>
      </c>
      <c r="V774" s="3">
        <f>ANGI(DataTable[[#This Row],[Sentido]],DataTable[[#This Row],[Valor]])</f>
        <v>32.226771653543302</v>
      </c>
      <c r="W774" s="3">
        <f t="shared" si="208"/>
        <v>3</v>
      </c>
      <c r="X774" s="3">
        <f>IF(DataTable[[#This Row],[Valor]]&gt;1,1,1)</f>
        <v>1</v>
      </c>
      <c r="Y774" s="3">
        <f t="shared" si="209"/>
        <v>3</v>
      </c>
      <c r="Z774" s="3">
        <f>IF(AND(DataTable[[#This Row],[Sentido]]="URUGUAI para BRASIL",DataTable[[#This Row],[Valor]]&gt;350),1,0)</f>
        <v>1</v>
      </c>
      <c r="AA774" s="3">
        <f>IF(DataTable[[#This Row],[Valor]]&gt;1,0,0)</f>
        <v>0</v>
      </c>
    </row>
    <row r="775" spans="1:27" x14ac:dyDescent="0.25">
      <c r="A775" s="2" t="s">
        <v>18</v>
      </c>
      <c r="B775" s="2">
        <v>366</v>
      </c>
      <c r="C775" s="3">
        <f t="shared" si="195"/>
        <v>91.286905511811028</v>
      </c>
      <c r="D775" s="3">
        <f t="shared" si="196"/>
        <v>93.930133858267709</v>
      </c>
      <c r="E775" s="3">
        <f t="shared" si="197"/>
        <v>91.330133858267715</v>
      </c>
      <c r="F775" s="3">
        <f t="shared" si="198"/>
        <v>31.08</v>
      </c>
      <c r="G775" s="3">
        <f t="shared" si="199"/>
        <v>91.8</v>
      </c>
      <c r="H775" s="3">
        <f t="shared" si="200"/>
        <v>91.8</v>
      </c>
      <c r="I775" s="3"/>
      <c r="J775" s="3">
        <f t="shared" si="201"/>
        <v>87.430133858267709</v>
      </c>
      <c r="K775" s="3">
        <f t="shared" si="202"/>
        <v>93.930133858267709</v>
      </c>
      <c r="L775" s="34">
        <f t="shared" si="203"/>
        <v>91.330133858267715</v>
      </c>
      <c r="M775" s="3">
        <f t="shared" si="204"/>
        <v>-123.2</v>
      </c>
      <c r="N775" s="3">
        <f t="shared" si="205"/>
        <v>72.16</v>
      </c>
      <c r="O775" s="3"/>
      <c r="P775" s="3">
        <f t="shared" si="206"/>
        <v>115.83407874015749</v>
      </c>
      <c r="Q775" s="3">
        <f t="shared" si="207"/>
        <v>143.48546771653542</v>
      </c>
      <c r="R775" s="3">
        <f>vd(DataTable[[#This Row],[Sentido]],DataTable[[#This Row],[Valor]])</f>
        <v>130.27086614173228</v>
      </c>
      <c r="S775" s="3">
        <f>IF(DataTable[[#This Row],[Valor]]&gt;1,1,1)</f>
        <v>1</v>
      </c>
      <c r="T775" s="3">
        <f>IF(DataTable[[#This Row],[Valor]]&gt;1,1,1)</f>
        <v>1</v>
      </c>
      <c r="U775" s="3">
        <f>angr(DataTable[[#This Row],[Sentido]],DataTable[[#This Row],[Valor]])</f>
        <v>31.271653543307085</v>
      </c>
      <c r="V775" s="3">
        <f>ANGI(DataTable[[#This Row],[Sentido]],DataTable[[#This Row],[Valor]])</f>
        <v>32.112598425196843</v>
      </c>
      <c r="W775" s="3">
        <f t="shared" si="208"/>
        <v>3</v>
      </c>
      <c r="X775" s="3">
        <f>IF(DataTable[[#This Row],[Valor]]&gt;1,1,1)</f>
        <v>1</v>
      </c>
      <c r="Y775" s="3">
        <f t="shared" si="209"/>
        <v>3</v>
      </c>
      <c r="Z775" s="3">
        <f>IF(AND(DataTable[[#This Row],[Sentido]]="URUGUAI para BRASIL",DataTable[[#This Row],[Valor]]&gt;350),1,0)</f>
        <v>1</v>
      </c>
      <c r="AA775" s="3">
        <f>IF(DataTable[[#This Row],[Valor]]&gt;1,0,0)</f>
        <v>0</v>
      </c>
    </row>
    <row r="776" spans="1:27" x14ac:dyDescent="0.25">
      <c r="A776" s="2" t="s">
        <v>18</v>
      </c>
      <c r="B776" s="2">
        <v>367</v>
      </c>
      <c r="C776" s="3">
        <f t="shared" si="195"/>
        <v>91.35901181102362</v>
      </c>
      <c r="D776" s="3">
        <f t="shared" si="196"/>
        <v>94.002358267716531</v>
      </c>
      <c r="E776" s="3">
        <f t="shared" si="197"/>
        <v>91.402358267716536</v>
      </c>
      <c r="F776" s="3">
        <f t="shared" si="198"/>
        <v>30.96</v>
      </c>
      <c r="G776" s="3">
        <f t="shared" si="199"/>
        <v>91.6</v>
      </c>
      <c r="H776" s="3">
        <f t="shared" si="200"/>
        <v>91.6</v>
      </c>
      <c r="I776" s="3"/>
      <c r="J776" s="3">
        <f t="shared" si="201"/>
        <v>87.502358267716531</v>
      </c>
      <c r="K776" s="3">
        <f t="shared" si="202"/>
        <v>94.002358267716531</v>
      </c>
      <c r="L776" s="34">
        <f t="shared" si="203"/>
        <v>91.402358267716536</v>
      </c>
      <c r="M776" s="3">
        <f t="shared" si="204"/>
        <v>-123.4</v>
      </c>
      <c r="N776" s="3">
        <f t="shared" si="205"/>
        <v>71.92</v>
      </c>
      <c r="O776" s="3"/>
      <c r="P776" s="3">
        <f t="shared" si="206"/>
        <v>116.08674015748031</v>
      </c>
      <c r="Q776" s="3">
        <f t="shared" si="207"/>
        <v>143.59091653543308</v>
      </c>
      <c r="R776" s="3">
        <f>vd(DataTable[[#This Row],[Sentido]],DataTable[[#This Row],[Valor]])</f>
        <v>130.56614173228346</v>
      </c>
      <c r="S776" s="3">
        <f>IF(DataTable[[#This Row],[Valor]]&gt;1,1,1)</f>
        <v>1</v>
      </c>
      <c r="T776" s="3">
        <f>IF(DataTable[[#This Row],[Valor]]&gt;1,1,1)</f>
        <v>1</v>
      </c>
      <c r="U776" s="3">
        <f>angr(DataTable[[#This Row],[Sentido]],DataTable[[#This Row],[Valor]])</f>
        <v>31.153543307086615</v>
      </c>
      <c r="V776" s="3">
        <f>ANGI(DataTable[[#This Row],[Sentido]],DataTable[[#This Row],[Valor]])</f>
        <v>31.998425196850391</v>
      </c>
      <c r="W776" s="3">
        <f t="shared" si="208"/>
        <v>3</v>
      </c>
      <c r="X776" s="3">
        <f>IF(DataTable[[#This Row],[Valor]]&gt;1,1,1)</f>
        <v>1</v>
      </c>
      <c r="Y776" s="3">
        <f t="shared" si="209"/>
        <v>3</v>
      </c>
      <c r="Z776" s="3">
        <f>IF(AND(DataTable[[#This Row],[Sentido]]="URUGUAI para BRASIL",DataTable[[#This Row],[Valor]]&gt;350),1,0)</f>
        <v>1</v>
      </c>
      <c r="AA776" s="3">
        <f>IF(DataTable[[#This Row],[Valor]]&gt;1,0,0)</f>
        <v>0</v>
      </c>
    </row>
    <row r="777" spans="1:27" x14ac:dyDescent="0.25">
      <c r="A777" s="2" t="s">
        <v>18</v>
      </c>
      <c r="B777" s="2">
        <v>368</v>
      </c>
      <c r="C777" s="3">
        <f t="shared" si="195"/>
        <v>91.431118110236227</v>
      </c>
      <c r="D777" s="3">
        <f t="shared" si="196"/>
        <v>94.074582677165353</v>
      </c>
      <c r="E777" s="3">
        <f t="shared" si="197"/>
        <v>91.474582677165358</v>
      </c>
      <c r="F777" s="3">
        <f t="shared" si="198"/>
        <v>30.840000000000003</v>
      </c>
      <c r="G777" s="3">
        <f t="shared" si="199"/>
        <v>91.4</v>
      </c>
      <c r="H777" s="3">
        <f t="shared" si="200"/>
        <v>91.4</v>
      </c>
      <c r="I777" s="3"/>
      <c r="J777" s="3">
        <f t="shared" si="201"/>
        <v>87.574582677165353</v>
      </c>
      <c r="K777" s="3">
        <f t="shared" si="202"/>
        <v>94.074582677165353</v>
      </c>
      <c r="L777" s="34">
        <f t="shared" si="203"/>
        <v>91.474582677165358</v>
      </c>
      <c r="M777" s="3">
        <f t="shared" si="204"/>
        <v>-123.6</v>
      </c>
      <c r="N777" s="3">
        <f t="shared" si="205"/>
        <v>71.680000000000007</v>
      </c>
      <c r="O777" s="3"/>
      <c r="P777" s="3">
        <f t="shared" si="206"/>
        <v>116.33940157480315</v>
      </c>
      <c r="Q777" s="3">
        <f t="shared" si="207"/>
        <v>143.69636535433071</v>
      </c>
      <c r="R777" s="3">
        <f>vd(DataTable[[#This Row],[Sentido]],DataTable[[#This Row],[Valor]])</f>
        <v>130.86141732283465</v>
      </c>
      <c r="S777" s="3">
        <f>IF(DataTable[[#This Row],[Valor]]&gt;1,1,1)</f>
        <v>1</v>
      </c>
      <c r="T777" s="3">
        <f>IF(DataTable[[#This Row],[Valor]]&gt;1,1,1)</f>
        <v>1</v>
      </c>
      <c r="U777" s="3">
        <f>angr(DataTable[[#This Row],[Sentido]],DataTable[[#This Row],[Valor]])</f>
        <v>31.035433070866141</v>
      </c>
      <c r="V777" s="3">
        <f>ANGI(DataTable[[#This Row],[Sentido]],DataTable[[#This Row],[Valor]])</f>
        <v>31.884251968503936</v>
      </c>
      <c r="W777" s="3">
        <f t="shared" si="208"/>
        <v>3</v>
      </c>
      <c r="X777" s="3">
        <f>IF(DataTable[[#This Row],[Valor]]&gt;1,1,1)</f>
        <v>1</v>
      </c>
      <c r="Y777" s="3">
        <f t="shared" si="209"/>
        <v>3</v>
      </c>
      <c r="Z777" s="3">
        <f>IF(AND(DataTable[[#This Row],[Sentido]]="URUGUAI para BRASIL",DataTable[[#This Row],[Valor]]&gt;350),1,0)</f>
        <v>1</v>
      </c>
      <c r="AA777" s="3">
        <f>IF(DataTable[[#This Row],[Valor]]&gt;1,0,0)</f>
        <v>0</v>
      </c>
    </row>
    <row r="778" spans="1:27" x14ac:dyDescent="0.25">
      <c r="A778" s="2" t="s">
        <v>18</v>
      </c>
      <c r="B778" s="2">
        <v>369</v>
      </c>
      <c r="C778" s="3">
        <f t="shared" si="195"/>
        <v>91.503224409448819</v>
      </c>
      <c r="D778" s="3">
        <f t="shared" si="196"/>
        <v>94.146807086614174</v>
      </c>
      <c r="E778" s="3">
        <f t="shared" si="197"/>
        <v>91.54680708661418</v>
      </c>
      <c r="F778" s="3">
        <f t="shared" si="198"/>
        <v>30.72</v>
      </c>
      <c r="G778" s="3">
        <f t="shared" si="199"/>
        <v>91.2</v>
      </c>
      <c r="H778" s="3">
        <f t="shared" si="200"/>
        <v>91.2</v>
      </c>
      <c r="I778" s="3"/>
      <c r="J778" s="3">
        <f t="shared" si="201"/>
        <v>87.646807086614174</v>
      </c>
      <c r="K778" s="3">
        <f t="shared" si="202"/>
        <v>94.146807086614174</v>
      </c>
      <c r="L778" s="34">
        <f t="shared" si="203"/>
        <v>91.54680708661418</v>
      </c>
      <c r="M778" s="3">
        <f t="shared" si="204"/>
        <v>-123.8</v>
      </c>
      <c r="N778" s="3">
        <f t="shared" si="205"/>
        <v>71.44</v>
      </c>
      <c r="O778" s="3"/>
      <c r="P778" s="3">
        <f t="shared" si="206"/>
        <v>116.59206299212599</v>
      </c>
      <c r="Q778" s="3">
        <f t="shared" si="207"/>
        <v>143.80181417322837</v>
      </c>
      <c r="R778" s="3">
        <f>vd(DataTable[[#This Row],[Sentido]],DataTable[[#This Row],[Valor]])</f>
        <v>131.15669291338583</v>
      </c>
      <c r="S778" s="3">
        <f>IF(DataTable[[#This Row],[Valor]]&gt;1,1,1)</f>
        <v>1</v>
      </c>
      <c r="T778" s="3">
        <f>IF(DataTable[[#This Row],[Valor]]&gt;1,1,1)</f>
        <v>1</v>
      </c>
      <c r="U778" s="3">
        <f>angr(DataTable[[#This Row],[Sentido]],DataTable[[#This Row],[Valor]])</f>
        <v>30.91732283464567</v>
      </c>
      <c r="V778" s="3">
        <f>ANGI(DataTable[[#This Row],[Sentido]],DataTable[[#This Row],[Valor]])</f>
        <v>31.77007874015748</v>
      </c>
      <c r="W778" s="3">
        <f t="shared" si="208"/>
        <v>3</v>
      </c>
      <c r="X778" s="3">
        <f>IF(DataTable[[#This Row],[Valor]]&gt;1,1,1)</f>
        <v>1</v>
      </c>
      <c r="Y778" s="3">
        <f t="shared" si="209"/>
        <v>3</v>
      </c>
      <c r="Z778" s="3">
        <f>IF(AND(DataTable[[#This Row],[Sentido]]="URUGUAI para BRASIL",DataTable[[#This Row],[Valor]]&gt;350),1,0)</f>
        <v>1</v>
      </c>
      <c r="AA778" s="3">
        <f>IF(DataTable[[#This Row],[Valor]]&gt;1,0,0)</f>
        <v>0</v>
      </c>
    </row>
    <row r="779" spans="1:27" x14ac:dyDescent="0.25">
      <c r="A779" s="2" t="s">
        <v>18</v>
      </c>
      <c r="B779" s="2">
        <v>370</v>
      </c>
      <c r="C779" s="3">
        <f t="shared" si="195"/>
        <v>91.575330708661411</v>
      </c>
      <c r="D779" s="3">
        <f t="shared" si="196"/>
        <v>94.219031496062982</v>
      </c>
      <c r="E779" s="3">
        <f t="shared" si="197"/>
        <v>91.619031496062988</v>
      </c>
      <c r="F779" s="3">
        <f t="shared" si="198"/>
        <v>30.6</v>
      </c>
      <c r="G779" s="3">
        <f t="shared" si="199"/>
        <v>91</v>
      </c>
      <c r="H779" s="3">
        <f t="shared" si="200"/>
        <v>91</v>
      </c>
      <c r="I779" s="3"/>
      <c r="J779" s="3">
        <f t="shared" si="201"/>
        <v>87.719031496062982</v>
      </c>
      <c r="K779" s="3">
        <f t="shared" si="202"/>
        <v>94.219031496062982</v>
      </c>
      <c r="L779" s="34">
        <f t="shared" si="203"/>
        <v>91.619031496062988</v>
      </c>
      <c r="M779" s="3">
        <f t="shared" si="204"/>
        <v>-124</v>
      </c>
      <c r="N779" s="3">
        <f t="shared" si="205"/>
        <v>71.2</v>
      </c>
      <c r="O779" s="3"/>
      <c r="P779" s="3">
        <f t="shared" si="206"/>
        <v>116.8447244094488</v>
      </c>
      <c r="Q779" s="3">
        <f t="shared" si="207"/>
        <v>143.90726299212599</v>
      </c>
      <c r="R779" s="3">
        <f>vd(DataTable[[#This Row],[Sentido]],DataTable[[#This Row],[Valor]])</f>
        <v>131.451968503937</v>
      </c>
      <c r="S779" s="3">
        <f>IF(DataTable[[#This Row],[Valor]]&gt;1,1,1)</f>
        <v>1</v>
      </c>
      <c r="T779" s="3">
        <f>IF(DataTable[[#This Row],[Valor]]&gt;1,1,1)</f>
        <v>1</v>
      </c>
      <c r="U779" s="3">
        <f>angr(DataTable[[#This Row],[Sentido]],DataTable[[#This Row],[Valor]])</f>
        <v>30.7992125984252</v>
      </c>
      <c r="V779" s="3">
        <f>ANGI(DataTable[[#This Row],[Sentido]],DataTable[[#This Row],[Valor]])</f>
        <v>31.655905511811024</v>
      </c>
      <c r="W779" s="3">
        <f t="shared" si="208"/>
        <v>3</v>
      </c>
      <c r="X779" s="3">
        <f>IF(DataTable[[#This Row],[Valor]]&gt;1,1,1)</f>
        <v>1</v>
      </c>
      <c r="Y779" s="3">
        <f t="shared" si="209"/>
        <v>3</v>
      </c>
      <c r="Z779" s="3">
        <f>IF(AND(DataTable[[#This Row],[Sentido]]="URUGUAI para BRASIL",DataTable[[#This Row],[Valor]]&gt;350),1,0)</f>
        <v>1</v>
      </c>
      <c r="AA779" s="3">
        <f>IF(DataTable[[#This Row],[Valor]]&gt;1,0,0)</f>
        <v>0</v>
      </c>
    </row>
    <row r="780" spans="1:27" x14ac:dyDescent="0.25">
      <c r="A780" s="2" t="s">
        <v>18</v>
      </c>
      <c r="B780" s="2">
        <v>371</v>
      </c>
      <c r="C780" s="3">
        <f t="shared" si="195"/>
        <v>91.647437007874018</v>
      </c>
      <c r="D780" s="3">
        <f t="shared" si="196"/>
        <v>94.291255905511804</v>
      </c>
      <c r="E780" s="3">
        <f t="shared" si="197"/>
        <v>91.691255905511809</v>
      </c>
      <c r="F780" s="3">
        <f t="shared" si="198"/>
        <v>30.480000000000004</v>
      </c>
      <c r="G780" s="3">
        <f t="shared" si="199"/>
        <v>90.8</v>
      </c>
      <c r="H780" s="3">
        <f t="shared" si="200"/>
        <v>90.8</v>
      </c>
      <c r="I780" s="3"/>
      <c r="J780" s="3">
        <f t="shared" si="201"/>
        <v>87.791255905511804</v>
      </c>
      <c r="K780" s="3">
        <f t="shared" si="202"/>
        <v>94.291255905511804</v>
      </c>
      <c r="L780" s="34">
        <f t="shared" si="203"/>
        <v>91.691255905511809</v>
      </c>
      <c r="M780" s="3">
        <f t="shared" si="204"/>
        <v>-124.2</v>
      </c>
      <c r="N780" s="3">
        <f t="shared" si="205"/>
        <v>70.960000000000008</v>
      </c>
      <c r="O780" s="3"/>
      <c r="P780" s="3">
        <f t="shared" si="206"/>
        <v>117.09738582677167</v>
      </c>
      <c r="Q780" s="3">
        <f t="shared" si="207"/>
        <v>144.01271181102362</v>
      </c>
      <c r="R780" s="3">
        <f>vd(DataTable[[#This Row],[Sentido]],DataTable[[#This Row],[Valor]])</f>
        <v>131.7472440944882</v>
      </c>
      <c r="S780" s="3">
        <f>IF(DataTable[[#This Row],[Valor]]&gt;1,1,1)</f>
        <v>1</v>
      </c>
      <c r="T780" s="3">
        <f>IF(DataTable[[#This Row],[Valor]]&gt;1,1,1)</f>
        <v>1</v>
      </c>
      <c r="U780" s="3">
        <f>angr(DataTable[[#This Row],[Sentido]],DataTable[[#This Row],[Valor]])</f>
        <v>30.681102362204719</v>
      </c>
      <c r="V780" s="3">
        <f>ANGI(DataTable[[#This Row],[Sentido]],DataTable[[#This Row],[Valor]])</f>
        <v>31.541732283464562</v>
      </c>
      <c r="W780" s="3">
        <f t="shared" si="208"/>
        <v>3</v>
      </c>
      <c r="X780" s="3">
        <f>IF(DataTable[[#This Row],[Valor]]&gt;1,1,1)</f>
        <v>1</v>
      </c>
      <c r="Y780" s="3">
        <f t="shared" si="209"/>
        <v>3</v>
      </c>
      <c r="Z780" s="3">
        <f>IF(AND(DataTable[[#This Row],[Sentido]]="URUGUAI para BRASIL",DataTable[[#This Row],[Valor]]&gt;350),1,0)</f>
        <v>1</v>
      </c>
      <c r="AA780" s="3">
        <f>IF(DataTable[[#This Row],[Valor]]&gt;1,0,0)</f>
        <v>0</v>
      </c>
    </row>
    <row r="781" spans="1:27" x14ac:dyDescent="0.25">
      <c r="A781" s="2" t="s">
        <v>18</v>
      </c>
      <c r="B781" s="2">
        <v>372</v>
      </c>
      <c r="C781" s="3">
        <f t="shared" si="195"/>
        <v>91.719543307086624</v>
      </c>
      <c r="D781" s="3">
        <f t="shared" si="196"/>
        <v>94.363480314960626</v>
      </c>
      <c r="E781" s="3">
        <f t="shared" si="197"/>
        <v>91.763480314960631</v>
      </c>
      <c r="F781" s="3">
        <f t="shared" si="198"/>
        <v>30.36</v>
      </c>
      <c r="G781" s="3">
        <f t="shared" si="199"/>
        <v>90.6</v>
      </c>
      <c r="H781" s="3">
        <f t="shared" si="200"/>
        <v>90.6</v>
      </c>
      <c r="I781" s="3"/>
      <c r="J781" s="3">
        <f t="shared" si="201"/>
        <v>87.863480314960626</v>
      </c>
      <c r="K781" s="3">
        <f t="shared" si="202"/>
        <v>94.363480314960626</v>
      </c>
      <c r="L781" s="34">
        <f t="shared" si="203"/>
        <v>91.763480314960631</v>
      </c>
      <c r="M781" s="3">
        <f t="shared" si="204"/>
        <v>-124.4</v>
      </c>
      <c r="N781" s="3">
        <f t="shared" si="205"/>
        <v>70.72</v>
      </c>
      <c r="O781" s="3"/>
      <c r="P781" s="3">
        <f t="shared" si="206"/>
        <v>117.3500472440945</v>
      </c>
      <c r="Q781" s="3">
        <f t="shared" si="207"/>
        <v>144.11816062992128</v>
      </c>
      <c r="R781" s="3">
        <f>vd(DataTable[[#This Row],[Sentido]],DataTable[[#This Row],[Valor]])</f>
        <v>132.04251968503937</v>
      </c>
      <c r="S781" s="3">
        <f>IF(DataTable[[#This Row],[Valor]]&gt;1,1,1)</f>
        <v>1</v>
      </c>
      <c r="T781" s="3">
        <f>IF(DataTable[[#This Row],[Valor]]&gt;1,1,1)</f>
        <v>1</v>
      </c>
      <c r="U781" s="3">
        <f>angr(DataTable[[#This Row],[Sentido]],DataTable[[#This Row],[Valor]])</f>
        <v>30.562992125984248</v>
      </c>
      <c r="V781" s="3">
        <f>ANGI(DataTable[[#This Row],[Sentido]],DataTable[[#This Row],[Valor]])</f>
        <v>31.427559055118106</v>
      </c>
      <c r="W781" s="3">
        <f t="shared" si="208"/>
        <v>3</v>
      </c>
      <c r="X781" s="3">
        <f>IF(DataTable[[#This Row],[Valor]]&gt;1,1,1)</f>
        <v>1</v>
      </c>
      <c r="Y781" s="3">
        <f t="shared" si="209"/>
        <v>3</v>
      </c>
      <c r="Z781" s="3">
        <f>IF(AND(DataTable[[#This Row],[Sentido]]="URUGUAI para BRASIL",DataTable[[#This Row],[Valor]]&gt;350),1,0)</f>
        <v>1</v>
      </c>
      <c r="AA781" s="3">
        <f>IF(DataTable[[#This Row],[Valor]]&gt;1,0,0)</f>
        <v>0</v>
      </c>
    </row>
    <row r="782" spans="1:27" x14ac:dyDescent="0.25">
      <c r="A782" s="2" t="s">
        <v>18</v>
      </c>
      <c r="B782" s="2">
        <v>373</v>
      </c>
      <c r="C782" s="3">
        <f t="shared" si="195"/>
        <v>91.791649606299217</v>
      </c>
      <c r="D782" s="3">
        <f t="shared" si="196"/>
        <v>94.435704724409447</v>
      </c>
      <c r="E782" s="3">
        <f t="shared" si="197"/>
        <v>91.835704724409453</v>
      </c>
      <c r="F782" s="3">
        <f t="shared" si="198"/>
        <v>30.240000000000002</v>
      </c>
      <c r="G782" s="3">
        <f t="shared" si="199"/>
        <v>90.4</v>
      </c>
      <c r="H782" s="3">
        <f t="shared" si="200"/>
        <v>90.4</v>
      </c>
      <c r="I782" s="3"/>
      <c r="J782" s="3">
        <f t="shared" si="201"/>
        <v>87.935704724409447</v>
      </c>
      <c r="K782" s="3">
        <f t="shared" si="202"/>
        <v>94.435704724409447</v>
      </c>
      <c r="L782" s="34">
        <f t="shared" si="203"/>
        <v>91.835704724409453</v>
      </c>
      <c r="M782" s="3">
        <f t="shared" si="204"/>
        <v>-124.6</v>
      </c>
      <c r="N782" s="3">
        <f t="shared" si="205"/>
        <v>70.48</v>
      </c>
      <c r="O782" s="3"/>
      <c r="P782" s="3">
        <f t="shared" si="206"/>
        <v>117.60270866141732</v>
      </c>
      <c r="Q782" s="3">
        <f t="shared" si="207"/>
        <v>144.22360944881891</v>
      </c>
      <c r="R782" s="3">
        <f>vd(DataTable[[#This Row],[Sentido]],DataTable[[#This Row],[Valor]])</f>
        <v>132.33779527559054</v>
      </c>
      <c r="S782" s="3">
        <f>IF(DataTable[[#This Row],[Valor]]&gt;1,1,1)</f>
        <v>1</v>
      </c>
      <c r="T782" s="3">
        <f>IF(DataTable[[#This Row],[Valor]]&gt;1,1,1)</f>
        <v>1</v>
      </c>
      <c r="U782" s="3">
        <f>angr(DataTable[[#This Row],[Sentido]],DataTable[[#This Row],[Valor]])</f>
        <v>30.444881889763778</v>
      </c>
      <c r="V782" s="3">
        <f>ANGI(DataTable[[#This Row],[Sentido]],DataTable[[#This Row],[Valor]])</f>
        <v>31.31338582677165</v>
      </c>
      <c r="W782" s="3">
        <f t="shared" si="208"/>
        <v>3</v>
      </c>
      <c r="X782" s="3">
        <f>IF(DataTable[[#This Row],[Valor]]&gt;1,1,1)</f>
        <v>1</v>
      </c>
      <c r="Y782" s="3">
        <f t="shared" si="209"/>
        <v>3</v>
      </c>
      <c r="Z782" s="3">
        <f>IF(AND(DataTable[[#This Row],[Sentido]]="URUGUAI para BRASIL",DataTable[[#This Row],[Valor]]&gt;350),1,0)</f>
        <v>1</v>
      </c>
      <c r="AA782" s="3">
        <f>IF(DataTable[[#This Row],[Valor]]&gt;1,0,0)</f>
        <v>0</v>
      </c>
    </row>
    <row r="783" spans="1:27" x14ac:dyDescent="0.25">
      <c r="A783" s="2" t="s">
        <v>18</v>
      </c>
      <c r="B783" s="2">
        <v>374</v>
      </c>
      <c r="C783" s="3">
        <f t="shared" si="195"/>
        <v>91.863755905511809</v>
      </c>
      <c r="D783" s="3">
        <f t="shared" si="196"/>
        <v>94.507929133858269</v>
      </c>
      <c r="E783" s="3">
        <f t="shared" si="197"/>
        <v>91.907929133858275</v>
      </c>
      <c r="F783" s="3">
        <f t="shared" si="198"/>
        <v>30.119999999999997</v>
      </c>
      <c r="G783" s="3">
        <f t="shared" si="199"/>
        <v>90.2</v>
      </c>
      <c r="H783" s="3">
        <f t="shared" si="200"/>
        <v>90.2</v>
      </c>
      <c r="I783" s="3"/>
      <c r="J783" s="3">
        <f t="shared" si="201"/>
        <v>88.007929133858269</v>
      </c>
      <c r="K783" s="3">
        <f t="shared" si="202"/>
        <v>94.507929133858269</v>
      </c>
      <c r="L783" s="34">
        <f t="shared" si="203"/>
        <v>91.907929133858275</v>
      </c>
      <c r="M783" s="3">
        <f t="shared" si="204"/>
        <v>-124.8</v>
      </c>
      <c r="N783" s="3">
        <f t="shared" si="205"/>
        <v>70.239999999999995</v>
      </c>
      <c r="O783" s="3"/>
      <c r="P783" s="3">
        <f t="shared" si="206"/>
        <v>117.85537007874015</v>
      </c>
      <c r="Q783" s="3">
        <f t="shared" si="207"/>
        <v>144.32905826771653</v>
      </c>
      <c r="R783" s="3">
        <f>vd(DataTable[[#This Row],[Sentido]],DataTable[[#This Row],[Valor]])</f>
        <v>132.63307086614174</v>
      </c>
      <c r="S783" s="3">
        <f>IF(DataTable[[#This Row],[Valor]]&gt;1,1,1)</f>
        <v>1</v>
      </c>
      <c r="T783" s="3">
        <f>IF(DataTable[[#This Row],[Valor]]&gt;1,1,1)</f>
        <v>1</v>
      </c>
      <c r="U783" s="3">
        <f>angr(DataTable[[#This Row],[Sentido]],DataTable[[#This Row],[Valor]])</f>
        <v>30.326771653543307</v>
      </c>
      <c r="V783" s="3">
        <f>ANGI(DataTable[[#This Row],[Sentido]],DataTable[[#This Row],[Valor]])</f>
        <v>31.199212598425195</v>
      </c>
      <c r="W783" s="3">
        <f t="shared" si="208"/>
        <v>3</v>
      </c>
      <c r="X783" s="3">
        <f>IF(DataTable[[#This Row],[Valor]]&gt;1,1,1)</f>
        <v>1</v>
      </c>
      <c r="Y783" s="3">
        <f t="shared" si="209"/>
        <v>3</v>
      </c>
      <c r="Z783" s="3">
        <f>IF(AND(DataTable[[#This Row],[Sentido]]="URUGUAI para BRASIL",DataTable[[#This Row],[Valor]]&gt;350),1,0)</f>
        <v>1</v>
      </c>
      <c r="AA783" s="3">
        <f>IF(DataTable[[#This Row],[Valor]]&gt;1,0,0)</f>
        <v>0</v>
      </c>
    </row>
    <row r="784" spans="1:27" x14ac:dyDescent="0.25">
      <c r="A784" s="2" t="s">
        <v>18</v>
      </c>
      <c r="B784" s="2">
        <v>375</v>
      </c>
      <c r="C784" s="3">
        <f t="shared" si="195"/>
        <v>91.935862204724415</v>
      </c>
      <c r="D784" s="3">
        <f t="shared" si="196"/>
        <v>94.580153543307077</v>
      </c>
      <c r="E784" s="3">
        <f t="shared" si="197"/>
        <v>91.980153543307082</v>
      </c>
      <c r="F784" s="3">
        <f t="shared" si="198"/>
        <v>30</v>
      </c>
      <c r="G784" s="3">
        <f t="shared" si="199"/>
        <v>90</v>
      </c>
      <c r="H784" s="3">
        <f t="shared" si="200"/>
        <v>90</v>
      </c>
      <c r="I784" s="3"/>
      <c r="J784" s="3">
        <f t="shared" si="201"/>
        <v>88.080153543307077</v>
      </c>
      <c r="K784" s="3">
        <f t="shared" si="202"/>
        <v>94.580153543307077</v>
      </c>
      <c r="L784" s="34">
        <f t="shared" si="203"/>
        <v>91.980153543307082</v>
      </c>
      <c r="M784" s="3">
        <f t="shared" si="204"/>
        <v>-125</v>
      </c>
      <c r="N784" s="3">
        <f t="shared" si="205"/>
        <v>70</v>
      </c>
      <c r="O784" s="3"/>
      <c r="P784" s="3">
        <f t="shared" si="206"/>
        <v>118.10803149606299</v>
      </c>
      <c r="Q784" s="3">
        <f t="shared" si="207"/>
        <v>144.43450708661416</v>
      </c>
      <c r="R784" s="3">
        <f>vd(DataTable[[#This Row],[Sentido]],DataTable[[#This Row],[Valor]])</f>
        <v>132.92834645669291</v>
      </c>
      <c r="S784" s="3">
        <f>IF(DataTable[[#This Row],[Valor]]&gt;1,1,1)</f>
        <v>1</v>
      </c>
      <c r="T784" s="3">
        <f>IF(DataTable[[#This Row],[Valor]]&gt;1,1,1)</f>
        <v>1</v>
      </c>
      <c r="U784" s="3">
        <f>angr(DataTable[[#This Row],[Sentido]],DataTable[[#This Row],[Valor]])</f>
        <v>30.208661417322837</v>
      </c>
      <c r="V784" s="3">
        <f>ANGI(DataTable[[#This Row],[Sentido]],DataTable[[#This Row],[Valor]])</f>
        <v>31.085039370078739</v>
      </c>
      <c r="W784" s="3">
        <f t="shared" si="208"/>
        <v>3</v>
      </c>
      <c r="X784" s="3">
        <f>IF(DataTable[[#This Row],[Valor]]&gt;1,1,1)</f>
        <v>1</v>
      </c>
      <c r="Y784" s="3">
        <f t="shared" si="209"/>
        <v>3</v>
      </c>
      <c r="Z784" s="3">
        <f>IF(AND(DataTable[[#This Row],[Sentido]]="URUGUAI para BRASIL",DataTable[[#This Row],[Valor]]&gt;350),1,0)</f>
        <v>1</v>
      </c>
      <c r="AA784" s="3">
        <f>IF(DataTable[[#This Row],[Valor]]&gt;1,0,0)</f>
        <v>0</v>
      </c>
    </row>
    <row r="785" spans="1:27" x14ac:dyDescent="0.25">
      <c r="A785" s="2" t="s">
        <v>18</v>
      </c>
      <c r="B785" s="2">
        <v>376</v>
      </c>
      <c r="C785" s="3">
        <f t="shared" si="195"/>
        <v>92.007968503937008</v>
      </c>
      <c r="D785" s="3">
        <f t="shared" si="196"/>
        <v>94.652377952755899</v>
      </c>
      <c r="E785" s="3">
        <f t="shared" si="197"/>
        <v>92.052377952755904</v>
      </c>
      <c r="F785" s="3">
        <f t="shared" si="198"/>
        <v>29.880000000000003</v>
      </c>
      <c r="G785" s="3">
        <f t="shared" si="199"/>
        <v>89.8</v>
      </c>
      <c r="H785" s="3">
        <f t="shared" si="200"/>
        <v>89.8</v>
      </c>
      <c r="I785" s="3"/>
      <c r="J785" s="3">
        <f t="shared" si="201"/>
        <v>88.152377952755899</v>
      </c>
      <c r="K785" s="3">
        <f t="shared" si="202"/>
        <v>94.652377952755899</v>
      </c>
      <c r="L785" s="34">
        <f t="shared" si="203"/>
        <v>92.052377952755904</v>
      </c>
      <c r="M785" s="3">
        <f t="shared" si="204"/>
        <v>-125.2</v>
      </c>
      <c r="N785" s="3">
        <f t="shared" si="205"/>
        <v>69.760000000000005</v>
      </c>
      <c r="O785" s="3"/>
      <c r="P785" s="3">
        <f t="shared" si="206"/>
        <v>118.36069291338583</v>
      </c>
      <c r="Q785" s="3">
        <f t="shared" si="207"/>
        <v>144.53995590551182</v>
      </c>
      <c r="R785" s="3">
        <f>vd(DataTable[[#This Row],[Sentido]],DataTable[[#This Row],[Valor]])</f>
        <v>133.22362204724408</v>
      </c>
      <c r="S785" s="3">
        <f>IF(DataTable[[#This Row],[Valor]]&gt;1,1,1)</f>
        <v>1</v>
      </c>
      <c r="T785" s="3">
        <f>IF(DataTable[[#This Row],[Valor]]&gt;1,1,1)</f>
        <v>1</v>
      </c>
      <c r="U785" s="3">
        <f>angr(DataTable[[#This Row],[Sentido]],DataTable[[#This Row],[Valor]])</f>
        <v>30.090551181102363</v>
      </c>
      <c r="V785" s="3">
        <f>ANGI(DataTable[[#This Row],[Sentido]],DataTable[[#This Row],[Valor]])</f>
        <v>30.970866141732284</v>
      </c>
      <c r="W785" s="3">
        <f t="shared" si="208"/>
        <v>3</v>
      </c>
      <c r="X785" s="3">
        <f>IF(DataTable[[#This Row],[Valor]]&gt;1,1,1)</f>
        <v>1</v>
      </c>
      <c r="Y785" s="3">
        <f t="shared" si="209"/>
        <v>3</v>
      </c>
      <c r="Z785" s="3">
        <f>IF(AND(DataTable[[#This Row],[Sentido]]="URUGUAI para BRASIL",DataTable[[#This Row],[Valor]]&gt;350),1,0)</f>
        <v>1</v>
      </c>
      <c r="AA785" s="3">
        <f>IF(DataTable[[#This Row],[Valor]]&gt;1,0,0)</f>
        <v>0</v>
      </c>
    </row>
    <row r="786" spans="1:27" x14ac:dyDescent="0.25">
      <c r="A786" s="2" t="s">
        <v>18</v>
      </c>
      <c r="B786" s="2">
        <v>377</v>
      </c>
      <c r="C786" s="3">
        <f t="shared" si="195"/>
        <v>92.0800748031496</v>
      </c>
      <c r="D786" s="3">
        <f t="shared" si="196"/>
        <v>94.72460236220472</v>
      </c>
      <c r="E786" s="3">
        <f t="shared" si="197"/>
        <v>92.124602362204726</v>
      </c>
      <c r="F786" s="3">
        <f t="shared" si="198"/>
        <v>29.759999999999998</v>
      </c>
      <c r="G786" s="3">
        <f t="shared" si="199"/>
        <v>89.6</v>
      </c>
      <c r="H786" s="3">
        <f t="shared" si="200"/>
        <v>89.6</v>
      </c>
      <c r="I786" s="3"/>
      <c r="J786" s="3">
        <f t="shared" si="201"/>
        <v>88.22460236220472</v>
      </c>
      <c r="K786" s="3">
        <f t="shared" si="202"/>
        <v>94.72460236220472</v>
      </c>
      <c r="L786" s="34">
        <f t="shared" si="203"/>
        <v>92.124602362204726</v>
      </c>
      <c r="M786" s="3">
        <f t="shared" si="204"/>
        <v>-125.4</v>
      </c>
      <c r="N786" s="3">
        <f t="shared" si="205"/>
        <v>69.52</v>
      </c>
      <c r="O786" s="3"/>
      <c r="P786" s="3">
        <f t="shared" si="206"/>
        <v>118.61335433070865</v>
      </c>
      <c r="Q786" s="3">
        <f t="shared" si="207"/>
        <v>144.64540472440945</v>
      </c>
      <c r="R786" s="3">
        <f>vd(DataTable[[#This Row],[Sentido]],DataTable[[#This Row],[Valor]])</f>
        <v>133.51889763779525</v>
      </c>
      <c r="S786" s="3">
        <f>IF(DataTable[[#This Row],[Valor]]&gt;1,1,1)</f>
        <v>1</v>
      </c>
      <c r="T786" s="3">
        <f>IF(DataTable[[#This Row],[Valor]]&gt;1,1,1)</f>
        <v>1</v>
      </c>
      <c r="U786" s="3">
        <f>angr(DataTable[[#This Row],[Sentido]],DataTable[[#This Row],[Valor]])</f>
        <v>29.972440944881892</v>
      </c>
      <c r="V786" s="3">
        <f>ANGI(DataTable[[#This Row],[Sentido]],DataTable[[#This Row],[Valor]])</f>
        <v>30.856692913385828</v>
      </c>
      <c r="W786" s="3">
        <f t="shared" si="208"/>
        <v>3</v>
      </c>
      <c r="X786" s="3">
        <f>IF(DataTable[[#This Row],[Valor]]&gt;1,1,1)</f>
        <v>1</v>
      </c>
      <c r="Y786" s="3">
        <f t="shared" si="209"/>
        <v>3</v>
      </c>
      <c r="Z786" s="3">
        <f>IF(AND(DataTable[[#This Row],[Sentido]]="URUGUAI para BRASIL",DataTable[[#This Row],[Valor]]&gt;350),1,0)</f>
        <v>1</v>
      </c>
      <c r="AA786" s="3">
        <f>IF(DataTable[[#This Row],[Valor]]&gt;1,0,0)</f>
        <v>0</v>
      </c>
    </row>
    <row r="787" spans="1:27" x14ac:dyDescent="0.25">
      <c r="A787" s="2" t="s">
        <v>18</v>
      </c>
      <c r="B787" s="2">
        <v>378</v>
      </c>
      <c r="C787" s="3">
        <f t="shared" si="195"/>
        <v>92.152181102362206</v>
      </c>
      <c r="D787" s="3">
        <f t="shared" si="196"/>
        <v>94.796826771653542</v>
      </c>
      <c r="E787" s="3">
        <f t="shared" si="197"/>
        <v>92.196826771653548</v>
      </c>
      <c r="F787" s="3">
        <f t="shared" si="198"/>
        <v>29.64</v>
      </c>
      <c r="G787" s="3">
        <f t="shared" si="199"/>
        <v>89.4</v>
      </c>
      <c r="H787" s="3">
        <f t="shared" si="200"/>
        <v>89.4</v>
      </c>
      <c r="I787" s="3"/>
      <c r="J787" s="3">
        <f t="shared" si="201"/>
        <v>88.296826771653542</v>
      </c>
      <c r="K787" s="3">
        <f t="shared" si="202"/>
        <v>94.796826771653542</v>
      </c>
      <c r="L787" s="34">
        <f t="shared" si="203"/>
        <v>92.196826771653548</v>
      </c>
      <c r="M787" s="3">
        <f t="shared" si="204"/>
        <v>-125.6</v>
      </c>
      <c r="N787" s="3">
        <f t="shared" si="205"/>
        <v>69.28</v>
      </c>
      <c r="O787" s="3"/>
      <c r="P787" s="3">
        <f t="shared" si="206"/>
        <v>118.86601574803151</v>
      </c>
      <c r="Q787" s="3">
        <f t="shared" si="207"/>
        <v>144.75085354330707</v>
      </c>
      <c r="R787" s="3">
        <f>vd(DataTable[[#This Row],[Sentido]],DataTable[[#This Row],[Valor]])</f>
        <v>133.81417322834645</v>
      </c>
      <c r="S787" s="3">
        <f>IF(DataTable[[#This Row],[Valor]]&gt;1,1,1)</f>
        <v>1</v>
      </c>
      <c r="T787" s="3">
        <f>IF(DataTable[[#This Row],[Valor]]&gt;1,1,1)</f>
        <v>1</v>
      </c>
      <c r="U787" s="3">
        <f>angr(DataTable[[#This Row],[Sentido]],DataTable[[#This Row],[Valor]])</f>
        <v>29.854330708661415</v>
      </c>
      <c r="V787" s="3">
        <f>ANGI(DataTable[[#This Row],[Sentido]],DataTable[[#This Row],[Valor]])</f>
        <v>30.742519685039365</v>
      </c>
      <c r="W787" s="3">
        <f t="shared" si="208"/>
        <v>3</v>
      </c>
      <c r="X787" s="3">
        <f>IF(DataTable[[#This Row],[Valor]]&gt;1,1,1)</f>
        <v>1</v>
      </c>
      <c r="Y787" s="3">
        <f t="shared" si="209"/>
        <v>3</v>
      </c>
      <c r="Z787" s="3">
        <f>IF(AND(DataTable[[#This Row],[Sentido]]="URUGUAI para BRASIL",DataTable[[#This Row],[Valor]]&gt;350),1,0)</f>
        <v>1</v>
      </c>
      <c r="AA787" s="3">
        <f>IF(DataTable[[#This Row],[Valor]]&gt;1,0,0)</f>
        <v>0</v>
      </c>
    </row>
    <row r="788" spans="1:27" x14ac:dyDescent="0.25">
      <c r="A788" s="2" t="s">
        <v>18</v>
      </c>
      <c r="B788" s="2">
        <v>379</v>
      </c>
      <c r="C788" s="3">
        <f t="shared" si="195"/>
        <v>92.224287401574813</v>
      </c>
      <c r="D788" s="3">
        <f t="shared" si="196"/>
        <v>94.869051181102364</v>
      </c>
      <c r="E788" s="3">
        <f t="shared" si="197"/>
        <v>92.26905118110237</v>
      </c>
      <c r="F788" s="3">
        <f t="shared" si="198"/>
        <v>29.520000000000003</v>
      </c>
      <c r="G788" s="3">
        <f t="shared" si="199"/>
        <v>89.2</v>
      </c>
      <c r="H788" s="3">
        <f t="shared" si="200"/>
        <v>89.2</v>
      </c>
      <c r="I788" s="3"/>
      <c r="J788" s="3">
        <f t="shared" si="201"/>
        <v>88.369051181102364</v>
      </c>
      <c r="K788" s="3">
        <f t="shared" si="202"/>
        <v>94.869051181102364</v>
      </c>
      <c r="L788" s="34">
        <f t="shared" si="203"/>
        <v>92.26905118110237</v>
      </c>
      <c r="M788" s="3">
        <f t="shared" si="204"/>
        <v>-125.8</v>
      </c>
      <c r="N788" s="3">
        <f t="shared" si="205"/>
        <v>69.040000000000006</v>
      </c>
      <c r="O788" s="3"/>
      <c r="P788" s="3">
        <f t="shared" si="206"/>
        <v>119.11867716535434</v>
      </c>
      <c r="Q788" s="3">
        <f t="shared" si="207"/>
        <v>144.85630236220473</v>
      </c>
      <c r="R788" s="3">
        <f>vd(DataTable[[#This Row],[Sentido]],DataTable[[#This Row],[Valor]])</f>
        <v>134.10944881889765</v>
      </c>
      <c r="S788" s="3">
        <f>IF(DataTable[[#This Row],[Valor]]&gt;1,1,1)</f>
        <v>1</v>
      </c>
      <c r="T788" s="3">
        <f>IF(DataTable[[#This Row],[Valor]]&gt;1,1,1)</f>
        <v>1</v>
      </c>
      <c r="U788" s="3">
        <f>angr(DataTable[[#This Row],[Sentido]],DataTable[[#This Row],[Valor]])</f>
        <v>29.736220472440941</v>
      </c>
      <c r="V788" s="3">
        <f>ANGI(DataTable[[#This Row],[Sentido]],DataTable[[#This Row],[Valor]])</f>
        <v>30.62834645669291</v>
      </c>
      <c r="W788" s="3">
        <f t="shared" si="208"/>
        <v>3</v>
      </c>
      <c r="X788" s="3">
        <f>IF(DataTable[[#This Row],[Valor]]&gt;1,1,1)</f>
        <v>1</v>
      </c>
      <c r="Y788" s="3">
        <f t="shared" si="209"/>
        <v>3</v>
      </c>
      <c r="Z788" s="3">
        <f>IF(AND(DataTable[[#This Row],[Sentido]]="URUGUAI para BRASIL",DataTable[[#This Row],[Valor]]&gt;350),1,0)</f>
        <v>1</v>
      </c>
      <c r="AA788" s="3">
        <f>IF(DataTable[[#This Row],[Valor]]&gt;1,0,0)</f>
        <v>0</v>
      </c>
    </row>
    <row r="789" spans="1:27" x14ac:dyDescent="0.25">
      <c r="A789" s="2" t="s">
        <v>18</v>
      </c>
      <c r="B789" s="2">
        <v>380</v>
      </c>
      <c r="C789" s="3">
        <f t="shared" si="195"/>
        <v>92.296393700787405</v>
      </c>
      <c r="D789" s="3">
        <f t="shared" si="196"/>
        <v>94.941275590551172</v>
      </c>
      <c r="E789" s="3">
        <f t="shared" si="197"/>
        <v>92.341275590551177</v>
      </c>
      <c r="F789" s="3">
        <f t="shared" si="198"/>
        <v>29.4</v>
      </c>
      <c r="G789" s="3">
        <f t="shared" si="199"/>
        <v>89</v>
      </c>
      <c r="H789" s="3">
        <f t="shared" si="200"/>
        <v>89</v>
      </c>
      <c r="I789" s="3"/>
      <c r="J789" s="3">
        <f t="shared" si="201"/>
        <v>88.441275590551172</v>
      </c>
      <c r="K789" s="3">
        <f t="shared" si="202"/>
        <v>94.941275590551172</v>
      </c>
      <c r="L789" s="34">
        <f t="shared" si="203"/>
        <v>92.341275590551177</v>
      </c>
      <c r="M789" s="3">
        <f t="shared" si="204"/>
        <v>-126</v>
      </c>
      <c r="N789" s="3">
        <f t="shared" si="205"/>
        <v>68.8</v>
      </c>
      <c r="O789" s="3"/>
      <c r="P789" s="3">
        <f t="shared" si="206"/>
        <v>119.37133858267717</v>
      </c>
      <c r="Q789" s="3">
        <f t="shared" si="207"/>
        <v>144.96175118110236</v>
      </c>
      <c r="R789" s="3">
        <f>vd(DataTable[[#This Row],[Sentido]],DataTable[[#This Row],[Valor]])</f>
        <v>134.40472440944882</v>
      </c>
      <c r="S789" s="3">
        <f>IF(DataTable[[#This Row],[Valor]]&gt;1,1,1)</f>
        <v>1</v>
      </c>
      <c r="T789" s="3">
        <f>IF(DataTable[[#This Row],[Valor]]&gt;1,1,1)</f>
        <v>1</v>
      </c>
      <c r="U789" s="3">
        <f>angr(DataTable[[#This Row],[Sentido]],DataTable[[#This Row],[Valor]])</f>
        <v>29.61811023622047</v>
      </c>
      <c r="V789" s="3">
        <f>ANGI(DataTable[[#This Row],[Sentido]],DataTable[[#This Row],[Valor]])</f>
        <v>30.514173228346454</v>
      </c>
      <c r="W789" s="3">
        <f t="shared" si="208"/>
        <v>3</v>
      </c>
      <c r="X789" s="3">
        <f>IF(DataTable[[#This Row],[Valor]]&gt;1,1,1)</f>
        <v>1</v>
      </c>
      <c r="Y789" s="3">
        <f t="shared" si="209"/>
        <v>3</v>
      </c>
      <c r="Z789" s="3">
        <f>IF(AND(DataTable[[#This Row],[Sentido]]="URUGUAI para BRASIL",DataTable[[#This Row],[Valor]]&gt;350),1,0)</f>
        <v>1</v>
      </c>
      <c r="AA789" s="3">
        <f>IF(DataTable[[#This Row],[Valor]]&gt;1,0,0)</f>
        <v>0</v>
      </c>
    </row>
    <row r="790" spans="1:27" x14ac:dyDescent="0.25">
      <c r="A790" s="2" t="s">
        <v>18</v>
      </c>
      <c r="B790" s="2">
        <v>381</v>
      </c>
      <c r="C790" s="3">
        <f t="shared" si="195"/>
        <v>92.368499999999997</v>
      </c>
      <c r="D790" s="3">
        <f t="shared" si="196"/>
        <v>95.013499999999993</v>
      </c>
      <c r="E790" s="3">
        <f t="shared" si="197"/>
        <v>92.413499999999999</v>
      </c>
      <c r="F790" s="3">
        <f t="shared" si="198"/>
        <v>29.28</v>
      </c>
      <c r="G790" s="3">
        <f t="shared" si="199"/>
        <v>88.8</v>
      </c>
      <c r="H790" s="3">
        <f t="shared" si="200"/>
        <v>88.8</v>
      </c>
      <c r="I790" s="3"/>
      <c r="J790" s="3">
        <f t="shared" si="201"/>
        <v>88.513499999999993</v>
      </c>
      <c r="K790" s="3">
        <f t="shared" si="202"/>
        <v>95.013499999999993</v>
      </c>
      <c r="L790" s="34">
        <f t="shared" si="203"/>
        <v>92.413499999999999</v>
      </c>
      <c r="M790" s="3">
        <f t="shared" si="204"/>
        <v>-126.2</v>
      </c>
      <c r="N790" s="3">
        <f t="shared" si="205"/>
        <v>68.56</v>
      </c>
      <c r="O790" s="3"/>
      <c r="P790" s="3">
        <f t="shared" si="206"/>
        <v>119.624</v>
      </c>
      <c r="Q790" s="3">
        <f t="shared" si="207"/>
        <v>145.06720000000001</v>
      </c>
      <c r="R790" s="3">
        <f>vd(DataTable[[#This Row],[Sentido]],DataTable[[#This Row],[Valor]])</f>
        <v>134.69999999999999</v>
      </c>
      <c r="S790" s="3">
        <f>IF(DataTable[[#This Row],[Valor]]&gt;1,1,1)</f>
        <v>1</v>
      </c>
      <c r="T790" s="3">
        <f>IF(DataTable[[#This Row],[Valor]]&gt;1,1,1)</f>
        <v>1</v>
      </c>
      <c r="U790" s="3">
        <f>angr(DataTable[[#This Row],[Sentido]],DataTable[[#This Row],[Valor]])</f>
        <v>29.5</v>
      </c>
      <c r="V790" s="3">
        <f>ANGI(DataTable[[#This Row],[Sentido]],DataTable[[#This Row],[Valor]])</f>
        <v>30.4</v>
      </c>
      <c r="W790" s="3">
        <f t="shared" si="208"/>
        <v>3</v>
      </c>
      <c r="X790" s="3">
        <f>IF(DataTable[[#This Row],[Valor]]&gt;1,1,1)</f>
        <v>1</v>
      </c>
      <c r="Y790" s="3">
        <f t="shared" si="209"/>
        <v>3</v>
      </c>
      <c r="Z790" s="3">
        <f>IF(AND(DataTable[[#This Row],[Sentido]]="URUGUAI para BRASIL",DataTable[[#This Row],[Valor]]&gt;350),1,0)</f>
        <v>1</v>
      </c>
      <c r="AA790" s="3">
        <f>IF(DataTable[[#This Row],[Valor]]&gt;1,0,0)</f>
        <v>0</v>
      </c>
    </row>
    <row r="791" spans="1:27" x14ac:dyDescent="0.25">
      <c r="A791" s="2" t="s">
        <v>18</v>
      </c>
      <c r="B791" s="2">
        <v>382</v>
      </c>
      <c r="C791" s="3">
        <f t="shared" si="195"/>
        <v>92.440606299212604</v>
      </c>
      <c r="D791" s="3">
        <f t="shared" si="196"/>
        <v>95.085724409448815</v>
      </c>
      <c r="E791" s="3">
        <f t="shared" si="197"/>
        <v>92.485724409448821</v>
      </c>
      <c r="F791" s="3">
        <f t="shared" si="198"/>
        <v>29.160000000000004</v>
      </c>
      <c r="G791" s="3">
        <f t="shared" si="199"/>
        <v>88.6</v>
      </c>
      <c r="H791" s="3">
        <f t="shared" si="200"/>
        <v>88.6</v>
      </c>
      <c r="I791" s="3"/>
      <c r="J791" s="3">
        <f t="shared" si="201"/>
        <v>88.585724409448815</v>
      </c>
      <c r="K791" s="3">
        <f t="shared" si="202"/>
        <v>95.085724409448815</v>
      </c>
      <c r="L791" s="34">
        <f t="shared" si="203"/>
        <v>92.485724409448821</v>
      </c>
      <c r="M791" s="3">
        <f t="shared" si="204"/>
        <v>-126.4</v>
      </c>
      <c r="N791" s="3">
        <f t="shared" si="205"/>
        <v>68.320000000000007</v>
      </c>
      <c r="O791" s="3"/>
      <c r="P791" s="3">
        <f t="shared" si="206"/>
        <v>119.87666141732284</v>
      </c>
      <c r="Q791" s="3">
        <f t="shared" si="207"/>
        <v>145.17264881889764</v>
      </c>
      <c r="R791" s="3">
        <f>vd(DataTable[[#This Row],[Sentido]],DataTable[[#This Row],[Valor]])</f>
        <v>134.95984251968503</v>
      </c>
      <c r="S791" s="3">
        <f>IF(DataTable[[#This Row],[Valor]]&gt;1,1,1)</f>
        <v>1</v>
      </c>
      <c r="T791" s="3">
        <f>IF(DataTable[[#This Row],[Valor]]&gt;1,1,1)</f>
        <v>1</v>
      </c>
      <c r="U791" s="3">
        <f>angr(DataTable[[#This Row],[Sentido]],DataTable[[#This Row],[Valor]])</f>
        <v>29.393700787401578</v>
      </c>
      <c r="V791" s="3">
        <f>ANGI(DataTable[[#This Row],[Sentido]],DataTable[[#This Row],[Valor]])</f>
        <v>30.297637795275591</v>
      </c>
      <c r="W791" s="3">
        <f t="shared" si="208"/>
        <v>3</v>
      </c>
      <c r="X791" s="3">
        <f>IF(DataTable[[#This Row],[Valor]]&gt;1,1,1)</f>
        <v>1</v>
      </c>
      <c r="Y791" s="3">
        <f t="shared" si="209"/>
        <v>3</v>
      </c>
      <c r="Z791" s="3">
        <f>IF(AND(DataTable[[#This Row],[Sentido]]="URUGUAI para BRASIL",DataTable[[#This Row],[Valor]]&gt;350),1,0)</f>
        <v>1</v>
      </c>
      <c r="AA791" s="3">
        <f>IF(DataTable[[#This Row],[Valor]]&gt;1,0,0)</f>
        <v>0</v>
      </c>
    </row>
    <row r="792" spans="1:27" x14ac:dyDescent="0.25">
      <c r="A792" s="2" t="s">
        <v>18</v>
      </c>
      <c r="B792" s="2">
        <v>383</v>
      </c>
      <c r="C792" s="3">
        <f t="shared" si="195"/>
        <v>92.512712598425196</v>
      </c>
      <c r="D792" s="3">
        <f t="shared" si="196"/>
        <v>95.157948818897637</v>
      </c>
      <c r="E792" s="3">
        <f t="shared" si="197"/>
        <v>92.557948818897643</v>
      </c>
      <c r="F792" s="3">
        <f t="shared" si="198"/>
        <v>29.04</v>
      </c>
      <c r="G792" s="3">
        <f t="shared" si="199"/>
        <v>88.4</v>
      </c>
      <c r="H792" s="3">
        <f t="shared" si="200"/>
        <v>88.4</v>
      </c>
      <c r="I792" s="3"/>
      <c r="J792" s="3">
        <f t="shared" si="201"/>
        <v>88.657948818897637</v>
      </c>
      <c r="K792" s="3">
        <f t="shared" si="202"/>
        <v>95.157948818897637</v>
      </c>
      <c r="L792" s="34">
        <f t="shared" si="203"/>
        <v>92.557948818897643</v>
      </c>
      <c r="M792" s="3">
        <f t="shared" si="204"/>
        <v>-126.60000000000001</v>
      </c>
      <c r="N792" s="3">
        <f t="shared" si="205"/>
        <v>68.08</v>
      </c>
      <c r="O792" s="3"/>
      <c r="P792" s="3">
        <f t="shared" si="206"/>
        <v>120.12932283464568</v>
      </c>
      <c r="Q792" s="3">
        <f t="shared" si="207"/>
        <v>145.27809763779527</v>
      </c>
      <c r="R792" s="3">
        <f>vd(DataTable[[#This Row],[Sentido]],DataTable[[#This Row],[Valor]])</f>
        <v>135.21968503937006</v>
      </c>
      <c r="S792" s="3">
        <f>IF(DataTable[[#This Row],[Valor]]&gt;1,1,1)</f>
        <v>1</v>
      </c>
      <c r="T792" s="3">
        <f>IF(DataTable[[#This Row],[Valor]]&gt;1,1,1)</f>
        <v>1</v>
      </c>
      <c r="U792" s="3">
        <f>angr(DataTable[[#This Row],[Sentido]],DataTable[[#This Row],[Valor]])</f>
        <v>29.287401574803152</v>
      </c>
      <c r="V792" s="3">
        <f>ANGI(DataTable[[#This Row],[Sentido]],DataTable[[#This Row],[Valor]])</f>
        <v>30.195275590551184</v>
      </c>
      <c r="W792" s="3">
        <f t="shared" si="208"/>
        <v>3</v>
      </c>
      <c r="X792" s="3">
        <f>IF(DataTable[[#This Row],[Valor]]&gt;1,1,1)</f>
        <v>1</v>
      </c>
      <c r="Y792" s="3">
        <f t="shared" si="209"/>
        <v>3</v>
      </c>
      <c r="Z792" s="3">
        <f>IF(AND(DataTable[[#This Row],[Sentido]]="URUGUAI para BRASIL",DataTable[[#This Row],[Valor]]&gt;350),1,0)</f>
        <v>1</v>
      </c>
      <c r="AA792" s="3">
        <f>IF(DataTable[[#This Row],[Valor]]&gt;1,0,0)</f>
        <v>0</v>
      </c>
    </row>
    <row r="793" spans="1:27" x14ac:dyDescent="0.25">
      <c r="A793" s="2" t="s">
        <v>18</v>
      </c>
      <c r="B793" s="2">
        <v>384</v>
      </c>
      <c r="C793" s="3">
        <f t="shared" si="195"/>
        <v>92.584818897637788</v>
      </c>
      <c r="D793" s="3">
        <f t="shared" si="196"/>
        <v>95.230173228346445</v>
      </c>
      <c r="E793" s="3">
        <f t="shared" si="197"/>
        <v>92.63017322834645</v>
      </c>
      <c r="F793" s="3">
        <f t="shared" si="198"/>
        <v>28.92</v>
      </c>
      <c r="G793" s="3">
        <f t="shared" si="199"/>
        <v>88.2</v>
      </c>
      <c r="H793" s="3">
        <f t="shared" si="200"/>
        <v>88.2</v>
      </c>
      <c r="I793" s="3"/>
      <c r="J793" s="3">
        <f t="shared" si="201"/>
        <v>88.730173228346445</v>
      </c>
      <c r="K793" s="3">
        <f t="shared" si="202"/>
        <v>95.230173228346445</v>
      </c>
      <c r="L793" s="34">
        <f t="shared" si="203"/>
        <v>92.63017322834645</v>
      </c>
      <c r="M793" s="3">
        <f t="shared" si="204"/>
        <v>-126.8</v>
      </c>
      <c r="N793" s="3">
        <f t="shared" si="205"/>
        <v>67.84</v>
      </c>
      <c r="O793" s="3"/>
      <c r="P793" s="3">
        <f t="shared" si="206"/>
        <v>120.38198425196849</v>
      </c>
      <c r="Q793" s="3">
        <f t="shared" si="207"/>
        <v>145.38354645669293</v>
      </c>
      <c r="R793" s="3">
        <f>vd(DataTable[[#This Row],[Sentido]],DataTable[[#This Row],[Valor]])</f>
        <v>135.4795275590551</v>
      </c>
      <c r="S793" s="3">
        <f>IF(DataTable[[#This Row],[Valor]]&gt;1,1,1)</f>
        <v>1</v>
      </c>
      <c r="T793" s="3">
        <f>IF(DataTable[[#This Row],[Valor]]&gt;1,1,1)</f>
        <v>1</v>
      </c>
      <c r="U793" s="3">
        <f>angr(DataTable[[#This Row],[Sentido]],DataTable[[#This Row],[Valor]])</f>
        <v>29.181102362204729</v>
      </c>
      <c r="V793" s="3">
        <f>ANGI(DataTable[[#This Row],[Sentido]],DataTable[[#This Row],[Valor]])</f>
        <v>30.092913385826773</v>
      </c>
      <c r="W793" s="3">
        <f t="shared" si="208"/>
        <v>3</v>
      </c>
      <c r="X793" s="3">
        <f>IF(DataTable[[#This Row],[Valor]]&gt;1,1,1)</f>
        <v>1</v>
      </c>
      <c r="Y793" s="3">
        <f t="shared" si="209"/>
        <v>3</v>
      </c>
      <c r="Z793" s="3">
        <f>IF(AND(DataTable[[#This Row],[Sentido]]="URUGUAI para BRASIL",DataTable[[#This Row],[Valor]]&gt;350),1,0)</f>
        <v>1</v>
      </c>
      <c r="AA793" s="3">
        <f>IF(DataTable[[#This Row],[Valor]]&gt;1,0,0)</f>
        <v>0</v>
      </c>
    </row>
    <row r="794" spans="1:27" x14ac:dyDescent="0.25">
      <c r="A794" s="2" t="s">
        <v>18</v>
      </c>
      <c r="B794" s="2">
        <v>385</v>
      </c>
      <c r="C794" s="3">
        <f t="shared" si="195"/>
        <v>92.656925196850395</v>
      </c>
      <c r="D794" s="3">
        <f t="shared" si="196"/>
        <v>95.302397637795266</v>
      </c>
      <c r="E794" s="3">
        <f t="shared" si="197"/>
        <v>92.702397637795272</v>
      </c>
      <c r="F794" s="3">
        <f t="shared" si="198"/>
        <v>28.799999999999997</v>
      </c>
      <c r="G794" s="3">
        <f t="shared" si="199"/>
        <v>88</v>
      </c>
      <c r="H794" s="3">
        <f t="shared" si="200"/>
        <v>88</v>
      </c>
      <c r="I794" s="3"/>
      <c r="J794" s="3">
        <f t="shared" si="201"/>
        <v>88.802397637795266</v>
      </c>
      <c r="K794" s="3">
        <f t="shared" si="202"/>
        <v>95.302397637795266</v>
      </c>
      <c r="L794" s="34">
        <f t="shared" si="203"/>
        <v>92.702397637795272</v>
      </c>
      <c r="M794" s="3">
        <f t="shared" si="204"/>
        <v>-127</v>
      </c>
      <c r="N794" s="3">
        <f t="shared" si="205"/>
        <v>67.599999999999994</v>
      </c>
      <c r="O794" s="3"/>
      <c r="P794" s="3">
        <f t="shared" si="206"/>
        <v>120.63464566929136</v>
      </c>
      <c r="Q794" s="3">
        <f t="shared" si="207"/>
        <v>145.48899527559055</v>
      </c>
      <c r="R794" s="3">
        <f>vd(DataTable[[#This Row],[Sentido]],DataTable[[#This Row],[Valor]])</f>
        <v>135.73937007874017</v>
      </c>
      <c r="S794" s="3">
        <f>IF(DataTable[[#This Row],[Valor]]&gt;1,1,1)</f>
        <v>1</v>
      </c>
      <c r="T794" s="3">
        <f>IF(DataTable[[#This Row],[Valor]]&gt;1,1,1)</f>
        <v>1</v>
      </c>
      <c r="U794" s="3">
        <f>angr(DataTable[[#This Row],[Sentido]],DataTable[[#This Row],[Valor]])</f>
        <v>29.074803149606296</v>
      </c>
      <c r="V794" s="3">
        <f>ANGI(DataTable[[#This Row],[Sentido]],DataTable[[#This Row],[Valor]])</f>
        <v>29.990551181102358</v>
      </c>
      <c r="W794" s="3">
        <f t="shared" si="208"/>
        <v>3</v>
      </c>
      <c r="X794" s="3">
        <f>IF(DataTable[[#This Row],[Valor]]&gt;1,1,1)</f>
        <v>1</v>
      </c>
      <c r="Y794" s="3">
        <f t="shared" si="209"/>
        <v>3</v>
      </c>
      <c r="Z794" s="3">
        <f>IF(AND(DataTable[[#This Row],[Sentido]]="URUGUAI para BRASIL",DataTable[[#This Row],[Valor]]&gt;350),1,0)</f>
        <v>1</v>
      </c>
      <c r="AA794" s="3">
        <f>IF(DataTable[[#This Row],[Valor]]&gt;1,0,0)</f>
        <v>0</v>
      </c>
    </row>
    <row r="795" spans="1:27" x14ac:dyDescent="0.25">
      <c r="A795" s="2" t="s">
        <v>18</v>
      </c>
      <c r="B795" s="2">
        <v>386</v>
      </c>
      <c r="C795" s="3">
        <f t="shared" si="195"/>
        <v>92.729031496063001</v>
      </c>
      <c r="D795" s="3">
        <f t="shared" si="196"/>
        <v>95.374622047244088</v>
      </c>
      <c r="E795" s="3">
        <f t="shared" si="197"/>
        <v>92.774622047244094</v>
      </c>
      <c r="F795" s="3">
        <f t="shared" si="198"/>
        <v>28.68</v>
      </c>
      <c r="G795" s="3">
        <f t="shared" si="199"/>
        <v>87.8</v>
      </c>
      <c r="H795" s="3">
        <f t="shared" si="200"/>
        <v>87.8</v>
      </c>
      <c r="I795" s="3"/>
      <c r="J795" s="3">
        <f t="shared" si="201"/>
        <v>88.874622047244088</v>
      </c>
      <c r="K795" s="3">
        <f t="shared" si="202"/>
        <v>95.374622047244088</v>
      </c>
      <c r="L795" s="34">
        <f t="shared" si="203"/>
        <v>92.774622047244094</v>
      </c>
      <c r="M795" s="3">
        <f t="shared" si="204"/>
        <v>-127.2</v>
      </c>
      <c r="N795" s="3">
        <f t="shared" si="205"/>
        <v>67.36</v>
      </c>
      <c r="O795" s="3"/>
      <c r="P795" s="3">
        <f t="shared" si="206"/>
        <v>120.88730708661417</v>
      </c>
      <c r="Q795" s="3">
        <f t="shared" si="207"/>
        <v>145.59444409448821</v>
      </c>
      <c r="R795" s="3">
        <f>vd(DataTable[[#This Row],[Sentido]],DataTable[[#This Row],[Valor]])</f>
        <v>135.9992125984252</v>
      </c>
      <c r="S795" s="3">
        <f>IF(DataTable[[#This Row],[Valor]]&gt;1,1,1)</f>
        <v>1</v>
      </c>
      <c r="T795" s="3">
        <f>IF(DataTable[[#This Row],[Valor]]&gt;1,1,1)</f>
        <v>1</v>
      </c>
      <c r="U795" s="3">
        <f>angr(DataTable[[#This Row],[Sentido]],DataTable[[#This Row],[Valor]])</f>
        <v>28.968503937007874</v>
      </c>
      <c r="V795" s="3">
        <f>ANGI(DataTable[[#This Row],[Sentido]],DataTable[[#This Row],[Valor]])</f>
        <v>29.88818897637795</v>
      </c>
      <c r="W795" s="3">
        <f t="shared" si="208"/>
        <v>3</v>
      </c>
      <c r="X795" s="3">
        <f>IF(DataTable[[#This Row],[Valor]]&gt;1,1,1)</f>
        <v>1</v>
      </c>
      <c r="Y795" s="3">
        <f t="shared" si="209"/>
        <v>3</v>
      </c>
      <c r="Z795" s="3">
        <f>IF(AND(DataTable[[#This Row],[Sentido]]="URUGUAI para BRASIL",DataTable[[#This Row],[Valor]]&gt;350),1,0)</f>
        <v>1</v>
      </c>
      <c r="AA795" s="3">
        <f>IF(DataTable[[#This Row],[Valor]]&gt;1,0,0)</f>
        <v>0</v>
      </c>
    </row>
    <row r="796" spans="1:27" x14ac:dyDescent="0.25">
      <c r="A796" s="2" t="s">
        <v>18</v>
      </c>
      <c r="B796" s="2">
        <v>387</v>
      </c>
      <c r="C796" s="3">
        <f t="shared" si="195"/>
        <v>92.801137795275594</v>
      </c>
      <c r="D796" s="3">
        <f t="shared" si="196"/>
        <v>95.44684645669291</v>
      </c>
      <c r="E796" s="3">
        <f t="shared" si="197"/>
        <v>92.846846456692916</v>
      </c>
      <c r="F796" s="3">
        <f t="shared" si="198"/>
        <v>28.560000000000002</v>
      </c>
      <c r="G796" s="3">
        <f t="shared" si="199"/>
        <v>87.6</v>
      </c>
      <c r="H796" s="3">
        <f t="shared" si="200"/>
        <v>87.6</v>
      </c>
      <c r="I796" s="3"/>
      <c r="J796" s="3">
        <f t="shared" si="201"/>
        <v>88.94684645669291</v>
      </c>
      <c r="K796" s="3">
        <f t="shared" si="202"/>
        <v>95.44684645669291</v>
      </c>
      <c r="L796" s="34">
        <f t="shared" si="203"/>
        <v>92.846846456692916</v>
      </c>
      <c r="M796" s="3">
        <f t="shared" si="204"/>
        <v>-127.4</v>
      </c>
      <c r="N796" s="3">
        <f t="shared" si="205"/>
        <v>67.12</v>
      </c>
      <c r="O796" s="3"/>
      <c r="P796" s="3">
        <f t="shared" si="206"/>
        <v>121.13996850393701</v>
      </c>
      <c r="Q796" s="3">
        <f t="shared" si="207"/>
        <v>145.69989291338584</v>
      </c>
      <c r="R796" s="3">
        <f>vd(DataTable[[#This Row],[Sentido]],DataTable[[#This Row],[Valor]])</f>
        <v>136.25905511811024</v>
      </c>
      <c r="S796" s="3">
        <f>IF(DataTable[[#This Row],[Valor]]&gt;1,1,1)</f>
        <v>1</v>
      </c>
      <c r="T796" s="3">
        <f>IF(DataTable[[#This Row],[Valor]]&gt;1,1,1)</f>
        <v>1</v>
      </c>
      <c r="U796" s="3">
        <f>angr(DataTable[[#This Row],[Sentido]],DataTable[[#This Row],[Valor]])</f>
        <v>28.862204724409448</v>
      </c>
      <c r="V796" s="3">
        <f>ANGI(DataTable[[#This Row],[Sentido]],DataTable[[#This Row],[Valor]])</f>
        <v>29.785826771653543</v>
      </c>
      <c r="W796" s="3">
        <f t="shared" si="208"/>
        <v>3</v>
      </c>
      <c r="X796" s="3">
        <f>IF(DataTable[[#This Row],[Valor]]&gt;1,1,1)</f>
        <v>1</v>
      </c>
      <c r="Y796" s="3">
        <f t="shared" si="209"/>
        <v>3</v>
      </c>
      <c r="Z796" s="3">
        <f>IF(AND(DataTable[[#This Row],[Sentido]]="URUGUAI para BRASIL",DataTable[[#This Row],[Valor]]&gt;350),1,0)</f>
        <v>1</v>
      </c>
      <c r="AA796" s="3">
        <f>IF(DataTable[[#This Row],[Valor]]&gt;1,0,0)</f>
        <v>0</v>
      </c>
    </row>
    <row r="797" spans="1:27" x14ac:dyDescent="0.25">
      <c r="A797" s="2" t="s">
        <v>18</v>
      </c>
      <c r="B797" s="2">
        <v>388</v>
      </c>
      <c r="C797" s="3">
        <f t="shared" si="195"/>
        <v>92.873244094488186</v>
      </c>
      <c r="D797" s="3">
        <f t="shared" si="196"/>
        <v>95.519070866141732</v>
      </c>
      <c r="E797" s="3">
        <f t="shared" si="197"/>
        <v>92.919070866141737</v>
      </c>
      <c r="F797" s="3">
        <f t="shared" si="198"/>
        <v>28.439999999999998</v>
      </c>
      <c r="G797" s="3">
        <f t="shared" si="199"/>
        <v>87.4</v>
      </c>
      <c r="H797" s="3">
        <f t="shared" si="200"/>
        <v>87.4</v>
      </c>
      <c r="I797" s="3"/>
      <c r="J797" s="3">
        <f t="shared" si="201"/>
        <v>89.019070866141732</v>
      </c>
      <c r="K797" s="3">
        <f t="shared" si="202"/>
        <v>95.519070866141732</v>
      </c>
      <c r="L797" s="34">
        <f t="shared" si="203"/>
        <v>92.919070866141737</v>
      </c>
      <c r="M797" s="3">
        <f t="shared" si="204"/>
        <v>-127.60000000000001</v>
      </c>
      <c r="N797" s="3">
        <f t="shared" si="205"/>
        <v>66.88</v>
      </c>
      <c r="O797" s="3"/>
      <c r="P797" s="3">
        <f t="shared" si="206"/>
        <v>121.39262992125984</v>
      </c>
      <c r="Q797" s="3">
        <f t="shared" si="207"/>
        <v>145.80534173228347</v>
      </c>
      <c r="R797" s="3">
        <f>vd(DataTable[[#This Row],[Sentido]],DataTable[[#This Row],[Valor]])</f>
        <v>136.51889763779528</v>
      </c>
      <c r="S797" s="3">
        <f>IF(DataTable[[#This Row],[Valor]]&gt;1,1,1)</f>
        <v>1</v>
      </c>
      <c r="T797" s="3">
        <f>IF(DataTable[[#This Row],[Valor]]&gt;1,1,1)</f>
        <v>1</v>
      </c>
      <c r="U797" s="3">
        <f>angr(DataTable[[#This Row],[Sentido]],DataTable[[#This Row],[Valor]])</f>
        <v>28.755905511811026</v>
      </c>
      <c r="V797" s="3">
        <f>ANGI(DataTable[[#This Row],[Sentido]],DataTable[[#This Row],[Valor]])</f>
        <v>29.683464566929132</v>
      </c>
      <c r="W797" s="3">
        <f t="shared" si="208"/>
        <v>3</v>
      </c>
      <c r="X797" s="3">
        <f>IF(DataTable[[#This Row],[Valor]]&gt;1,1,1)</f>
        <v>1</v>
      </c>
      <c r="Y797" s="3">
        <f t="shared" si="209"/>
        <v>3</v>
      </c>
      <c r="Z797" s="3">
        <f>IF(AND(DataTable[[#This Row],[Sentido]]="URUGUAI para BRASIL",DataTable[[#This Row],[Valor]]&gt;350),1,0)</f>
        <v>1</v>
      </c>
      <c r="AA797" s="3">
        <f>IF(DataTable[[#This Row],[Valor]]&gt;1,0,0)</f>
        <v>0</v>
      </c>
    </row>
    <row r="798" spans="1:27" x14ac:dyDescent="0.25">
      <c r="A798" s="2" t="s">
        <v>18</v>
      </c>
      <c r="B798" s="2">
        <v>389</v>
      </c>
      <c r="C798" s="3">
        <f t="shared" si="195"/>
        <v>92.945350393700792</v>
      </c>
      <c r="D798" s="3">
        <f t="shared" si="196"/>
        <v>95.591295275590539</v>
      </c>
      <c r="E798" s="3">
        <f t="shared" si="197"/>
        <v>92.991295275590545</v>
      </c>
      <c r="F798" s="3">
        <f t="shared" si="198"/>
        <v>28.32</v>
      </c>
      <c r="G798" s="3">
        <f t="shared" si="199"/>
        <v>87.2</v>
      </c>
      <c r="H798" s="3">
        <f t="shared" si="200"/>
        <v>87.2</v>
      </c>
      <c r="I798" s="3"/>
      <c r="J798" s="3">
        <f t="shared" si="201"/>
        <v>89.091295275590539</v>
      </c>
      <c r="K798" s="3">
        <f t="shared" si="202"/>
        <v>95.591295275590539</v>
      </c>
      <c r="L798" s="34">
        <f t="shared" si="203"/>
        <v>92.991295275590545</v>
      </c>
      <c r="M798" s="3">
        <f t="shared" si="204"/>
        <v>-127.8</v>
      </c>
      <c r="N798" s="3">
        <f t="shared" si="205"/>
        <v>66.64</v>
      </c>
      <c r="O798" s="3"/>
      <c r="P798" s="3">
        <f t="shared" si="206"/>
        <v>121.64529133858268</v>
      </c>
      <c r="Q798" s="3">
        <f t="shared" si="207"/>
        <v>145.91079055118109</v>
      </c>
      <c r="R798" s="3">
        <f>vd(DataTable[[#This Row],[Sentido]],DataTable[[#This Row],[Valor]])</f>
        <v>136.77874015748031</v>
      </c>
      <c r="S798" s="3">
        <f>IF(DataTable[[#This Row],[Valor]]&gt;1,1,1)</f>
        <v>1</v>
      </c>
      <c r="T798" s="3">
        <f>IF(DataTable[[#This Row],[Valor]]&gt;1,1,1)</f>
        <v>1</v>
      </c>
      <c r="U798" s="3">
        <f>angr(DataTable[[#This Row],[Sentido]],DataTable[[#This Row],[Valor]])</f>
        <v>28.6496062992126</v>
      </c>
      <c r="V798" s="3">
        <f>ANGI(DataTable[[#This Row],[Sentido]],DataTable[[#This Row],[Valor]])</f>
        <v>29.581102362204724</v>
      </c>
      <c r="W798" s="3">
        <f t="shared" si="208"/>
        <v>3</v>
      </c>
      <c r="X798" s="3">
        <f>IF(DataTable[[#This Row],[Valor]]&gt;1,1,1)</f>
        <v>1</v>
      </c>
      <c r="Y798" s="3">
        <f t="shared" si="209"/>
        <v>3</v>
      </c>
      <c r="Z798" s="3">
        <f>IF(AND(DataTable[[#This Row],[Sentido]]="URUGUAI para BRASIL",DataTable[[#This Row],[Valor]]&gt;350),1,0)</f>
        <v>1</v>
      </c>
      <c r="AA798" s="3">
        <f>IF(DataTable[[#This Row],[Valor]]&gt;1,0,0)</f>
        <v>0</v>
      </c>
    </row>
    <row r="799" spans="1:27" x14ac:dyDescent="0.25">
      <c r="A799" s="2" t="s">
        <v>18</v>
      </c>
      <c r="B799" s="2">
        <v>390</v>
      </c>
      <c r="C799" s="3">
        <f t="shared" si="195"/>
        <v>93.017456692913385</v>
      </c>
      <c r="D799" s="3">
        <f t="shared" si="196"/>
        <v>95.663519685039361</v>
      </c>
      <c r="E799" s="3">
        <f t="shared" si="197"/>
        <v>93.063519685039367</v>
      </c>
      <c r="F799" s="3">
        <f t="shared" si="198"/>
        <v>28.200000000000003</v>
      </c>
      <c r="G799" s="3">
        <f t="shared" si="199"/>
        <v>87</v>
      </c>
      <c r="H799" s="3">
        <f t="shared" si="200"/>
        <v>87</v>
      </c>
      <c r="I799" s="3"/>
      <c r="J799" s="3">
        <f t="shared" si="201"/>
        <v>89.163519685039361</v>
      </c>
      <c r="K799" s="3">
        <f t="shared" si="202"/>
        <v>95.663519685039361</v>
      </c>
      <c r="L799" s="34">
        <f t="shared" si="203"/>
        <v>93.063519685039367</v>
      </c>
      <c r="M799" s="3">
        <f t="shared" si="204"/>
        <v>-128</v>
      </c>
      <c r="N799" s="3">
        <f t="shared" si="205"/>
        <v>66.400000000000006</v>
      </c>
      <c r="O799" s="3"/>
      <c r="P799" s="3">
        <f t="shared" si="206"/>
        <v>121.89795275590549</v>
      </c>
      <c r="Q799" s="3">
        <f t="shared" si="207"/>
        <v>146.01623937007872</v>
      </c>
      <c r="R799" s="3">
        <f>vd(DataTable[[#This Row],[Sentido]],DataTable[[#This Row],[Valor]])</f>
        <v>137.03858267716535</v>
      </c>
      <c r="S799" s="3">
        <f>IF(DataTable[[#This Row],[Valor]]&gt;1,1,1)</f>
        <v>1</v>
      </c>
      <c r="T799" s="3">
        <f>IF(DataTable[[#This Row],[Valor]]&gt;1,1,1)</f>
        <v>1</v>
      </c>
      <c r="U799" s="3">
        <f>angr(DataTable[[#This Row],[Sentido]],DataTable[[#This Row],[Valor]])</f>
        <v>28.543307086614178</v>
      </c>
      <c r="V799" s="3">
        <f>ANGI(DataTable[[#This Row],[Sentido]],DataTable[[#This Row],[Valor]])</f>
        <v>29.478740157480317</v>
      </c>
      <c r="W799" s="3">
        <f t="shared" si="208"/>
        <v>3</v>
      </c>
      <c r="X799" s="3">
        <f>IF(DataTable[[#This Row],[Valor]]&gt;1,1,1)</f>
        <v>1</v>
      </c>
      <c r="Y799" s="3">
        <f t="shared" si="209"/>
        <v>3</v>
      </c>
      <c r="Z799" s="3">
        <f>IF(AND(DataTable[[#This Row],[Sentido]]="URUGUAI para BRASIL",DataTable[[#This Row],[Valor]]&gt;350),1,0)</f>
        <v>1</v>
      </c>
      <c r="AA799" s="3">
        <f>IF(DataTable[[#This Row],[Valor]]&gt;1,0,0)</f>
        <v>0</v>
      </c>
    </row>
    <row r="800" spans="1:27" x14ac:dyDescent="0.25">
      <c r="A800" s="2" t="s">
        <v>18</v>
      </c>
      <c r="B800" s="2">
        <v>391</v>
      </c>
      <c r="C800" s="3">
        <f t="shared" si="195"/>
        <v>93.089562992125977</v>
      </c>
      <c r="D800" s="3">
        <f t="shared" si="196"/>
        <v>95.735744094488183</v>
      </c>
      <c r="E800" s="3">
        <f t="shared" si="197"/>
        <v>93.135744094488189</v>
      </c>
      <c r="F800" s="3">
        <f t="shared" si="198"/>
        <v>28.08</v>
      </c>
      <c r="G800" s="3">
        <f t="shared" si="199"/>
        <v>86.8</v>
      </c>
      <c r="H800" s="3">
        <f t="shared" si="200"/>
        <v>86.8</v>
      </c>
      <c r="I800" s="3"/>
      <c r="J800" s="3">
        <f t="shared" si="201"/>
        <v>89.235744094488183</v>
      </c>
      <c r="K800" s="3">
        <f t="shared" si="202"/>
        <v>95.735744094488183</v>
      </c>
      <c r="L800" s="34">
        <f t="shared" si="203"/>
        <v>93.135744094488189</v>
      </c>
      <c r="M800" s="3">
        <f t="shared" si="204"/>
        <v>-128.19999999999999</v>
      </c>
      <c r="N800" s="3">
        <f t="shared" si="205"/>
        <v>66.16</v>
      </c>
      <c r="O800" s="3"/>
      <c r="P800" s="3">
        <f t="shared" si="206"/>
        <v>122.15061417322833</v>
      </c>
      <c r="Q800" s="3">
        <f t="shared" si="207"/>
        <v>146.12168818897638</v>
      </c>
      <c r="R800" s="3">
        <f>vd(DataTable[[#This Row],[Sentido]],DataTable[[#This Row],[Valor]])</f>
        <v>137.29842519685039</v>
      </c>
      <c r="S800" s="3">
        <f>IF(DataTable[[#This Row],[Valor]]&gt;1,1,1)</f>
        <v>1</v>
      </c>
      <c r="T800" s="3">
        <f>IF(DataTable[[#This Row],[Valor]]&gt;1,1,1)</f>
        <v>1</v>
      </c>
      <c r="U800" s="3">
        <f>angr(DataTable[[#This Row],[Sentido]],DataTable[[#This Row],[Valor]])</f>
        <v>28.437007874015752</v>
      </c>
      <c r="V800" s="3">
        <f>ANGI(DataTable[[#This Row],[Sentido]],DataTable[[#This Row],[Valor]])</f>
        <v>29.376377952755909</v>
      </c>
      <c r="W800" s="3">
        <f t="shared" si="208"/>
        <v>3</v>
      </c>
      <c r="X800" s="3">
        <f>IF(DataTable[[#This Row],[Valor]]&gt;1,1,1)</f>
        <v>1</v>
      </c>
      <c r="Y800" s="3">
        <f t="shared" si="209"/>
        <v>3</v>
      </c>
      <c r="Z800" s="3">
        <f>IF(AND(DataTable[[#This Row],[Sentido]]="URUGUAI para BRASIL",DataTable[[#This Row],[Valor]]&gt;350),1,0)</f>
        <v>1</v>
      </c>
      <c r="AA800" s="3">
        <f>IF(DataTable[[#This Row],[Valor]]&gt;1,0,0)</f>
        <v>0</v>
      </c>
    </row>
    <row r="801" spans="1:27" x14ac:dyDescent="0.25">
      <c r="A801" s="2" t="s">
        <v>18</v>
      </c>
      <c r="B801" s="2">
        <v>392</v>
      </c>
      <c r="C801" s="3">
        <f t="shared" si="195"/>
        <v>93.161669291338583</v>
      </c>
      <c r="D801" s="3">
        <f t="shared" si="196"/>
        <v>95.807968503937005</v>
      </c>
      <c r="E801" s="3">
        <f t="shared" si="197"/>
        <v>93.20796850393701</v>
      </c>
      <c r="F801" s="3">
        <f t="shared" si="198"/>
        <v>27.96</v>
      </c>
      <c r="G801" s="3">
        <f t="shared" si="199"/>
        <v>86.6</v>
      </c>
      <c r="H801" s="3">
        <f t="shared" si="200"/>
        <v>86.6</v>
      </c>
      <c r="I801" s="3"/>
      <c r="J801" s="3">
        <f t="shared" si="201"/>
        <v>89.307968503937005</v>
      </c>
      <c r="K801" s="3">
        <f t="shared" si="202"/>
        <v>95.807968503937005</v>
      </c>
      <c r="L801" s="34">
        <f t="shared" si="203"/>
        <v>93.20796850393701</v>
      </c>
      <c r="M801" s="3">
        <f t="shared" si="204"/>
        <v>-128.4</v>
      </c>
      <c r="N801" s="3">
        <f t="shared" si="205"/>
        <v>65.92</v>
      </c>
      <c r="O801" s="3"/>
      <c r="P801" s="3">
        <f t="shared" si="206"/>
        <v>122.4032755905512</v>
      </c>
      <c r="Q801" s="3">
        <f t="shared" si="207"/>
        <v>146.22713700787401</v>
      </c>
      <c r="R801" s="3">
        <f>vd(DataTable[[#This Row],[Sentido]],DataTable[[#This Row],[Valor]])</f>
        <v>137.55826771653543</v>
      </c>
      <c r="S801" s="3">
        <f>IF(DataTable[[#This Row],[Valor]]&gt;1,1,1)</f>
        <v>1</v>
      </c>
      <c r="T801" s="3">
        <f>IF(DataTable[[#This Row],[Valor]]&gt;1,1,1)</f>
        <v>1</v>
      </c>
      <c r="U801" s="3">
        <f>angr(DataTable[[#This Row],[Sentido]],DataTable[[#This Row],[Valor]])</f>
        <v>28.330708661417319</v>
      </c>
      <c r="V801" s="3">
        <f>ANGI(DataTable[[#This Row],[Sentido]],DataTable[[#This Row],[Valor]])</f>
        <v>29.274015748031491</v>
      </c>
      <c r="W801" s="3">
        <f t="shared" si="208"/>
        <v>3</v>
      </c>
      <c r="X801" s="3">
        <f>IF(DataTable[[#This Row],[Valor]]&gt;1,1,1)</f>
        <v>1</v>
      </c>
      <c r="Y801" s="3">
        <f t="shared" si="209"/>
        <v>3</v>
      </c>
      <c r="Z801" s="3">
        <f>IF(AND(DataTable[[#This Row],[Sentido]]="URUGUAI para BRASIL",DataTable[[#This Row],[Valor]]&gt;350),1,0)</f>
        <v>1</v>
      </c>
      <c r="AA801" s="3">
        <f>IF(DataTable[[#This Row],[Valor]]&gt;1,0,0)</f>
        <v>0</v>
      </c>
    </row>
    <row r="802" spans="1:27" x14ac:dyDescent="0.25">
      <c r="A802" s="2" t="s">
        <v>18</v>
      </c>
      <c r="B802" s="2">
        <v>393</v>
      </c>
      <c r="C802" s="3">
        <f t="shared" si="195"/>
        <v>93.23377559055119</v>
      </c>
      <c r="D802" s="3">
        <f t="shared" si="196"/>
        <v>95.880192913385827</v>
      </c>
      <c r="E802" s="3">
        <f t="shared" si="197"/>
        <v>93.280192913385832</v>
      </c>
      <c r="F802" s="3">
        <f t="shared" si="198"/>
        <v>27.840000000000003</v>
      </c>
      <c r="G802" s="3">
        <f t="shared" si="199"/>
        <v>86.4</v>
      </c>
      <c r="H802" s="3">
        <f t="shared" si="200"/>
        <v>86.4</v>
      </c>
      <c r="I802" s="3"/>
      <c r="J802" s="3">
        <f t="shared" si="201"/>
        <v>89.380192913385827</v>
      </c>
      <c r="K802" s="3">
        <f t="shared" si="202"/>
        <v>95.880192913385827</v>
      </c>
      <c r="L802" s="34">
        <f t="shared" si="203"/>
        <v>93.280192913385832</v>
      </c>
      <c r="M802" s="3">
        <f t="shared" si="204"/>
        <v>-128.6</v>
      </c>
      <c r="N802" s="3">
        <f t="shared" si="205"/>
        <v>65.680000000000007</v>
      </c>
      <c r="O802" s="3"/>
      <c r="P802" s="3">
        <f t="shared" si="206"/>
        <v>122.65593700787402</v>
      </c>
      <c r="Q802" s="3">
        <f t="shared" si="207"/>
        <v>146.33258582677166</v>
      </c>
      <c r="R802" s="3">
        <f>vd(DataTable[[#This Row],[Sentido]],DataTable[[#This Row],[Valor]])</f>
        <v>137.81811023622046</v>
      </c>
      <c r="S802" s="3">
        <f>IF(DataTable[[#This Row],[Valor]]&gt;1,1,1)</f>
        <v>1</v>
      </c>
      <c r="T802" s="3">
        <f>IF(DataTable[[#This Row],[Valor]]&gt;1,1,1)</f>
        <v>1</v>
      </c>
      <c r="U802" s="3">
        <f>angr(DataTable[[#This Row],[Sentido]],DataTable[[#This Row],[Valor]])</f>
        <v>28.224409448818896</v>
      </c>
      <c r="V802" s="3">
        <f>ANGI(DataTable[[#This Row],[Sentido]],DataTable[[#This Row],[Valor]])</f>
        <v>29.171653543307084</v>
      </c>
      <c r="W802" s="3">
        <f t="shared" si="208"/>
        <v>3</v>
      </c>
      <c r="X802" s="3">
        <f>IF(DataTable[[#This Row],[Valor]]&gt;1,1,1)</f>
        <v>1</v>
      </c>
      <c r="Y802" s="3">
        <f t="shared" si="209"/>
        <v>3</v>
      </c>
      <c r="Z802" s="3">
        <f>IF(AND(DataTable[[#This Row],[Sentido]]="URUGUAI para BRASIL",DataTable[[#This Row],[Valor]]&gt;350),1,0)</f>
        <v>1</v>
      </c>
      <c r="AA802" s="3">
        <f>IF(DataTable[[#This Row],[Valor]]&gt;1,0,0)</f>
        <v>0</v>
      </c>
    </row>
    <row r="803" spans="1:27" x14ac:dyDescent="0.25">
      <c r="A803" s="2" t="s">
        <v>18</v>
      </c>
      <c r="B803" s="2">
        <v>394</v>
      </c>
      <c r="C803" s="3">
        <f t="shared" si="195"/>
        <v>93.305881889763782</v>
      </c>
      <c r="D803" s="3">
        <f t="shared" si="196"/>
        <v>95.952417322834648</v>
      </c>
      <c r="E803" s="3">
        <f t="shared" si="197"/>
        <v>93.352417322834654</v>
      </c>
      <c r="F803" s="3">
        <f t="shared" si="198"/>
        <v>27.72</v>
      </c>
      <c r="G803" s="3">
        <f t="shared" si="199"/>
        <v>86.2</v>
      </c>
      <c r="H803" s="3">
        <f t="shared" si="200"/>
        <v>86.2</v>
      </c>
      <c r="I803" s="3"/>
      <c r="J803" s="3">
        <f t="shared" si="201"/>
        <v>89.452417322834648</v>
      </c>
      <c r="K803" s="3">
        <f t="shared" si="202"/>
        <v>95.952417322834648</v>
      </c>
      <c r="L803" s="34">
        <f t="shared" si="203"/>
        <v>93.352417322834654</v>
      </c>
      <c r="M803" s="3">
        <f t="shared" si="204"/>
        <v>-128.80000000000001</v>
      </c>
      <c r="N803" s="3">
        <f t="shared" si="205"/>
        <v>65.44</v>
      </c>
      <c r="O803" s="3"/>
      <c r="P803" s="3">
        <f t="shared" si="206"/>
        <v>122.90859842519686</v>
      </c>
      <c r="Q803" s="3">
        <f t="shared" si="207"/>
        <v>146.43803464566929</v>
      </c>
      <c r="R803" s="3">
        <f>vd(DataTable[[#This Row],[Sentido]],DataTable[[#This Row],[Valor]])</f>
        <v>138.0779527559055</v>
      </c>
      <c r="S803" s="3">
        <f>IF(DataTable[[#This Row],[Valor]]&gt;1,1,1)</f>
        <v>1</v>
      </c>
      <c r="T803" s="3">
        <f>IF(DataTable[[#This Row],[Valor]]&gt;1,1,1)</f>
        <v>1</v>
      </c>
      <c r="U803" s="3">
        <f>angr(DataTable[[#This Row],[Sentido]],DataTable[[#This Row],[Valor]])</f>
        <v>28.118110236220474</v>
      </c>
      <c r="V803" s="3">
        <f>ANGI(DataTable[[#This Row],[Sentido]],DataTable[[#This Row],[Valor]])</f>
        <v>29.069291338582676</v>
      </c>
      <c r="W803" s="3">
        <f t="shared" si="208"/>
        <v>3</v>
      </c>
      <c r="X803" s="3">
        <f>IF(DataTable[[#This Row],[Valor]]&gt;1,1,1)</f>
        <v>1</v>
      </c>
      <c r="Y803" s="3">
        <f t="shared" si="209"/>
        <v>3</v>
      </c>
      <c r="Z803" s="3">
        <f>IF(AND(DataTable[[#This Row],[Sentido]]="URUGUAI para BRASIL",DataTable[[#This Row],[Valor]]&gt;350),1,0)</f>
        <v>1</v>
      </c>
      <c r="AA803" s="3">
        <f>IF(DataTable[[#This Row],[Valor]]&gt;1,0,0)</f>
        <v>0</v>
      </c>
    </row>
    <row r="804" spans="1:27" x14ac:dyDescent="0.25">
      <c r="A804" s="2" t="s">
        <v>18</v>
      </c>
      <c r="B804" s="2">
        <v>395</v>
      </c>
      <c r="C804" s="3">
        <f t="shared" si="195"/>
        <v>93.377988188976374</v>
      </c>
      <c r="D804" s="3">
        <f t="shared" si="196"/>
        <v>96.024641732283456</v>
      </c>
      <c r="E804" s="3">
        <f t="shared" si="197"/>
        <v>93.424641732283462</v>
      </c>
      <c r="F804" s="3">
        <f t="shared" si="198"/>
        <v>27.6</v>
      </c>
      <c r="G804" s="3">
        <f t="shared" si="199"/>
        <v>86</v>
      </c>
      <c r="H804" s="3">
        <f t="shared" si="200"/>
        <v>86</v>
      </c>
      <c r="I804" s="3"/>
      <c r="J804" s="3">
        <f t="shared" si="201"/>
        <v>89.524641732283456</v>
      </c>
      <c r="K804" s="3">
        <f t="shared" si="202"/>
        <v>96.024641732283456</v>
      </c>
      <c r="L804" s="34">
        <f t="shared" si="203"/>
        <v>93.424641732283462</v>
      </c>
      <c r="M804" s="3">
        <f t="shared" si="204"/>
        <v>-129</v>
      </c>
      <c r="N804" s="3">
        <f t="shared" si="205"/>
        <v>65.2</v>
      </c>
      <c r="O804" s="3"/>
      <c r="P804" s="3">
        <f t="shared" si="206"/>
        <v>123.16125984251968</v>
      </c>
      <c r="Q804" s="3">
        <f t="shared" si="207"/>
        <v>146.54348346456692</v>
      </c>
      <c r="R804" s="3">
        <f>vd(DataTable[[#This Row],[Sentido]],DataTable[[#This Row],[Valor]])</f>
        <v>138.33779527559054</v>
      </c>
      <c r="S804" s="3">
        <f>IF(DataTable[[#This Row],[Valor]]&gt;1,1,1)</f>
        <v>1</v>
      </c>
      <c r="T804" s="3">
        <f>IF(DataTable[[#This Row],[Valor]]&gt;1,1,1)</f>
        <v>1</v>
      </c>
      <c r="U804" s="3">
        <f>angr(DataTable[[#This Row],[Sentido]],DataTable[[#This Row],[Valor]])</f>
        <v>28.011811023622048</v>
      </c>
      <c r="V804" s="3">
        <f>ANGI(DataTable[[#This Row],[Sentido]],DataTable[[#This Row],[Valor]])</f>
        <v>28.966929133858269</v>
      </c>
      <c r="W804" s="3">
        <f t="shared" si="208"/>
        <v>3</v>
      </c>
      <c r="X804" s="3">
        <f>IF(DataTable[[#This Row],[Valor]]&gt;1,1,1)</f>
        <v>1</v>
      </c>
      <c r="Y804" s="3">
        <f t="shared" si="209"/>
        <v>3</v>
      </c>
      <c r="Z804" s="3">
        <f>IF(AND(DataTable[[#This Row],[Sentido]]="URUGUAI para BRASIL",DataTable[[#This Row],[Valor]]&gt;350),1,0)</f>
        <v>1</v>
      </c>
      <c r="AA804" s="3">
        <f>IF(DataTable[[#This Row],[Valor]]&gt;1,0,0)</f>
        <v>0</v>
      </c>
    </row>
    <row r="805" spans="1:27" x14ac:dyDescent="0.25">
      <c r="A805" s="2" t="s">
        <v>18</v>
      </c>
      <c r="B805" s="2">
        <v>396</v>
      </c>
      <c r="C805" s="3">
        <f t="shared" si="195"/>
        <v>93.450094488188981</v>
      </c>
      <c r="D805" s="3">
        <f t="shared" si="196"/>
        <v>96.096866141732278</v>
      </c>
      <c r="E805" s="3">
        <f t="shared" si="197"/>
        <v>93.496866141732283</v>
      </c>
      <c r="F805" s="3">
        <f t="shared" si="198"/>
        <v>27.480000000000004</v>
      </c>
      <c r="G805" s="3">
        <f t="shared" si="199"/>
        <v>85.8</v>
      </c>
      <c r="H805" s="3">
        <f t="shared" si="200"/>
        <v>85.8</v>
      </c>
      <c r="I805" s="3"/>
      <c r="J805" s="3">
        <f t="shared" si="201"/>
        <v>89.596866141732278</v>
      </c>
      <c r="K805" s="3">
        <f t="shared" si="202"/>
        <v>96.096866141732278</v>
      </c>
      <c r="L805" s="34">
        <f t="shared" si="203"/>
        <v>93.496866141732283</v>
      </c>
      <c r="M805" s="3">
        <f t="shared" si="204"/>
        <v>-129.19999999999999</v>
      </c>
      <c r="N805" s="3">
        <f t="shared" si="205"/>
        <v>64.960000000000008</v>
      </c>
      <c r="O805" s="3"/>
      <c r="P805" s="3">
        <f t="shared" si="206"/>
        <v>123.41392125984252</v>
      </c>
      <c r="Q805" s="3">
        <f t="shared" si="207"/>
        <v>146.64893228346457</v>
      </c>
      <c r="R805" s="3">
        <f>vd(DataTable[[#This Row],[Sentido]],DataTable[[#This Row],[Valor]])</f>
        <v>138.59763779527557</v>
      </c>
      <c r="S805" s="3">
        <f>IF(DataTable[[#This Row],[Valor]]&gt;1,1,1)</f>
        <v>1</v>
      </c>
      <c r="T805" s="3">
        <f>IF(DataTable[[#This Row],[Valor]]&gt;1,1,1)</f>
        <v>1</v>
      </c>
      <c r="U805" s="3">
        <f>angr(DataTable[[#This Row],[Sentido]],DataTable[[#This Row],[Valor]])</f>
        <v>27.905511811023626</v>
      </c>
      <c r="V805" s="3">
        <f>ANGI(DataTable[[#This Row],[Sentido]],DataTable[[#This Row],[Valor]])</f>
        <v>28.864566929133861</v>
      </c>
      <c r="W805" s="3">
        <f t="shared" si="208"/>
        <v>3</v>
      </c>
      <c r="X805" s="3">
        <f>IF(DataTable[[#This Row],[Valor]]&gt;1,1,1)</f>
        <v>1</v>
      </c>
      <c r="Y805" s="3">
        <f t="shared" si="209"/>
        <v>3</v>
      </c>
      <c r="Z805" s="3">
        <f>IF(AND(DataTable[[#This Row],[Sentido]]="URUGUAI para BRASIL",DataTable[[#This Row],[Valor]]&gt;350),1,0)</f>
        <v>1</v>
      </c>
      <c r="AA805" s="3">
        <f>IF(DataTable[[#This Row],[Valor]]&gt;1,0,0)</f>
        <v>0</v>
      </c>
    </row>
    <row r="806" spans="1:27" x14ac:dyDescent="0.25">
      <c r="A806" s="2" t="s">
        <v>18</v>
      </c>
      <c r="B806" s="2">
        <v>397</v>
      </c>
      <c r="C806" s="3">
        <f t="shared" si="195"/>
        <v>93.522200787401573</v>
      </c>
      <c r="D806" s="3">
        <f t="shared" si="196"/>
        <v>96.1690905511811</v>
      </c>
      <c r="E806" s="3">
        <f t="shared" si="197"/>
        <v>93.569090551181105</v>
      </c>
      <c r="F806" s="3">
        <f t="shared" si="198"/>
        <v>27.36</v>
      </c>
      <c r="G806" s="3">
        <f t="shared" si="199"/>
        <v>85.6</v>
      </c>
      <c r="H806" s="3">
        <f t="shared" si="200"/>
        <v>85.6</v>
      </c>
      <c r="I806" s="3"/>
      <c r="J806" s="3">
        <f t="shared" si="201"/>
        <v>89.6690905511811</v>
      </c>
      <c r="K806" s="3">
        <f t="shared" si="202"/>
        <v>96.1690905511811</v>
      </c>
      <c r="L806" s="34">
        <f t="shared" si="203"/>
        <v>93.569090551181105</v>
      </c>
      <c r="M806" s="3">
        <f t="shared" si="204"/>
        <v>-129.4</v>
      </c>
      <c r="N806" s="3">
        <f t="shared" si="205"/>
        <v>64.72</v>
      </c>
      <c r="O806" s="3"/>
      <c r="P806" s="3">
        <f t="shared" si="206"/>
        <v>123.66658267716534</v>
      </c>
      <c r="Q806" s="3">
        <f t="shared" si="207"/>
        <v>146.7543811023622</v>
      </c>
      <c r="R806" s="3">
        <f>vd(DataTable[[#This Row],[Sentido]],DataTable[[#This Row],[Valor]])</f>
        <v>138.85748031496064</v>
      </c>
      <c r="S806" s="3">
        <f>IF(DataTable[[#This Row],[Valor]]&gt;1,1,1)</f>
        <v>1</v>
      </c>
      <c r="T806" s="3">
        <f>IF(DataTable[[#This Row],[Valor]]&gt;1,1,1)</f>
        <v>1</v>
      </c>
      <c r="U806" s="3">
        <f>angr(DataTable[[#This Row],[Sentido]],DataTable[[#This Row],[Valor]])</f>
        <v>27.7992125984252</v>
      </c>
      <c r="V806" s="3">
        <f>ANGI(DataTable[[#This Row],[Sentido]],DataTable[[#This Row],[Valor]])</f>
        <v>28.76220472440945</v>
      </c>
      <c r="W806" s="3">
        <f t="shared" si="208"/>
        <v>3</v>
      </c>
      <c r="X806" s="3">
        <f>IF(DataTable[[#This Row],[Valor]]&gt;1,1,1)</f>
        <v>1</v>
      </c>
      <c r="Y806" s="3">
        <f t="shared" si="209"/>
        <v>3</v>
      </c>
      <c r="Z806" s="3">
        <f>IF(AND(DataTable[[#This Row],[Sentido]]="URUGUAI para BRASIL",DataTable[[#This Row],[Valor]]&gt;350),1,0)</f>
        <v>1</v>
      </c>
      <c r="AA806" s="3">
        <f>IF(DataTable[[#This Row],[Valor]]&gt;1,0,0)</f>
        <v>0</v>
      </c>
    </row>
    <row r="807" spans="1:27" x14ac:dyDescent="0.25">
      <c r="A807" s="2" t="s">
        <v>18</v>
      </c>
      <c r="B807" s="2">
        <v>398</v>
      </c>
      <c r="C807" s="3">
        <f t="shared" si="195"/>
        <v>93.59430708661418</v>
      </c>
      <c r="D807" s="3">
        <f t="shared" si="196"/>
        <v>96.241314960629921</v>
      </c>
      <c r="E807" s="3">
        <f t="shared" si="197"/>
        <v>93.641314960629927</v>
      </c>
      <c r="F807" s="3">
        <f t="shared" si="198"/>
        <v>27.240000000000002</v>
      </c>
      <c r="G807" s="3">
        <f t="shared" si="199"/>
        <v>85.4</v>
      </c>
      <c r="H807" s="3">
        <f t="shared" si="200"/>
        <v>85.4</v>
      </c>
      <c r="I807" s="3"/>
      <c r="J807" s="3">
        <f t="shared" si="201"/>
        <v>89.741314960629921</v>
      </c>
      <c r="K807" s="3">
        <f t="shared" si="202"/>
        <v>96.241314960629921</v>
      </c>
      <c r="L807" s="34">
        <f t="shared" si="203"/>
        <v>93.641314960629927</v>
      </c>
      <c r="M807" s="3">
        <f t="shared" si="204"/>
        <v>-129.6</v>
      </c>
      <c r="N807" s="3">
        <f t="shared" si="205"/>
        <v>64.48</v>
      </c>
      <c r="O807" s="3"/>
      <c r="P807" s="3">
        <f t="shared" si="206"/>
        <v>123.91924409448821</v>
      </c>
      <c r="Q807" s="3">
        <f t="shared" si="207"/>
        <v>146.85982992125986</v>
      </c>
      <c r="R807" s="3">
        <f>vd(DataTable[[#This Row],[Sentido]],DataTable[[#This Row],[Valor]])</f>
        <v>139.11732283464568</v>
      </c>
      <c r="S807" s="3">
        <f>IF(DataTable[[#This Row],[Valor]]&gt;1,1,1)</f>
        <v>1</v>
      </c>
      <c r="T807" s="3">
        <f>IF(DataTable[[#This Row],[Valor]]&gt;1,1,1)</f>
        <v>1</v>
      </c>
      <c r="U807" s="3">
        <f>angr(DataTable[[#This Row],[Sentido]],DataTable[[#This Row],[Valor]])</f>
        <v>27.69291338582677</v>
      </c>
      <c r="V807" s="3">
        <f>ANGI(DataTable[[#This Row],[Sentido]],DataTable[[#This Row],[Valor]])</f>
        <v>28.659842519685036</v>
      </c>
      <c r="W807" s="3">
        <f t="shared" si="208"/>
        <v>3</v>
      </c>
      <c r="X807" s="3">
        <f>IF(DataTable[[#This Row],[Valor]]&gt;1,1,1)</f>
        <v>1</v>
      </c>
      <c r="Y807" s="3">
        <f t="shared" si="209"/>
        <v>3</v>
      </c>
      <c r="Z807" s="3">
        <f>IF(AND(DataTable[[#This Row],[Sentido]]="URUGUAI para BRASIL",DataTable[[#This Row],[Valor]]&gt;350),1,0)</f>
        <v>1</v>
      </c>
      <c r="AA807" s="3">
        <f>IF(DataTable[[#This Row],[Valor]]&gt;1,0,0)</f>
        <v>0</v>
      </c>
    </row>
    <row r="808" spans="1:27" x14ac:dyDescent="0.25">
      <c r="A808" s="2" t="s">
        <v>18</v>
      </c>
      <c r="B808" s="2">
        <v>399</v>
      </c>
      <c r="C808" s="3">
        <f t="shared" si="195"/>
        <v>93.666413385826772</v>
      </c>
      <c r="D808" s="3">
        <f t="shared" si="196"/>
        <v>96.313539370078743</v>
      </c>
      <c r="E808" s="3">
        <f t="shared" si="197"/>
        <v>93.713539370078749</v>
      </c>
      <c r="F808" s="3">
        <f t="shared" si="198"/>
        <v>27.119999999999997</v>
      </c>
      <c r="G808" s="3">
        <f t="shared" si="199"/>
        <v>85.2</v>
      </c>
      <c r="H808" s="3">
        <f t="shared" si="200"/>
        <v>85.2</v>
      </c>
      <c r="I808" s="3"/>
      <c r="J808" s="3">
        <f t="shared" si="201"/>
        <v>89.813539370078743</v>
      </c>
      <c r="K808" s="3">
        <f t="shared" si="202"/>
        <v>96.313539370078743</v>
      </c>
      <c r="L808" s="34">
        <f t="shared" si="203"/>
        <v>93.713539370078749</v>
      </c>
      <c r="M808" s="3">
        <f t="shared" si="204"/>
        <v>-129.80000000000001</v>
      </c>
      <c r="N808" s="3">
        <f t="shared" si="205"/>
        <v>64.239999999999995</v>
      </c>
      <c r="O808" s="3"/>
      <c r="P808" s="3">
        <f t="shared" si="206"/>
        <v>124.17190551181105</v>
      </c>
      <c r="Q808" s="3">
        <f t="shared" si="207"/>
        <v>146.96527874015749</v>
      </c>
      <c r="R808" s="3">
        <f>vd(DataTable[[#This Row],[Sentido]],DataTable[[#This Row],[Valor]])</f>
        <v>139.37716535433071</v>
      </c>
      <c r="S808" s="3">
        <f>IF(DataTable[[#This Row],[Valor]]&gt;1,1,1)</f>
        <v>1</v>
      </c>
      <c r="T808" s="3">
        <f>IF(DataTable[[#This Row],[Valor]]&gt;1,1,1)</f>
        <v>1</v>
      </c>
      <c r="U808" s="3">
        <f>angr(DataTable[[#This Row],[Sentido]],DataTable[[#This Row],[Valor]])</f>
        <v>27.586614173228345</v>
      </c>
      <c r="V808" s="3">
        <f>ANGI(DataTable[[#This Row],[Sentido]],DataTable[[#This Row],[Valor]])</f>
        <v>28.557480314960628</v>
      </c>
      <c r="W808" s="3">
        <f t="shared" si="208"/>
        <v>3</v>
      </c>
      <c r="X808" s="3">
        <f>IF(DataTable[[#This Row],[Valor]]&gt;1,1,1)</f>
        <v>1</v>
      </c>
      <c r="Y808" s="3">
        <f t="shared" si="209"/>
        <v>3</v>
      </c>
      <c r="Z808" s="3">
        <f>IF(AND(DataTable[[#This Row],[Sentido]]="URUGUAI para BRASIL",DataTable[[#This Row],[Valor]]&gt;350),1,0)</f>
        <v>1</v>
      </c>
      <c r="AA808" s="3">
        <f>IF(DataTable[[#This Row],[Valor]]&gt;1,0,0)</f>
        <v>0</v>
      </c>
    </row>
    <row r="809" spans="1:27" x14ac:dyDescent="0.25">
      <c r="A809" s="2" t="s">
        <v>18</v>
      </c>
      <c r="B809" s="2">
        <v>400</v>
      </c>
      <c r="C809" s="3">
        <f t="shared" si="195"/>
        <v>93.738519685039378</v>
      </c>
      <c r="D809" s="3">
        <f t="shared" si="196"/>
        <v>96.385763779527551</v>
      </c>
      <c r="E809" s="3">
        <f t="shared" si="197"/>
        <v>93.785763779527556</v>
      </c>
      <c r="F809" s="3">
        <f t="shared" si="198"/>
        <v>27</v>
      </c>
      <c r="G809" s="3">
        <f t="shared" si="199"/>
        <v>85</v>
      </c>
      <c r="H809" s="3">
        <f t="shared" si="200"/>
        <v>85</v>
      </c>
      <c r="I809" s="3"/>
      <c r="J809" s="3">
        <f t="shared" si="201"/>
        <v>89.885763779527551</v>
      </c>
      <c r="K809" s="3">
        <f t="shared" si="202"/>
        <v>96.385763779527551</v>
      </c>
      <c r="L809" s="34">
        <f t="shared" si="203"/>
        <v>93.785763779527556</v>
      </c>
      <c r="M809" s="3">
        <f t="shared" si="204"/>
        <v>-130</v>
      </c>
      <c r="N809" s="3">
        <f t="shared" si="205"/>
        <v>64</v>
      </c>
      <c r="O809" s="3"/>
      <c r="P809" s="3">
        <f t="shared" si="206"/>
        <v>124.42456692913386</v>
      </c>
      <c r="Q809" s="3">
        <f t="shared" si="207"/>
        <v>147.07072755905511</v>
      </c>
      <c r="R809" s="3">
        <f>vd(DataTable[[#This Row],[Sentido]],DataTable[[#This Row],[Valor]])</f>
        <v>139.63700787401575</v>
      </c>
      <c r="S809" s="3">
        <f>IF(DataTable[[#This Row],[Valor]]&gt;1,1,1)</f>
        <v>1</v>
      </c>
      <c r="T809" s="3">
        <f>IF(DataTable[[#This Row],[Valor]]&gt;1,1,1)</f>
        <v>1</v>
      </c>
      <c r="U809" s="3">
        <f>angr(DataTable[[#This Row],[Sentido]],DataTable[[#This Row],[Valor]])</f>
        <v>27.480314960629919</v>
      </c>
      <c r="V809" s="3">
        <f>ANGI(DataTable[[#This Row],[Sentido]],DataTable[[#This Row],[Valor]])</f>
        <v>28.455118110236221</v>
      </c>
      <c r="W809" s="3">
        <f t="shared" si="208"/>
        <v>3</v>
      </c>
      <c r="X809" s="3">
        <f>IF(DataTable[[#This Row],[Valor]]&gt;1,1,1)</f>
        <v>1</v>
      </c>
      <c r="Y809" s="3">
        <f t="shared" si="209"/>
        <v>3</v>
      </c>
      <c r="Z809" s="3">
        <f>IF(AND(DataTable[[#This Row],[Sentido]]="URUGUAI para BRASIL",DataTable[[#This Row],[Valor]]&gt;350),1,0)</f>
        <v>1</v>
      </c>
      <c r="AA809" s="3">
        <f>IF(DataTable[[#This Row],[Valor]]&gt;1,0,0)</f>
        <v>0</v>
      </c>
    </row>
    <row r="810" spans="1:27" x14ac:dyDescent="0.25">
      <c r="A810" s="2" t="s">
        <v>18</v>
      </c>
      <c r="B810" s="2">
        <v>401</v>
      </c>
      <c r="C810" s="3">
        <f t="shared" si="195"/>
        <v>93.810625984251971</v>
      </c>
      <c r="D810" s="3">
        <f t="shared" si="196"/>
        <v>96.457988188976373</v>
      </c>
      <c r="E810" s="3">
        <f t="shared" si="197"/>
        <v>93.857988188976378</v>
      </c>
      <c r="F810" s="3">
        <f t="shared" si="198"/>
        <v>26.880000000000003</v>
      </c>
      <c r="G810" s="3">
        <f t="shared" si="199"/>
        <v>84.8</v>
      </c>
      <c r="H810" s="3">
        <f t="shared" si="200"/>
        <v>84.8</v>
      </c>
      <c r="I810" s="3"/>
      <c r="J810" s="3">
        <f t="shared" si="201"/>
        <v>89.957988188976373</v>
      </c>
      <c r="K810" s="3">
        <f t="shared" si="202"/>
        <v>96.457988188976373</v>
      </c>
      <c r="L810" s="34">
        <f t="shared" si="203"/>
        <v>93.857988188976378</v>
      </c>
      <c r="M810" s="3">
        <f t="shared" si="204"/>
        <v>-130.19999999999999</v>
      </c>
      <c r="N810" s="3">
        <f t="shared" si="205"/>
        <v>63.76</v>
      </c>
      <c r="O810" s="3"/>
      <c r="P810" s="3">
        <f t="shared" si="206"/>
        <v>124.6772283464567</v>
      </c>
      <c r="Q810" s="3">
        <f t="shared" si="207"/>
        <v>147.17617637795277</v>
      </c>
      <c r="R810" s="3">
        <f>vd(DataTable[[#This Row],[Sentido]],DataTable[[#This Row],[Valor]])</f>
        <v>139.89685039370079</v>
      </c>
      <c r="S810" s="3">
        <f>IF(DataTable[[#This Row],[Valor]]&gt;1,1,1)</f>
        <v>1</v>
      </c>
      <c r="T810" s="3">
        <f>IF(DataTable[[#This Row],[Valor]]&gt;1,1,1)</f>
        <v>1</v>
      </c>
      <c r="U810" s="3">
        <f>angr(DataTable[[#This Row],[Sentido]],DataTable[[#This Row],[Valor]])</f>
        <v>27.374015748031496</v>
      </c>
      <c r="V810" s="3">
        <f>ANGI(DataTable[[#This Row],[Sentido]],DataTable[[#This Row],[Valor]])</f>
        <v>28.35275590551181</v>
      </c>
      <c r="W810" s="3">
        <f t="shared" si="208"/>
        <v>3</v>
      </c>
      <c r="X810" s="3">
        <f>IF(DataTable[[#This Row],[Valor]]&gt;1,1,1)</f>
        <v>1</v>
      </c>
      <c r="Y810" s="3">
        <f t="shared" si="209"/>
        <v>3</v>
      </c>
      <c r="Z810" s="3">
        <f>IF(AND(DataTable[[#This Row],[Sentido]]="URUGUAI para BRASIL",DataTable[[#This Row],[Valor]]&gt;350),1,0)</f>
        <v>1</v>
      </c>
      <c r="AA810" s="3">
        <f>IF(DataTable[[#This Row],[Valor]]&gt;1,0,0)</f>
        <v>0</v>
      </c>
    </row>
    <row r="811" spans="1:27" x14ac:dyDescent="0.25">
      <c r="A811" s="2" t="s">
        <v>18</v>
      </c>
      <c r="B811" s="2">
        <v>402</v>
      </c>
      <c r="C811" s="3">
        <f t="shared" si="195"/>
        <v>93.882732283464563</v>
      </c>
      <c r="D811" s="3">
        <f t="shared" si="196"/>
        <v>96.530212598425194</v>
      </c>
      <c r="E811" s="3">
        <f t="shared" si="197"/>
        <v>93.9302125984252</v>
      </c>
      <c r="F811" s="3">
        <f t="shared" si="198"/>
        <v>26.759999999999998</v>
      </c>
      <c r="G811" s="3">
        <f t="shared" si="199"/>
        <v>84.6</v>
      </c>
      <c r="H811" s="3">
        <f t="shared" si="200"/>
        <v>84.6</v>
      </c>
      <c r="I811" s="3"/>
      <c r="J811" s="3">
        <f t="shared" si="201"/>
        <v>90.030212598425194</v>
      </c>
      <c r="K811" s="3">
        <f t="shared" si="202"/>
        <v>96.530212598425194</v>
      </c>
      <c r="L811" s="34">
        <f t="shared" si="203"/>
        <v>93.9302125984252</v>
      </c>
      <c r="M811" s="3">
        <f t="shared" si="204"/>
        <v>-130.4</v>
      </c>
      <c r="N811" s="3">
        <f t="shared" si="205"/>
        <v>63.52</v>
      </c>
      <c r="O811" s="3"/>
      <c r="P811" s="3">
        <f t="shared" si="206"/>
        <v>124.92988976377953</v>
      </c>
      <c r="Q811" s="3">
        <f t="shared" si="207"/>
        <v>147.2816251968504</v>
      </c>
      <c r="R811" s="3">
        <f>vd(DataTable[[#This Row],[Sentido]],DataTable[[#This Row],[Valor]])</f>
        <v>140.15669291338583</v>
      </c>
      <c r="S811" s="3">
        <f>IF(DataTable[[#This Row],[Valor]]&gt;1,1,1)</f>
        <v>1</v>
      </c>
      <c r="T811" s="3">
        <f>IF(DataTable[[#This Row],[Valor]]&gt;1,1,1)</f>
        <v>1</v>
      </c>
      <c r="U811" s="3">
        <f>angr(DataTable[[#This Row],[Sentido]],DataTable[[#This Row],[Valor]])</f>
        <v>27.267716535433074</v>
      </c>
      <c r="V811" s="3">
        <f>ANGI(DataTable[[#This Row],[Sentido]],DataTable[[#This Row],[Valor]])</f>
        <v>28.250393700787402</v>
      </c>
      <c r="W811" s="3">
        <f t="shared" si="208"/>
        <v>3</v>
      </c>
      <c r="X811" s="3">
        <f>IF(DataTable[[#This Row],[Valor]]&gt;1,1,1)</f>
        <v>1</v>
      </c>
      <c r="Y811" s="3">
        <f t="shared" si="209"/>
        <v>3</v>
      </c>
      <c r="Z811" s="3">
        <f>IF(AND(DataTable[[#This Row],[Sentido]]="URUGUAI para BRASIL",DataTable[[#This Row],[Valor]]&gt;350),1,0)</f>
        <v>1</v>
      </c>
      <c r="AA811" s="3">
        <f>IF(DataTable[[#This Row],[Valor]]&gt;1,0,0)</f>
        <v>0</v>
      </c>
    </row>
    <row r="812" spans="1:27" x14ac:dyDescent="0.25">
      <c r="A812" s="2" t="s">
        <v>18</v>
      </c>
      <c r="B812" s="2">
        <v>403</v>
      </c>
      <c r="C812" s="3">
        <f t="shared" si="195"/>
        <v>93.954838582677169</v>
      </c>
      <c r="D812" s="3">
        <f t="shared" si="196"/>
        <v>96.602437007874016</v>
      </c>
      <c r="E812" s="3">
        <f t="shared" si="197"/>
        <v>94.002437007874022</v>
      </c>
      <c r="F812" s="3">
        <f t="shared" si="198"/>
        <v>26.64</v>
      </c>
      <c r="G812" s="3">
        <f t="shared" si="199"/>
        <v>84.4</v>
      </c>
      <c r="H812" s="3">
        <f t="shared" si="200"/>
        <v>84.4</v>
      </c>
      <c r="I812" s="3"/>
      <c r="J812" s="3">
        <f t="shared" si="201"/>
        <v>90.102437007874016</v>
      </c>
      <c r="K812" s="3">
        <f t="shared" si="202"/>
        <v>96.602437007874016</v>
      </c>
      <c r="L812" s="34">
        <f t="shared" si="203"/>
        <v>94.002437007874022</v>
      </c>
      <c r="M812" s="3">
        <f t="shared" si="204"/>
        <v>-130.6</v>
      </c>
      <c r="N812" s="3">
        <f t="shared" si="205"/>
        <v>63.28</v>
      </c>
      <c r="O812" s="3"/>
      <c r="P812" s="3">
        <f t="shared" si="206"/>
        <v>125.18255118110235</v>
      </c>
      <c r="Q812" s="3">
        <f t="shared" si="207"/>
        <v>147.38707401574803</v>
      </c>
      <c r="R812" s="3">
        <f>vd(DataTable[[#This Row],[Sentido]],DataTable[[#This Row],[Valor]])</f>
        <v>140.41653543307086</v>
      </c>
      <c r="S812" s="3">
        <f>IF(DataTable[[#This Row],[Valor]]&gt;1,1,1)</f>
        <v>1</v>
      </c>
      <c r="T812" s="3">
        <f>IF(DataTable[[#This Row],[Valor]]&gt;1,1,1)</f>
        <v>1</v>
      </c>
      <c r="U812" s="3">
        <f>angr(DataTable[[#This Row],[Sentido]],DataTable[[#This Row],[Valor]])</f>
        <v>27.161417322834648</v>
      </c>
      <c r="V812" s="3">
        <f>ANGI(DataTable[[#This Row],[Sentido]],DataTable[[#This Row],[Valor]])</f>
        <v>28.148031496062995</v>
      </c>
      <c r="W812" s="3">
        <f t="shared" si="208"/>
        <v>3</v>
      </c>
      <c r="X812" s="3">
        <f>IF(DataTable[[#This Row],[Valor]]&gt;1,1,1)</f>
        <v>1</v>
      </c>
      <c r="Y812" s="3">
        <f t="shared" si="209"/>
        <v>3</v>
      </c>
      <c r="Z812" s="3">
        <f>IF(AND(DataTable[[#This Row],[Sentido]]="URUGUAI para BRASIL",DataTable[[#This Row],[Valor]]&gt;350),1,0)</f>
        <v>1</v>
      </c>
      <c r="AA812" s="3">
        <f>IF(DataTable[[#This Row],[Valor]]&gt;1,0,0)</f>
        <v>0</v>
      </c>
    </row>
    <row r="813" spans="1:27" x14ac:dyDescent="0.25">
      <c r="A813" s="2" t="s">
        <v>18</v>
      </c>
      <c r="B813" s="2">
        <v>404</v>
      </c>
      <c r="C813" s="3">
        <f t="shared" si="195"/>
        <v>94.026944881889762</v>
      </c>
      <c r="D813" s="3">
        <f t="shared" si="196"/>
        <v>96.674661417322824</v>
      </c>
      <c r="E813" s="3">
        <f t="shared" si="197"/>
        <v>94.074661417322829</v>
      </c>
      <c r="F813" s="3">
        <f t="shared" si="198"/>
        <v>26.520000000000003</v>
      </c>
      <c r="G813" s="3">
        <f t="shared" si="199"/>
        <v>84.2</v>
      </c>
      <c r="H813" s="3">
        <f t="shared" si="200"/>
        <v>84.2</v>
      </c>
      <c r="I813" s="3"/>
      <c r="J813" s="3">
        <f t="shared" si="201"/>
        <v>90.174661417322824</v>
      </c>
      <c r="K813" s="3">
        <f t="shared" si="202"/>
        <v>96.674661417322824</v>
      </c>
      <c r="L813" s="34">
        <f t="shared" si="203"/>
        <v>94.074661417322829</v>
      </c>
      <c r="M813" s="3">
        <f t="shared" si="204"/>
        <v>-130.80000000000001</v>
      </c>
      <c r="N813" s="3">
        <f t="shared" si="205"/>
        <v>63.04</v>
      </c>
      <c r="O813" s="3"/>
      <c r="P813" s="3">
        <f t="shared" si="206"/>
        <v>125.43521259842518</v>
      </c>
      <c r="Q813" s="3">
        <f t="shared" si="207"/>
        <v>147.49252283464565</v>
      </c>
      <c r="R813" s="3">
        <f>vd(DataTable[[#This Row],[Sentido]],DataTable[[#This Row],[Valor]])</f>
        <v>140.6763779527559</v>
      </c>
      <c r="S813" s="3">
        <f>IF(DataTable[[#This Row],[Valor]]&gt;1,1,1)</f>
        <v>1</v>
      </c>
      <c r="T813" s="3">
        <f>IF(DataTable[[#This Row],[Valor]]&gt;1,1,1)</f>
        <v>1</v>
      </c>
      <c r="U813" s="3">
        <f>angr(DataTable[[#This Row],[Sentido]],DataTable[[#This Row],[Valor]])</f>
        <v>27.055118110236226</v>
      </c>
      <c r="V813" s="3">
        <f>ANGI(DataTable[[#This Row],[Sentido]],DataTable[[#This Row],[Valor]])</f>
        <v>28.045669291338587</v>
      </c>
      <c r="W813" s="3">
        <f t="shared" si="208"/>
        <v>3</v>
      </c>
      <c r="X813" s="3">
        <f>IF(DataTable[[#This Row],[Valor]]&gt;1,1,1)</f>
        <v>1</v>
      </c>
      <c r="Y813" s="3">
        <f t="shared" si="209"/>
        <v>3</v>
      </c>
      <c r="Z813" s="3">
        <f>IF(AND(DataTable[[#This Row],[Sentido]]="URUGUAI para BRASIL",DataTable[[#This Row],[Valor]]&gt;350),1,0)</f>
        <v>1</v>
      </c>
      <c r="AA813" s="3">
        <f>IF(DataTable[[#This Row],[Valor]]&gt;1,0,0)</f>
        <v>0</v>
      </c>
    </row>
    <row r="814" spans="1:27" x14ac:dyDescent="0.25">
      <c r="A814" s="2" t="s">
        <v>18</v>
      </c>
      <c r="B814" s="2">
        <v>405</v>
      </c>
      <c r="C814" s="3">
        <f t="shared" si="195"/>
        <v>94.099051181102368</v>
      </c>
      <c r="D814" s="3">
        <f t="shared" si="196"/>
        <v>96.746885826771646</v>
      </c>
      <c r="E814" s="3">
        <f t="shared" si="197"/>
        <v>94.146885826771651</v>
      </c>
      <c r="F814" s="3">
        <f t="shared" si="198"/>
        <v>26.4</v>
      </c>
      <c r="G814" s="3">
        <f t="shared" si="199"/>
        <v>84</v>
      </c>
      <c r="H814" s="3">
        <f t="shared" si="200"/>
        <v>84</v>
      </c>
      <c r="I814" s="3"/>
      <c r="J814" s="3">
        <f t="shared" si="201"/>
        <v>90.246885826771646</v>
      </c>
      <c r="K814" s="3">
        <f t="shared" si="202"/>
        <v>96.746885826771646</v>
      </c>
      <c r="L814" s="34">
        <f t="shared" si="203"/>
        <v>94.146885826771651</v>
      </c>
      <c r="M814" s="3">
        <f t="shared" si="204"/>
        <v>-131</v>
      </c>
      <c r="N814" s="3">
        <f t="shared" si="205"/>
        <v>62.800000000000004</v>
      </c>
      <c r="O814" s="3"/>
      <c r="P814" s="3">
        <f t="shared" si="206"/>
        <v>125.68787401574805</v>
      </c>
      <c r="Q814" s="3">
        <f t="shared" si="207"/>
        <v>147.59797165354331</v>
      </c>
      <c r="R814" s="3">
        <f>vd(DataTable[[#This Row],[Sentido]],DataTable[[#This Row],[Valor]])</f>
        <v>140.93622047244097</v>
      </c>
      <c r="S814" s="3">
        <f>IF(DataTable[[#This Row],[Valor]]&gt;1,1,1)</f>
        <v>1</v>
      </c>
      <c r="T814" s="3">
        <f>IF(DataTable[[#This Row],[Valor]]&gt;1,1,1)</f>
        <v>1</v>
      </c>
      <c r="U814" s="3">
        <f>angr(DataTable[[#This Row],[Sentido]],DataTable[[#This Row],[Valor]])</f>
        <v>26.948818897637793</v>
      </c>
      <c r="V814" s="3">
        <f>ANGI(DataTable[[#This Row],[Sentido]],DataTable[[#This Row],[Valor]])</f>
        <v>27.943307086614169</v>
      </c>
      <c r="W814" s="3">
        <f t="shared" si="208"/>
        <v>3</v>
      </c>
      <c r="X814" s="3">
        <f>IF(DataTable[[#This Row],[Valor]]&gt;1,1,1)</f>
        <v>1</v>
      </c>
      <c r="Y814" s="3">
        <f t="shared" si="209"/>
        <v>3</v>
      </c>
      <c r="Z814" s="3">
        <f>IF(AND(DataTable[[#This Row],[Sentido]]="URUGUAI para BRASIL",DataTable[[#This Row],[Valor]]&gt;350),1,0)</f>
        <v>1</v>
      </c>
      <c r="AA814" s="3">
        <f>IF(DataTable[[#This Row],[Valor]]&gt;1,0,0)</f>
        <v>0</v>
      </c>
    </row>
    <row r="815" spans="1:27" x14ac:dyDescent="0.25">
      <c r="A815" s="2" t="s">
        <v>18</v>
      </c>
      <c r="B815" s="2">
        <v>406</v>
      </c>
      <c r="C815" s="3">
        <f t="shared" si="195"/>
        <v>94.17115748031496</v>
      </c>
      <c r="D815" s="3">
        <f t="shared" si="196"/>
        <v>96.819110236220467</v>
      </c>
      <c r="E815" s="3">
        <f t="shared" si="197"/>
        <v>94.219110236220473</v>
      </c>
      <c r="F815" s="3">
        <f t="shared" si="198"/>
        <v>26.28</v>
      </c>
      <c r="G815" s="3">
        <f t="shared" si="199"/>
        <v>83.8</v>
      </c>
      <c r="H815" s="3">
        <f t="shared" si="200"/>
        <v>83.8</v>
      </c>
      <c r="I815" s="3"/>
      <c r="J815" s="3">
        <f t="shared" si="201"/>
        <v>90.319110236220467</v>
      </c>
      <c r="K815" s="3">
        <f t="shared" si="202"/>
        <v>96.819110236220467</v>
      </c>
      <c r="L815" s="34">
        <f t="shared" si="203"/>
        <v>94.219110236220473</v>
      </c>
      <c r="M815" s="3">
        <f t="shared" si="204"/>
        <v>-131.19999999999999</v>
      </c>
      <c r="N815" s="3">
        <f t="shared" si="205"/>
        <v>62.56</v>
      </c>
      <c r="O815" s="3"/>
      <c r="P815" s="3">
        <f t="shared" si="206"/>
        <v>125.94053543307086</v>
      </c>
      <c r="Q815" s="3">
        <f t="shared" si="207"/>
        <v>147.70342047244094</v>
      </c>
      <c r="R815" s="3">
        <f>vd(DataTable[[#This Row],[Sentido]],DataTable[[#This Row],[Valor]])</f>
        <v>141.196062992126</v>
      </c>
      <c r="S815" s="3">
        <f>IF(DataTable[[#This Row],[Valor]]&gt;1,1,1)</f>
        <v>1</v>
      </c>
      <c r="T815" s="3">
        <f>IF(DataTable[[#This Row],[Valor]]&gt;1,1,1)</f>
        <v>1</v>
      </c>
      <c r="U815" s="3">
        <f>angr(DataTable[[#This Row],[Sentido]],DataTable[[#This Row],[Valor]])</f>
        <v>26.84251968503937</v>
      </c>
      <c r="V815" s="3">
        <f>ANGI(DataTable[[#This Row],[Sentido]],DataTable[[#This Row],[Valor]])</f>
        <v>27.840944881889762</v>
      </c>
      <c r="W815" s="3">
        <f t="shared" si="208"/>
        <v>3</v>
      </c>
      <c r="X815" s="3">
        <f>IF(DataTable[[#This Row],[Valor]]&gt;1,1,1)</f>
        <v>1</v>
      </c>
      <c r="Y815" s="3">
        <f t="shared" si="209"/>
        <v>3</v>
      </c>
      <c r="Z815" s="3">
        <f>IF(AND(DataTable[[#This Row],[Sentido]]="URUGUAI para BRASIL",DataTable[[#This Row],[Valor]]&gt;350),1,0)</f>
        <v>1</v>
      </c>
      <c r="AA815" s="3">
        <f>IF(DataTable[[#This Row],[Valor]]&gt;1,0,0)</f>
        <v>0</v>
      </c>
    </row>
    <row r="816" spans="1:27" x14ac:dyDescent="0.25">
      <c r="A816" s="2" t="s">
        <v>18</v>
      </c>
      <c r="B816" s="2">
        <v>407</v>
      </c>
      <c r="C816" s="3">
        <f t="shared" si="195"/>
        <v>94.243263779527567</v>
      </c>
      <c r="D816" s="3">
        <f t="shared" si="196"/>
        <v>96.891334645669289</v>
      </c>
      <c r="E816" s="3">
        <f t="shared" si="197"/>
        <v>94.291334645669295</v>
      </c>
      <c r="F816" s="3">
        <f t="shared" si="198"/>
        <v>26.160000000000004</v>
      </c>
      <c r="G816" s="3">
        <f t="shared" si="199"/>
        <v>83.6</v>
      </c>
      <c r="H816" s="3">
        <f t="shared" si="200"/>
        <v>83.6</v>
      </c>
      <c r="I816" s="3"/>
      <c r="J816" s="3">
        <f t="shared" si="201"/>
        <v>90.391334645669289</v>
      </c>
      <c r="K816" s="3">
        <f t="shared" si="202"/>
        <v>96.891334645669289</v>
      </c>
      <c r="L816" s="34">
        <f t="shared" si="203"/>
        <v>94.291334645669295</v>
      </c>
      <c r="M816" s="3">
        <f t="shared" si="204"/>
        <v>-131.4</v>
      </c>
      <c r="N816" s="3">
        <f t="shared" si="205"/>
        <v>62.32</v>
      </c>
      <c r="O816" s="3"/>
      <c r="P816" s="3">
        <f t="shared" si="206"/>
        <v>126.1931968503937</v>
      </c>
      <c r="Q816" s="3">
        <f t="shared" si="207"/>
        <v>147.80886929133857</v>
      </c>
      <c r="R816" s="3">
        <f>vd(DataTable[[#This Row],[Sentido]],DataTable[[#This Row],[Valor]])</f>
        <v>141.43937007874018</v>
      </c>
      <c r="S816" s="3">
        <f>IF(DataTable[[#This Row],[Valor]]&gt;1,1,1)</f>
        <v>1</v>
      </c>
      <c r="T816" s="3">
        <f>IF(DataTable[[#This Row],[Valor]]&gt;1,1,1)</f>
        <v>1</v>
      </c>
      <c r="U816" s="3">
        <f>angr(DataTable[[#This Row],[Sentido]],DataTable[[#This Row],[Valor]])</f>
        <v>26.745669291338583</v>
      </c>
      <c r="V816" s="3">
        <f>ANGI(DataTable[[#This Row],[Sentido]],DataTable[[#This Row],[Valor]])</f>
        <v>27.748031496062993</v>
      </c>
      <c r="W816" s="3">
        <f t="shared" si="208"/>
        <v>3</v>
      </c>
      <c r="X816" s="3">
        <f>IF(DataTable[[#This Row],[Valor]]&gt;1,1,1)</f>
        <v>1</v>
      </c>
      <c r="Y816" s="3">
        <f t="shared" si="209"/>
        <v>3</v>
      </c>
      <c r="Z816" s="3">
        <f>IF(AND(DataTable[[#This Row],[Sentido]]="URUGUAI para BRASIL",DataTable[[#This Row],[Valor]]&gt;350),1,0)</f>
        <v>1</v>
      </c>
      <c r="AA816" s="3">
        <f>IF(DataTable[[#This Row],[Valor]]&gt;1,0,0)</f>
        <v>0</v>
      </c>
    </row>
    <row r="817" spans="1:27" x14ac:dyDescent="0.25">
      <c r="A817" s="2" t="s">
        <v>18</v>
      </c>
      <c r="B817" s="2">
        <v>408</v>
      </c>
      <c r="C817" s="3">
        <f t="shared" si="195"/>
        <v>94.315370078740159</v>
      </c>
      <c r="D817" s="3">
        <f t="shared" si="196"/>
        <v>96.963559055118111</v>
      </c>
      <c r="E817" s="3">
        <f t="shared" si="197"/>
        <v>94.363559055118117</v>
      </c>
      <c r="F817" s="3">
        <f t="shared" si="198"/>
        <v>26.04</v>
      </c>
      <c r="G817" s="3">
        <f t="shared" si="199"/>
        <v>83.4</v>
      </c>
      <c r="H817" s="3">
        <f t="shared" si="200"/>
        <v>83.4</v>
      </c>
      <c r="I817" s="3"/>
      <c r="J817" s="3">
        <f t="shared" si="201"/>
        <v>90.463559055118111</v>
      </c>
      <c r="K817" s="3">
        <f t="shared" si="202"/>
        <v>96.963559055118111</v>
      </c>
      <c r="L817" s="34">
        <f t="shared" si="203"/>
        <v>94.363559055118117</v>
      </c>
      <c r="M817" s="3">
        <f t="shared" si="204"/>
        <v>-131.6</v>
      </c>
      <c r="N817" s="3">
        <f t="shared" si="205"/>
        <v>62.08</v>
      </c>
      <c r="O817" s="3"/>
      <c r="P817" s="3">
        <f t="shared" si="206"/>
        <v>126.44585826771655</v>
      </c>
      <c r="Q817" s="3">
        <f t="shared" si="207"/>
        <v>147.91431811023622</v>
      </c>
      <c r="R817" s="3">
        <f>vd(DataTable[[#This Row],[Sentido]],DataTable[[#This Row],[Valor]])</f>
        <v>141.67165354330709</v>
      </c>
      <c r="S817" s="3">
        <f>IF(DataTable[[#This Row],[Valor]]&gt;1,1,1)</f>
        <v>1</v>
      </c>
      <c r="T817" s="3">
        <f>IF(DataTable[[#This Row],[Valor]]&gt;1,1,1)</f>
        <v>1</v>
      </c>
      <c r="U817" s="3">
        <f>angr(DataTable[[#This Row],[Sentido]],DataTable[[#This Row],[Valor]])</f>
        <v>26.65511811023622</v>
      </c>
      <c r="V817" s="3">
        <f>ANGI(DataTable[[#This Row],[Sentido]],DataTable[[#This Row],[Valor]])</f>
        <v>27.661417322834648</v>
      </c>
      <c r="W817" s="3">
        <f t="shared" si="208"/>
        <v>3</v>
      </c>
      <c r="X817" s="3">
        <f>IF(DataTable[[#This Row],[Valor]]&gt;1,1,1)</f>
        <v>1</v>
      </c>
      <c r="Y817" s="3">
        <f t="shared" si="209"/>
        <v>3</v>
      </c>
      <c r="Z817" s="3">
        <f>IF(AND(DataTable[[#This Row],[Sentido]]="URUGUAI para BRASIL",DataTable[[#This Row],[Valor]]&gt;350),1,0)</f>
        <v>1</v>
      </c>
      <c r="AA817" s="3">
        <f>IF(DataTable[[#This Row],[Valor]]&gt;1,0,0)</f>
        <v>0</v>
      </c>
    </row>
    <row r="818" spans="1:27" x14ac:dyDescent="0.25">
      <c r="A818" s="2" t="s">
        <v>18</v>
      </c>
      <c r="B818" s="2">
        <v>409</v>
      </c>
      <c r="C818" s="3">
        <f t="shared" si="195"/>
        <v>94.387476377952751</v>
      </c>
      <c r="D818" s="3">
        <f t="shared" si="196"/>
        <v>97.035783464566919</v>
      </c>
      <c r="E818" s="3">
        <f t="shared" si="197"/>
        <v>94.435783464566924</v>
      </c>
      <c r="F818" s="3">
        <f t="shared" si="198"/>
        <v>25.92</v>
      </c>
      <c r="G818" s="3">
        <f t="shared" si="199"/>
        <v>83.2</v>
      </c>
      <c r="H818" s="3">
        <f t="shared" si="200"/>
        <v>83.2</v>
      </c>
      <c r="I818" s="3"/>
      <c r="J818" s="3">
        <f t="shared" si="201"/>
        <v>90.535783464566919</v>
      </c>
      <c r="K818" s="3">
        <f t="shared" si="202"/>
        <v>97.035783464566919</v>
      </c>
      <c r="L818" s="34">
        <f t="shared" si="203"/>
        <v>94.435783464566924</v>
      </c>
      <c r="M818" s="3">
        <f t="shared" si="204"/>
        <v>-131.80000000000001</v>
      </c>
      <c r="N818" s="3">
        <f t="shared" si="205"/>
        <v>61.84</v>
      </c>
      <c r="O818" s="3"/>
      <c r="P818" s="3">
        <f t="shared" si="206"/>
        <v>126.69851968503937</v>
      </c>
      <c r="Q818" s="3">
        <f t="shared" si="207"/>
        <v>148.01976692913385</v>
      </c>
      <c r="R818" s="3">
        <f>vd(DataTable[[#This Row],[Sentido]],DataTable[[#This Row],[Valor]])</f>
        <v>141.90393700787402</v>
      </c>
      <c r="S818" s="3">
        <f>IF(DataTable[[#This Row],[Valor]]&gt;1,1,1)</f>
        <v>1</v>
      </c>
      <c r="T818" s="3">
        <f>IF(DataTable[[#This Row],[Valor]]&gt;1,1,1)</f>
        <v>1</v>
      </c>
      <c r="U818" s="3">
        <f>angr(DataTable[[#This Row],[Sentido]],DataTable[[#This Row],[Valor]])</f>
        <v>26.564566929133861</v>
      </c>
      <c r="V818" s="3">
        <f>ANGI(DataTable[[#This Row],[Sentido]],DataTable[[#This Row],[Valor]])</f>
        <v>27.5748031496063</v>
      </c>
      <c r="W818" s="3">
        <f t="shared" si="208"/>
        <v>3</v>
      </c>
      <c r="X818" s="3">
        <f>IF(DataTable[[#This Row],[Valor]]&gt;1,1,1)</f>
        <v>1</v>
      </c>
      <c r="Y818" s="3">
        <f t="shared" si="209"/>
        <v>3</v>
      </c>
      <c r="Z818" s="3">
        <f>IF(AND(DataTable[[#This Row],[Sentido]]="URUGUAI para BRASIL",DataTable[[#This Row],[Valor]]&gt;350),1,0)</f>
        <v>1</v>
      </c>
      <c r="AA818" s="3">
        <f>IF(DataTable[[#This Row],[Valor]]&gt;1,0,0)</f>
        <v>0</v>
      </c>
    </row>
    <row r="819" spans="1:27" x14ac:dyDescent="0.25">
      <c r="A819" s="2" t="s">
        <v>18</v>
      </c>
      <c r="B819" s="2">
        <v>410</v>
      </c>
      <c r="C819" s="3">
        <f t="shared" si="195"/>
        <v>94.459582677165358</v>
      </c>
      <c r="D819" s="3">
        <f t="shared" si="196"/>
        <v>97.10800787401574</v>
      </c>
      <c r="E819" s="3">
        <f t="shared" si="197"/>
        <v>94.508007874015746</v>
      </c>
      <c r="F819" s="3">
        <f t="shared" si="198"/>
        <v>25.799999999999997</v>
      </c>
      <c r="G819" s="3">
        <f t="shared" si="199"/>
        <v>83</v>
      </c>
      <c r="H819" s="3">
        <f t="shared" si="200"/>
        <v>83</v>
      </c>
      <c r="I819" s="3"/>
      <c r="J819" s="3">
        <f t="shared" si="201"/>
        <v>90.60800787401574</v>
      </c>
      <c r="K819" s="3">
        <f t="shared" si="202"/>
        <v>97.10800787401574</v>
      </c>
      <c r="L819" s="34">
        <f t="shared" si="203"/>
        <v>94.508007874015746</v>
      </c>
      <c r="M819" s="3">
        <f t="shared" si="204"/>
        <v>-132</v>
      </c>
      <c r="N819" s="3">
        <f t="shared" si="205"/>
        <v>61.6</v>
      </c>
      <c r="O819" s="3"/>
      <c r="P819" s="3">
        <f t="shared" si="206"/>
        <v>126.9511811023622</v>
      </c>
      <c r="Q819" s="3">
        <f t="shared" si="207"/>
        <v>148.12521574803151</v>
      </c>
      <c r="R819" s="3">
        <f>vd(DataTable[[#This Row],[Sentido]],DataTable[[#This Row],[Valor]])</f>
        <v>142.13622047244095</v>
      </c>
      <c r="S819" s="3">
        <f>IF(DataTable[[#This Row],[Valor]]&gt;1,1,1)</f>
        <v>1</v>
      </c>
      <c r="T819" s="3">
        <f>IF(DataTable[[#This Row],[Valor]]&gt;1,1,1)</f>
        <v>1</v>
      </c>
      <c r="U819" s="3">
        <f>angr(DataTable[[#This Row],[Sentido]],DataTable[[#This Row],[Valor]])</f>
        <v>26.474015748031498</v>
      </c>
      <c r="V819" s="3">
        <f>ANGI(DataTable[[#This Row],[Sentido]],DataTable[[#This Row],[Valor]])</f>
        <v>27.488188976377955</v>
      </c>
      <c r="W819" s="3">
        <f t="shared" si="208"/>
        <v>3</v>
      </c>
      <c r="X819" s="3">
        <f>IF(DataTable[[#This Row],[Valor]]&gt;1,1,1)</f>
        <v>1</v>
      </c>
      <c r="Y819" s="3">
        <f t="shared" si="209"/>
        <v>3</v>
      </c>
      <c r="Z819" s="3">
        <f>IF(AND(DataTable[[#This Row],[Sentido]]="URUGUAI para BRASIL",DataTable[[#This Row],[Valor]]&gt;350),1,0)</f>
        <v>1</v>
      </c>
      <c r="AA819" s="3">
        <f>IF(DataTable[[#This Row],[Valor]]&gt;1,0,0)</f>
        <v>0</v>
      </c>
    </row>
    <row r="820" spans="1:27" x14ac:dyDescent="0.25">
      <c r="A820" s="2" t="s">
        <v>18</v>
      </c>
      <c r="B820" s="2">
        <v>411</v>
      </c>
      <c r="C820" s="3">
        <f t="shared" si="195"/>
        <v>94.53168897637795</v>
      </c>
      <c r="D820" s="3">
        <f t="shared" si="196"/>
        <v>97.180232283464562</v>
      </c>
      <c r="E820" s="3">
        <f t="shared" si="197"/>
        <v>94.580232283464568</v>
      </c>
      <c r="F820" s="3">
        <f t="shared" si="198"/>
        <v>25.68</v>
      </c>
      <c r="G820" s="3">
        <f t="shared" si="199"/>
        <v>82.8</v>
      </c>
      <c r="H820" s="3">
        <f t="shared" si="200"/>
        <v>82.8</v>
      </c>
      <c r="I820" s="3"/>
      <c r="J820" s="3">
        <f t="shared" si="201"/>
        <v>90.680232283464562</v>
      </c>
      <c r="K820" s="3">
        <f t="shared" si="202"/>
        <v>97.180232283464562</v>
      </c>
      <c r="L820" s="34">
        <f t="shared" si="203"/>
        <v>94.580232283464568</v>
      </c>
      <c r="M820" s="3">
        <f t="shared" si="204"/>
        <v>-132.19999999999999</v>
      </c>
      <c r="N820" s="3">
        <f t="shared" si="205"/>
        <v>61.36</v>
      </c>
      <c r="O820" s="3"/>
      <c r="P820" s="3">
        <f t="shared" si="206"/>
        <v>127.20384251968503</v>
      </c>
      <c r="Q820" s="3">
        <f t="shared" si="207"/>
        <v>148.23066456692914</v>
      </c>
      <c r="R820" s="3">
        <f>vd(DataTable[[#This Row],[Sentido]],DataTable[[#This Row],[Valor]])</f>
        <v>142.36850393700789</v>
      </c>
      <c r="S820" s="3">
        <f>IF(DataTable[[#This Row],[Valor]]&gt;1,1,1)</f>
        <v>1</v>
      </c>
      <c r="T820" s="3">
        <f>IF(DataTable[[#This Row],[Valor]]&gt;1,1,1)</f>
        <v>1</v>
      </c>
      <c r="U820" s="3">
        <f>angr(DataTable[[#This Row],[Sentido]],DataTable[[#This Row],[Valor]])</f>
        <v>26.383464566929138</v>
      </c>
      <c r="V820" s="3">
        <f>ANGI(DataTable[[#This Row],[Sentido]],DataTable[[#This Row],[Valor]])</f>
        <v>27.401574803149611</v>
      </c>
      <c r="W820" s="3">
        <f t="shared" si="208"/>
        <v>3</v>
      </c>
      <c r="X820" s="3">
        <f>IF(DataTable[[#This Row],[Valor]]&gt;1,1,1)</f>
        <v>1</v>
      </c>
      <c r="Y820" s="3">
        <f t="shared" si="209"/>
        <v>3</v>
      </c>
      <c r="Z820" s="3">
        <f>IF(AND(DataTable[[#This Row],[Sentido]]="URUGUAI para BRASIL",DataTable[[#This Row],[Valor]]&gt;350),1,0)</f>
        <v>1</v>
      </c>
      <c r="AA820" s="3">
        <f>IF(DataTable[[#This Row],[Valor]]&gt;1,0,0)</f>
        <v>0</v>
      </c>
    </row>
    <row r="821" spans="1:27" x14ac:dyDescent="0.25">
      <c r="A821" s="2" t="s">
        <v>18</v>
      </c>
      <c r="B821" s="2">
        <v>412</v>
      </c>
      <c r="C821" s="3">
        <f t="shared" si="195"/>
        <v>94.603795275590556</v>
      </c>
      <c r="D821" s="3">
        <f t="shared" si="196"/>
        <v>97.252456692913384</v>
      </c>
      <c r="E821" s="3">
        <f t="shared" si="197"/>
        <v>94.65245669291339</v>
      </c>
      <c r="F821" s="3">
        <f t="shared" si="198"/>
        <v>25.560000000000002</v>
      </c>
      <c r="G821" s="3">
        <f t="shared" si="199"/>
        <v>82.6</v>
      </c>
      <c r="H821" s="3">
        <f t="shared" si="200"/>
        <v>82.6</v>
      </c>
      <c r="I821" s="3"/>
      <c r="J821" s="3">
        <f t="shared" si="201"/>
        <v>90.752456692913384</v>
      </c>
      <c r="K821" s="3">
        <f t="shared" si="202"/>
        <v>97.252456692913384</v>
      </c>
      <c r="L821" s="34">
        <f t="shared" si="203"/>
        <v>94.65245669291339</v>
      </c>
      <c r="M821" s="3">
        <f t="shared" si="204"/>
        <v>-132.4</v>
      </c>
      <c r="N821" s="3">
        <f t="shared" si="205"/>
        <v>61.120000000000005</v>
      </c>
      <c r="O821" s="3"/>
      <c r="P821" s="3">
        <f t="shared" si="206"/>
        <v>127.45650393700789</v>
      </c>
      <c r="Q821" s="3">
        <f t="shared" si="207"/>
        <v>148.33611338582676</v>
      </c>
      <c r="R821" s="3">
        <f>vd(DataTable[[#This Row],[Sentido]],DataTable[[#This Row],[Valor]])</f>
        <v>142.60078740157482</v>
      </c>
      <c r="S821" s="3">
        <f>IF(DataTable[[#This Row],[Valor]]&gt;1,1,1)</f>
        <v>1</v>
      </c>
      <c r="T821" s="3">
        <f>IF(DataTable[[#This Row],[Valor]]&gt;1,1,1)</f>
        <v>1</v>
      </c>
      <c r="U821" s="3">
        <f>angr(DataTable[[#This Row],[Sentido]],DataTable[[#This Row],[Valor]])</f>
        <v>26.292913385826768</v>
      </c>
      <c r="V821" s="3">
        <f>ANGI(DataTable[[#This Row],[Sentido]],DataTable[[#This Row],[Valor]])</f>
        <v>27.314960629921259</v>
      </c>
      <c r="W821" s="3">
        <f t="shared" si="208"/>
        <v>3</v>
      </c>
      <c r="X821" s="3">
        <f>IF(DataTable[[#This Row],[Valor]]&gt;1,1,1)</f>
        <v>1</v>
      </c>
      <c r="Y821" s="3">
        <f t="shared" si="209"/>
        <v>3</v>
      </c>
      <c r="Z821" s="3">
        <f>IF(AND(DataTable[[#This Row],[Sentido]]="URUGUAI para BRASIL",DataTable[[#This Row],[Valor]]&gt;350),1,0)</f>
        <v>1</v>
      </c>
      <c r="AA821" s="3">
        <f>IF(DataTable[[#This Row],[Valor]]&gt;1,0,0)</f>
        <v>0</v>
      </c>
    </row>
    <row r="822" spans="1:27" x14ac:dyDescent="0.25">
      <c r="A822" s="2" t="s">
        <v>18</v>
      </c>
      <c r="B822" s="2">
        <v>413</v>
      </c>
      <c r="C822" s="3">
        <f t="shared" si="195"/>
        <v>94.675901574803149</v>
      </c>
      <c r="D822" s="3">
        <f t="shared" si="196"/>
        <v>97.324681102362206</v>
      </c>
      <c r="E822" s="3">
        <f t="shared" si="197"/>
        <v>94.724681102362212</v>
      </c>
      <c r="F822" s="3">
        <f t="shared" si="198"/>
        <v>25.439999999999998</v>
      </c>
      <c r="G822" s="3">
        <f t="shared" si="199"/>
        <v>82.4</v>
      </c>
      <c r="H822" s="3">
        <f t="shared" si="200"/>
        <v>82.4</v>
      </c>
      <c r="I822" s="3"/>
      <c r="J822" s="3">
        <f t="shared" si="201"/>
        <v>90.824681102362206</v>
      </c>
      <c r="K822" s="3">
        <f t="shared" si="202"/>
        <v>97.324681102362206</v>
      </c>
      <c r="L822" s="34">
        <f t="shared" si="203"/>
        <v>94.724681102362212</v>
      </c>
      <c r="M822" s="3">
        <f t="shared" si="204"/>
        <v>-132.6</v>
      </c>
      <c r="N822" s="3">
        <f t="shared" si="205"/>
        <v>60.88</v>
      </c>
      <c r="O822" s="3"/>
      <c r="P822" s="3">
        <f t="shared" si="206"/>
        <v>127.70916535433071</v>
      </c>
      <c r="Q822" s="3">
        <f t="shared" si="207"/>
        <v>148.44156220472442</v>
      </c>
      <c r="R822" s="3">
        <f>vd(DataTable[[#This Row],[Sentido]],DataTable[[#This Row],[Valor]])</f>
        <v>142.83307086614175</v>
      </c>
      <c r="S822" s="3">
        <f>IF(DataTable[[#This Row],[Valor]]&gt;1,1,1)</f>
        <v>1</v>
      </c>
      <c r="T822" s="3">
        <f>IF(DataTable[[#This Row],[Valor]]&gt;1,1,1)</f>
        <v>1</v>
      </c>
      <c r="U822" s="3">
        <f>angr(DataTable[[#This Row],[Sentido]],DataTable[[#This Row],[Valor]])</f>
        <v>26.202362204724409</v>
      </c>
      <c r="V822" s="3">
        <f>ANGI(DataTable[[#This Row],[Sentido]],DataTable[[#This Row],[Valor]])</f>
        <v>27.228346456692911</v>
      </c>
      <c r="W822" s="3">
        <f t="shared" si="208"/>
        <v>3</v>
      </c>
      <c r="X822" s="3">
        <f>IF(DataTable[[#This Row],[Valor]]&gt;1,1,1)</f>
        <v>1</v>
      </c>
      <c r="Y822" s="3">
        <f t="shared" si="209"/>
        <v>3</v>
      </c>
      <c r="Z822" s="3">
        <f>IF(AND(DataTable[[#This Row],[Sentido]]="URUGUAI para BRASIL",DataTable[[#This Row],[Valor]]&gt;350),1,0)</f>
        <v>1</v>
      </c>
      <c r="AA822" s="3">
        <f>IF(DataTable[[#This Row],[Valor]]&gt;1,0,0)</f>
        <v>0</v>
      </c>
    </row>
    <row r="823" spans="1:27" x14ac:dyDescent="0.25">
      <c r="A823" s="2" t="s">
        <v>18</v>
      </c>
      <c r="B823" s="2">
        <v>414</v>
      </c>
      <c r="C823" s="3">
        <f t="shared" si="195"/>
        <v>94.748007874015755</v>
      </c>
      <c r="D823" s="3">
        <f t="shared" si="196"/>
        <v>97.396905511811013</v>
      </c>
      <c r="E823" s="3">
        <f t="shared" si="197"/>
        <v>94.796905511811019</v>
      </c>
      <c r="F823" s="3">
        <f t="shared" si="198"/>
        <v>25.32</v>
      </c>
      <c r="G823" s="3">
        <f t="shared" si="199"/>
        <v>82.2</v>
      </c>
      <c r="H823" s="3">
        <f t="shared" si="200"/>
        <v>82.2</v>
      </c>
      <c r="I823" s="3"/>
      <c r="J823" s="3">
        <f t="shared" si="201"/>
        <v>90.896905511811013</v>
      </c>
      <c r="K823" s="3">
        <f t="shared" si="202"/>
        <v>97.396905511811013</v>
      </c>
      <c r="L823" s="34">
        <f t="shared" si="203"/>
        <v>94.796905511811019</v>
      </c>
      <c r="M823" s="3">
        <f t="shared" si="204"/>
        <v>-132.80000000000001</v>
      </c>
      <c r="N823" s="3">
        <f t="shared" si="205"/>
        <v>60.64</v>
      </c>
      <c r="O823" s="3"/>
      <c r="P823" s="3">
        <f t="shared" si="206"/>
        <v>127.96182677165355</v>
      </c>
      <c r="Q823" s="3">
        <f t="shared" si="207"/>
        <v>148.54701102362205</v>
      </c>
      <c r="R823" s="3">
        <f>vd(DataTable[[#This Row],[Sentido]],DataTable[[#This Row],[Valor]])</f>
        <v>143.06535433070866</v>
      </c>
      <c r="S823" s="3">
        <f>IF(DataTable[[#This Row],[Valor]]&gt;1,1,1)</f>
        <v>1</v>
      </c>
      <c r="T823" s="3">
        <f>IF(DataTable[[#This Row],[Valor]]&gt;1,1,1)</f>
        <v>1</v>
      </c>
      <c r="U823" s="3">
        <f>angr(DataTable[[#This Row],[Sentido]],DataTable[[#This Row],[Valor]])</f>
        <v>26.111811023622046</v>
      </c>
      <c r="V823" s="3">
        <f>ANGI(DataTable[[#This Row],[Sentido]],DataTable[[#This Row],[Valor]])</f>
        <v>27.141732283464567</v>
      </c>
      <c r="W823" s="3">
        <f t="shared" si="208"/>
        <v>3</v>
      </c>
      <c r="X823" s="3">
        <f>IF(DataTable[[#This Row],[Valor]]&gt;1,1,1)</f>
        <v>1</v>
      </c>
      <c r="Y823" s="3">
        <f t="shared" si="209"/>
        <v>3</v>
      </c>
      <c r="Z823" s="3">
        <f>IF(AND(DataTable[[#This Row],[Sentido]]="URUGUAI para BRASIL",DataTable[[#This Row],[Valor]]&gt;350),1,0)</f>
        <v>1</v>
      </c>
      <c r="AA823" s="3">
        <f>IF(DataTable[[#This Row],[Valor]]&gt;1,0,0)</f>
        <v>0</v>
      </c>
    </row>
    <row r="824" spans="1:27" x14ac:dyDescent="0.25">
      <c r="A824" s="2" t="s">
        <v>18</v>
      </c>
      <c r="B824" s="2">
        <v>415</v>
      </c>
      <c r="C824" s="3">
        <f t="shared" si="195"/>
        <v>94.820114173228347</v>
      </c>
      <c r="D824" s="3">
        <f t="shared" si="196"/>
        <v>97.469129921259835</v>
      </c>
      <c r="E824" s="3">
        <f t="shared" si="197"/>
        <v>94.869129921259841</v>
      </c>
      <c r="F824" s="3">
        <f t="shared" si="198"/>
        <v>25.200000000000003</v>
      </c>
      <c r="G824" s="3">
        <f t="shared" si="199"/>
        <v>82</v>
      </c>
      <c r="H824" s="3">
        <f t="shared" si="200"/>
        <v>82</v>
      </c>
      <c r="I824" s="3"/>
      <c r="J824" s="3">
        <f t="shared" si="201"/>
        <v>90.969129921259835</v>
      </c>
      <c r="K824" s="3">
        <f t="shared" si="202"/>
        <v>97.469129921259835</v>
      </c>
      <c r="L824" s="34">
        <f t="shared" si="203"/>
        <v>94.869129921259841</v>
      </c>
      <c r="M824" s="3">
        <f t="shared" si="204"/>
        <v>-133</v>
      </c>
      <c r="N824" s="3">
        <f t="shared" si="205"/>
        <v>60.4</v>
      </c>
      <c r="O824" s="3"/>
      <c r="P824" s="3">
        <f t="shared" si="206"/>
        <v>128.21448818897639</v>
      </c>
      <c r="Q824" s="3">
        <f t="shared" si="207"/>
        <v>148.6524598425197</v>
      </c>
      <c r="R824" s="3">
        <f>vd(DataTable[[#This Row],[Sentido]],DataTable[[#This Row],[Valor]])</f>
        <v>143.29763779527559</v>
      </c>
      <c r="S824" s="3">
        <f>IF(DataTable[[#This Row],[Valor]]&gt;1,1,1)</f>
        <v>1</v>
      </c>
      <c r="T824" s="3">
        <f>IF(DataTable[[#This Row],[Valor]]&gt;1,1,1)</f>
        <v>1</v>
      </c>
      <c r="U824" s="3">
        <f>angr(DataTable[[#This Row],[Sentido]],DataTable[[#This Row],[Valor]])</f>
        <v>26.021259842519687</v>
      </c>
      <c r="V824" s="3">
        <f>ANGI(DataTable[[#This Row],[Sentido]],DataTable[[#This Row],[Valor]])</f>
        <v>27.055118110236222</v>
      </c>
      <c r="W824" s="3">
        <f t="shared" si="208"/>
        <v>3</v>
      </c>
      <c r="X824" s="3">
        <f>IF(DataTable[[#This Row],[Valor]]&gt;1,1,1)</f>
        <v>1</v>
      </c>
      <c r="Y824" s="3">
        <f t="shared" si="209"/>
        <v>3</v>
      </c>
      <c r="Z824" s="3">
        <f>IF(AND(DataTable[[#This Row],[Sentido]]="URUGUAI para BRASIL",DataTable[[#This Row],[Valor]]&gt;350),1,0)</f>
        <v>1</v>
      </c>
      <c r="AA824" s="3">
        <f>IF(DataTable[[#This Row],[Valor]]&gt;1,0,0)</f>
        <v>0</v>
      </c>
    </row>
    <row r="825" spans="1:27" x14ac:dyDescent="0.25">
      <c r="A825" s="2" t="s">
        <v>18</v>
      </c>
      <c r="B825" s="2">
        <v>416</v>
      </c>
      <c r="C825" s="3">
        <f t="shared" si="195"/>
        <v>94.89222047244094</v>
      </c>
      <c r="D825" s="3">
        <f t="shared" si="196"/>
        <v>97.541354330708657</v>
      </c>
      <c r="E825" s="3">
        <f t="shared" si="197"/>
        <v>94.941354330708663</v>
      </c>
      <c r="F825" s="3">
        <f t="shared" si="198"/>
        <v>25.08</v>
      </c>
      <c r="G825" s="3">
        <f t="shared" si="199"/>
        <v>81.8</v>
      </c>
      <c r="H825" s="3">
        <f t="shared" si="200"/>
        <v>81.8</v>
      </c>
      <c r="I825" s="3"/>
      <c r="J825" s="3">
        <f t="shared" si="201"/>
        <v>91.041354330708657</v>
      </c>
      <c r="K825" s="3">
        <f t="shared" si="202"/>
        <v>97.541354330708657</v>
      </c>
      <c r="L825" s="34">
        <f t="shared" si="203"/>
        <v>94.941354330708663</v>
      </c>
      <c r="M825" s="3">
        <f t="shared" si="204"/>
        <v>-133.19999999999999</v>
      </c>
      <c r="N825" s="3">
        <f t="shared" si="205"/>
        <v>60.160000000000004</v>
      </c>
      <c r="O825" s="3"/>
      <c r="P825" s="3">
        <f t="shared" si="206"/>
        <v>128.46714960629922</v>
      </c>
      <c r="Q825" s="3">
        <f t="shared" si="207"/>
        <v>148.75790866141733</v>
      </c>
      <c r="R825" s="3">
        <f>vd(DataTable[[#This Row],[Sentido]],DataTable[[#This Row],[Valor]])</f>
        <v>143.52992125984252</v>
      </c>
      <c r="S825" s="3">
        <f>IF(DataTable[[#This Row],[Valor]]&gt;1,1,1)</f>
        <v>1</v>
      </c>
      <c r="T825" s="3">
        <f>IF(DataTable[[#This Row],[Valor]]&gt;1,1,1)</f>
        <v>1</v>
      </c>
      <c r="U825" s="3">
        <f>angr(DataTable[[#This Row],[Sentido]],DataTable[[#This Row],[Valor]])</f>
        <v>25.930708661417324</v>
      </c>
      <c r="V825" s="3">
        <f>ANGI(DataTable[[#This Row],[Sentido]],DataTable[[#This Row],[Valor]])</f>
        <v>26.968503937007878</v>
      </c>
      <c r="W825" s="3">
        <f t="shared" si="208"/>
        <v>3</v>
      </c>
      <c r="X825" s="3">
        <f>IF(DataTable[[#This Row],[Valor]]&gt;1,1,1)</f>
        <v>1</v>
      </c>
      <c r="Y825" s="3">
        <f t="shared" si="209"/>
        <v>3</v>
      </c>
      <c r="Z825" s="3">
        <f>IF(AND(DataTable[[#This Row],[Sentido]]="URUGUAI para BRASIL",DataTable[[#This Row],[Valor]]&gt;350),1,0)</f>
        <v>1</v>
      </c>
      <c r="AA825" s="3">
        <f>IF(DataTable[[#This Row],[Valor]]&gt;1,0,0)</f>
        <v>0</v>
      </c>
    </row>
    <row r="826" spans="1:27" x14ac:dyDescent="0.25">
      <c r="A826" s="2" t="s">
        <v>18</v>
      </c>
      <c r="B826" s="2">
        <v>417</v>
      </c>
      <c r="C826" s="3">
        <f t="shared" si="195"/>
        <v>94.964326771653546</v>
      </c>
      <c r="D826" s="3">
        <f t="shared" si="196"/>
        <v>97.613578740157479</v>
      </c>
      <c r="E826" s="3">
        <f t="shared" si="197"/>
        <v>95.013578740157485</v>
      </c>
      <c r="F826" s="3">
        <f t="shared" si="198"/>
        <v>24.96</v>
      </c>
      <c r="G826" s="3">
        <f t="shared" si="199"/>
        <v>81.599999999999994</v>
      </c>
      <c r="H826" s="3">
        <f t="shared" si="200"/>
        <v>81.599999999999994</v>
      </c>
      <c r="I826" s="3"/>
      <c r="J826" s="3">
        <f t="shared" si="201"/>
        <v>91.113578740157479</v>
      </c>
      <c r="K826" s="3">
        <f t="shared" si="202"/>
        <v>97.613578740157479</v>
      </c>
      <c r="L826" s="34">
        <f t="shared" si="203"/>
        <v>95.013578740157485</v>
      </c>
      <c r="M826" s="3">
        <f t="shared" si="204"/>
        <v>-133.4</v>
      </c>
      <c r="N826" s="3">
        <f t="shared" si="205"/>
        <v>59.92</v>
      </c>
      <c r="O826" s="3"/>
      <c r="P826" s="3">
        <f t="shared" si="206"/>
        <v>128.71981102362204</v>
      </c>
      <c r="Q826" s="3">
        <f t="shared" si="207"/>
        <v>148.86335748031496</v>
      </c>
      <c r="R826" s="3">
        <f>vd(DataTable[[#This Row],[Sentido]],DataTable[[#This Row],[Valor]])</f>
        <v>143.76220472440946</v>
      </c>
      <c r="S826" s="3">
        <f>IF(DataTable[[#This Row],[Valor]]&gt;1,1,1)</f>
        <v>1</v>
      </c>
      <c r="T826" s="3">
        <f>IF(DataTable[[#This Row],[Valor]]&gt;1,1,1)</f>
        <v>1</v>
      </c>
      <c r="U826" s="3">
        <f>angr(DataTable[[#This Row],[Sentido]],DataTable[[#This Row],[Valor]])</f>
        <v>25.840157480314964</v>
      </c>
      <c r="V826" s="3">
        <f>ANGI(DataTable[[#This Row],[Sentido]],DataTable[[#This Row],[Valor]])</f>
        <v>26.88188976377953</v>
      </c>
      <c r="W826" s="3">
        <f t="shared" si="208"/>
        <v>3</v>
      </c>
      <c r="X826" s="3">
        <f>IF(DataTable[[#This Row],[Valor]]&gt;1,1,1)</f>
        <v>1</v>
      </c>
      <c r="Y826" s="3">
        <f t="shared" si="209"/>
        <v>3</v>
      </c>
      <c r="Z826" s="3">
        <f>IF(AND(DataTable[[#This Row],[Sentido]]="URUGUAI para BRASIL",DataTable[[#This Row],[Valor]]&gt;350),1,0)</f>
        <v>1</v>
      </c>
      <c r="AA826" s="3">
        <f>IF(DataTable[[#This Row],[Valor]]&gt;1,0,0)</f>
        <v>0</v>
      </c>
    </row>
    <row r="827" spans="1:27" x14ac:dyDescent="0.25">
      <c r="A827" s="2" t="s">
        <v>18</v>
      </c>
      <c r="B827" s="2">
        <v>418</v>
      </c>
      <c r="C827" s="3">
        <f t="shared" si="195"/>
        <v>95.036433070866153</v>
      </c>
      <c r="D827" s="3">
        <f t="shared" si="196"/>
        <v>97.685803149606301</v>
      </c>
      <c r="E827" s="3">
        <f t="shared" si="197"/>
        <v>95.085803149606306</v>
      </c>
      <c r="F827" s="3">
        <f t="shared" si="198"/>
        <v>24.840000000000003</v>
      </c>
      <c r="G827" s="3">
        <f t="shared" si="199"/>
        <v>81.400000000000006</v>
      </c>
      <c r="H827" s="3">
        <f t="shared" si="200"/>
        <v>81.400000000000006</v>
      </c>
      <c r="I827" s="3"/>
      <c r="J827" s="3">
        <f t="shared" si="201"/>
        <v>91.185803149606301</v>
      </c>
      <c r="K827" s="3">
        <f t="shared" si="202"/>
        <v>97.685803149606301</v>
      </c>
      <c r="L827" s="34">
        <f t="shared" si="203"/>
        <v>95.085803149606306</v>
      </c>
      <c r="M827" s="3">
        <f t="shared" si="204"/>
        <v>-133.6</v>
      </c>
      <c r="N827" s="3">
        <f t="shared" si="205"/>
        <v>59.68</v>
      </c>
      <c r="O827" s="3"/>
      <c r="P827" s="3">
        <f t="shared" si="206"/>
        <v>128.9724724409449</v>
      </c>
      <c r="Q827" s="3">
        <f t="shared" si="207"/>
        <v>148.96880629921262</v>
      </c>
      <c r="R827" s="3">
        <f>vd(DataTable[[#This Row],[Sentido]],DataTable[[#This Row],[Valor]])</f>
        <v>143.99448818897639</v>
      </c>
      <c r="S827" s="3">
        <f>IF(DataTable[[#This Row],[Valor]]&gt;1,1,1)</f>
        <v>1</v>
      </c>
      <c r="T827" s="3">
        <f>IF(DataTable[[#This Row],[Valor]]&gt;1,1,1)</f>
        <v>1</v>
      </c>
      <c r="U827" s="3">
        <f>angr(DataTable[[#This Row],[Sentido]],DataTable[[#This Row],[Valor]])</f>
        <v>25.749606299212594</v>
      </c>
      <c r="V827" s="3">
        <f>ANGI(DataTable[[#This Row],[Sentido]],DataTable[[#This Row],[Valor]])</f>
        <v>26.795275590551178</v>
      </c>
      <c r="W827" s="3">
        <f t="shared" si="208"/>
        <v>3</v>
      </c>
      <c r="X827" s="3">
        <f>IF(DataTable[[#This Row],[Valor]]&gt;1,1,1)</f>
        <v>1</v>
      </c>
      <c r="Y827" s="3">
        <f t="shared" si="209"/>
        <v>3</v>
      </c>
      <c r="Z827" s="3">
        <f>IF(AND(DataTable[[#This Row],[Sentido]]="URUGUAI para BRASIL",DataTable[[#This Row],[Valor]]&gt;350),1,0)</f>
        <v>1</v>
      </c>
      <c r="AA827" s="3">
        <f>IF(DataTable[[#This Row],[Valor]]&gt;1,0,0)</f>
        <v>0</v>
      </c>
    </row>
    <row r="828" spans="1:27" x14ac:dyDescent="0.25">
      <c r="A828" s="2" t="s">
        <v>18</v>
      </c>
      <c r="B828" s="2">
        <v>419</v>
      </c>
      <c r="C828" s="3">
        <f t="shared" si="195"/>
        <v>95.108539370078745</v>
      </c>
      <c r="D828" s="3">
        <f t="shared" si="196"/>
        <v>97.758027559055108</v>
      </c>
      <c r="E828" s="3">
        <f t="shared" si="197"/>
        <v>95.158027559055114</v>
      </c>
      <c r="F828" s="3">
        <f t="shared" si="198"/>
        <v>24.72</v>
      </c>
      <c r="G828" s="3">
        <f t="shared" si="199"/>
        <v>81.2</v>
      </c>
      <c r="H828" s="3">
        <f t="shared" si="200"/>
        <v>81.2</v>
      </c>
      <c r="I828" s="3"/>
      <c r="J828" s="3">
        <f t="shared" si="201"/>
        <v>91.258027559055108</v>
      </c>
      <c r="K828" s="3">
        <f t="shared" si="202"/>
        <v>97.758027559055108</v>
      </c>
      <c r="L828" s="34">
        <f t="shared" si="203"/>
        <v>95.158027559055114</v>
      </c>
      <c r="M828" s="3">
        <f t="shared" si="204"/>
        <v>-133.80000000000001</v>
      </c>
      <c r="N828" s="3">
        <f t="shared" si="205"/>
        <v>59.440000000000005</v>
      </c>
      <c r="O828" s="3"/>
      <c r="P828" s="3">
        <f t="shared" si="206"/>
        <v>129.22513385826772</v>
      </c>
      <c r="Q828" s="3">
        <f t="shared" si="207"/>
        <v>149.07425511811024</v>
      </c>
      <c r="R828" s="3">
        <f>vd(DataTable[[#This Row],[Sentido]],DataTable[[#This Row],[Valor]])</f>
        <v>144.22677165354332</v>
      </c>
      <c r="S828" s="3">
        <f>IF(DataTable[[#This Row],[Valor]]&gt;1,1,1)</f>
        <v>1</v>
      </c>
      <c r="T828" s="3">
        <f>IF(DataTable[[#This Row],[Valor]]&gt;1,1,1)</f>
        <v>1</v>
      </c>
      <c r="U828" s="3">
        <f>angr(DataTable[[#This Row],[Sentido]],DataTable[[#This Row],[Valor]])</f>
        <v>25.659055118110235</v>
      </c>
      <c r="V828" s="3">
        <f>ANGI(DataTable[[#This Row],[Sentido]],DataTable[[#This Row],[Valor]])</f>
        <v>26.708661417322833</v>
      </c>
      <c r="W828" s="3">
        <f t="shared" si="208"/>
        <v>3</v>
      </c>
      <c r="X828" s="3">
        <f>IF(DataTable[[#This Row],[Valor]]&gt;1,1,1)</f>
        <v>1</v>
      </c>
      <c r="Y828" s="3">
        <f t="shared" si="209"/>
        <v>3</v>
      </c>
      <c r="Z828" s="3">
        <f>IF(AND(DataTable[[#This Row],[Sentido]]="URUGUAI para BRASIL",DataTable[[#This Row],[Valor]]&gt;350),1,0)</f>
        <v>1</v>
      </c>
      <c r="AA828" s="3">
        <f>IF(DataTable[[#This Row],[Valor]]&gt;1,0,0)</f>
        <v>0</v>
      </c>
    </row>
    <row r="829" spans="1:27" x14ac:dyDescent="0.25">
      <c r="A829" s="2" t="s">
        <v>18</v>
      </c>
      <c r="B829" s="2">
        <v>420</v>
      </c>
      <c r="C829" s="3">
        <f t="shared" si="195"/>
        <v>95.180645669291337</v>
      </c>
      <c r="D829" s="3">
        <f t="shared" si="196"/>
        <v>97.83025196850393</v>
      </c>
      <c r="E829" s="3">
        <f t="shared" si="197"/>
        <v>95.230251968503936</v>
      </c>
      <c r="F829" s="3">
        <f t="shared" si="198"/>
        <v>24.6</v>
      </c>
      <c r="G829" s="3">
        <f t="shared" si="199"/>
        <v>81</v>
      </c>
      <c r="H829" s="3">
        <f t="shared" si="200"/>
        <v>81</v>
      </c>
      <c r="I829" s="3"/>
      <c r="J829" s="3">
        <f t="shared" si="201"/>
        <v>91.33025196850393</v>
      </c>
      <c r="K829" s="3">
        <f t="shared" si="202"/>
        <v>97.83025196850393</v>
      </c>
      <c r="L829" s="34">
        <f t="shared" si="203"/>
        <v>95.230251968503936</v>
      </c>
      <c r="M829" s="3">
        <f t="shared" si="204"/>
        <v>-134</v>
      </c>
      <c r="N829" s="3">
        <f t="shared" si="205"/>
        <v>59.2</v>
      </c>
      <c r="O829" s="3"/>
      <c r="P829" s="3">
        <f t="shared" si="206"/>
        <v>129.47779527559055</v>
      </c>
      <c r="Q829" s="3">
        <f t="shared" si="207"/>
        <v>149.17970393700787</v>
      </c>
      <c r="R829" s="3">
        <f>vd(DataTable[[#This Row],[Sentido]],DataTable[[#This Row],[Valor]])</f>
        <v>144.45905511811023</v>
      </c>
      <c r="S829" s="3">
        <f>IF(DataTable[[#This Row],[Valor]]&gt;1,1,1)</f>
        <v>1</v>
      </c>
      <c r="T829" s="3">
        <f>IF(DataTable[[#This Row],[Valor]]&gt;1,1,1)</f>
        <v>1</v>
      </c>
      <c r="U829" s="3">
        <f>angr(DataTable[[#This Row],[Sentido]],DataTable[[#This Row],[Valor]])</f>
        <v>25.568503937007872</v>
      </c>
      <c r="V829" s="3">
        <f>ANGI(DataTable[[#This Row],[Sentido]],DataTable[[#This Row],[Valor]])</f>
        <v>26.622047244094489</v>
      </c>
      <c r="W829" s="3">
        <f t="shared" si="208"/>
        <v>3</v>
      </c>
      <c r="X829" s="3">
        <f>IF(DataTable[[#This Row],[Valor]]&gt;1,1,1)</f>
        <v>1</v>
      </c>
      <c r="Y829" s="3">
        <f t="shared" si="209"/>
        <v>3</v>
      </c>
      <c r="Z829" s="3">
        <f>IF(AND(DataTable[[#This Row],[Sentido]]="URUGUAI para BRASIL",DataTable[[#This Row],[Valor]]&gt;350),1,0)</f>
        <v>1</v>
      </c>
      <c r="AA829" s="3">
        <f>IF(DataTable[[#This Row],[Valor]]&gt;1,0,0)</f>
        <v>0</v>
      </c>
    </row>
    <row r="830" spans="1:27" x14ac:dyDescent="0.25">
      <c r="A830" s="2" t="s">
        <v>18</v>
      </c>
      <c r="B830" s="2">
        <v>421</v>
      </c>
      <c r="C830" s="3">
        <f t="shared" si="195"/>
        <v>95.252751968503944</v>
      </c>
      <c r="D830" s="3">
        <f t="shared" si="196"/>
        <v>97.902476377952752</v>
      </c>
      <c r="E830" s="3">
        <f t="shared" si="197"/>
        <v>95.302476377952758</v>
      </c>
      <c r="F830" s="3">
        <f t="shared" si="198"/>
        <v>24.480000000000004</v>
      </c>
      <c r="G830" s="3">
        <f t="shared" si="199"/>
        <v>81.152622599999987</v>
      </c>
      <c r="H830" s="3">
        <f t="shared" si="200"/>
        <v>80.8</v>
      </c>
      <c r="I830" s="3"/>
      <c r="J830" s="3">
        <f t="shared" si="201"/>
        <v>91.402476377952752</v>
      </c>
      <c r="K830" s="3">
        <f t="shared" si="202"/>
        <v>97.902476377952752</v>
      </c>
      <c r="L830" s="34">
        <f t="shared" si="203"/>
        <v>95.302476377952758</v>
      </c>
      <c r="M830" s="3">
        <f t="shared" si="204"/>
        <v>-134.19999999999999</v>
      </c>
      <c r="N830" s="3">
        <f t="shared" si="205"/>
        <v>58.96</v>
      </c>
      <c r="O830" s="3"/>
      <c r="P830" s="3">
        <f t="shared" si="206"/>
        <v>129.73045669291338</v>
      </c>
      <c r="Q830" s="3">
        <f t="shared" si="207"/>
        <v>149.2851527559055</v>
      </c>
      <c r="R830" s="3">
        <f>vd(DataTable[[#This Row],[Sentido]],DataTable[[#This Row],[Valor]])</f>
        <v>144.69133858267716</v>
      </c>
      <c r="S830" s="3">
        <f>IF(DataTable[[#This Row],[Valor]]&gt;1,1,1)</f>
        <v>1</v>
      </c>
      <c r="T830" s="3">
        <f>IF(DataTable[[#This Row],[Valor]]&gt;1,1,1)</f>
        <v>1</v>
      </c>
      <c r="U830" s="3">
        <f>angr(DataTable[[#This Row],[Sentido]],DataTable[[#This Row],[Valor]])</f>
        <v>25.477952755905513</v>
      </c>
      <c r="V830" s="3">
        <f>ANGI(DataTable[[#This Row],[Sentido]],DataTable[[#This Row],[Valor]])</f>
        <v>26.535433070866141</v>
      </c>
      <c r="W830" s="3">
        <f t="shared" si="208"/>
        <v>3</v>
      </c>
      <c r="X830" s="3">
        <f>IF(DataTable[[#This Row],[Valor]]&gt;1,1,1)</f>
        <v>1</v>
      </c>
      <c r="Y830" s="3">
        <f t="shared" si="209"/>
        <v>3</v>
      </c>
      <c r="Z830" s="3">
        <f>IF(AND(DataTable[[#This Row],[Sentido]]="URUGUAI para BRASIL",DataTable[[#This Row],[Valor]]&gt;350),1,0)</f>
        <v>1</v>
      </c>
      <c r="AA830" s="3">
        <f>IF(DataTable[[#This Row],[Valor]]&gt;1,0,0)</f>
        <v>0</v>
      </c>
    </row>
    <row r="831" spans="1:27" x14ac:dyDescent="0.25">
      <c r="A831" s="2" t="s">
        <v>18</v>
      </c>
      <c r="B831" s="2">
        <v>422</v>
      </c>
      <c r="C831" s="3">
        <f t="shared" si="195"/>
        <v>95.324858267716536</v>
      </c>
      <c r="D831" s="3">
        <f t="shared" si="196"/>
        <v>97.974700787401574</v>
      </c>
      <c r="E831" s="3">
        <f t="shared" si="197"/>
        <v>95.374700787401579</v>
      </c>
      <c r="F831" s="3">
        <f t="shared" si="198"/>
        <v>24.36</v>
      </c>
      <c r="G831" s="3">
        <f t="shared" si="199"/>
        <v>81.305245199999987</v>
      </c>
      <c r="H831" s="3">
        <f t="shared" si="200"/>
        <v>80.599999999999994</v>
      </c>
      <c r="I831" s="3"/>
      <c r="J831" s="3">
        <f t="shared" si="201"/>
        <v>91.474700787401574</v>
      </c>
      <c r="K831" s="3">
        <f t="shared" si="202"/>
        <v>97.974700787401574</v>
      </c>
      <c r="L831" s="34">
        <f t="shared" si="203"/>
        <v>95.374700787401579</v>
      </c>
      <c r="M831" s="3">
        <f t="shared" si="204"/>
        <v>-134.4</v>
      </c>
      <c r="N831" s="3">
        <f t="shared" si="205"/>
        <v>58.72</v>
      </c>
      <c r="O831" s="3"/>
      <c r="P831" s="3">
        <f t="shared" si="206"/>
        <v>129.98311811023623</v>
      </c>
      <c r="Q831" s="3">
        <f t="shared" si="207"/>
        <v>149.39060157480316</v>
      </c>
      <c r="R831" s="3">
        <f>vd(DataTable[[#This Row],[Sentido]],DataTable[[#This Row],[Valor]])</f>
        <v>144.92362204724409</v>
      </c>
      <c r="S831" s="3">
        <f>IF(DataTable[[#This Row],[Valor]]&gt;1,1,1)</f>
        <v>1</v>
      </c>
      <c r="T831" s="3">
        <f>IF(DataTable[[#This Row],[Valor]]&gt;1,1,1)</f>
        <v>1</v>
      </c>
      <c r="U831" s="3">
        <f>angr(DataTable[[#This Row],[Sentido]],DataTable[[#This Row],[Valor]])</f>
        <v>25.38740157480315</v>
      </c>
      <c r="V831" s="3">
        <f>ANGI(DataTable[[#This Row],[Sentido]],DataTable[[#This Row],[Valor]])</f>
        <v>26.448818897637796</v>
      </c>
      <c r="W831" s="3">
        <f t="shared" si="208"/>
        <v>3</v>
      </c>
      <c r="X831" s="3">
        <f>IF(DataTable[[#This Row],[Valor]]&gt;1,1,1)</f>
        <v>1</v>
      </c>
      <c r="Y831" s="3">
        <f t="shared" si="209"/>
        <v>3</v>
      </c>
      <c r="Z831" s="3">
        <f>IF(AND(DataTable[[#This Row],[Sentido]]="URUGUAI para BRASIL",DataTable[[#This Row],[Valor]]&gt;350),1,0)</f>
        <v>1</v>
      </c>
      <c r="AA831" s="3">
        <f>IF(DataTable[[#This Row],[Valor]]&gt;1,0,0)</f>
        <v>0</v>
      </c>
    </row>
    <row r="832" spans="1:27" x14ac:dyDescent="0.25">
      <c r="A832" s="2" t="s">
        <v>18</v>
      </c>
      <c r="B832" s="2">
        <v>423</v>
      </c>
      <c r="C832" s="3">
        <f t="shared" si="195"/>
        <v>95.396964566929128</v>
      </c>
      <c r="D832" s="3">
        <f t="shared" si="196"/>
        <v>98.046925196850381</v>
      </c>
      <c r="E832" s="3">
        <f t="shared" si="197"/>
        <v>95.446925196850387</v>
      </c>
      <c r="F832" s="3">
        <f t="shared" si="198"/>
        <v>24.240000000000002</v>
      </c>
      <c r="G832" s="3">
        <f t="shared" si="199"/>
        <v>81.457867800000002</v>
      </c>
      <c r="H832" s="3">
        <f t="shared" si="200"/>
        <v>80.400000000000006</v>
      </c>
      <c r="I832" s="3"/>
      <c r="J832" s="3">
        <f t="shared" si="201"/>
        <v>91.546925196850381</v>
      </c>
      <c r="K832" s="3">
        <f t="shared" si="202"/>
        <v>98.046925196850381</v>
      </c>
      <c r="L832" s="34">
        <f t="shared" si="203"/>
        <v>95.446925196850387</v>
      </c>
      <c r="M832" s="3">
        <f t="shared" si="204"/>
        <v>-134.6</v>
      </c>
      <c r="N832" s="3">
        <f t="shared" si="205"/>
        <v>58.480000000000004</v>
      </c>
      <c r="O832" s="3"/>
      <c r="P832" s="3">
        <f t="shared" si="206"/>
        <v>130.23577952755903</v>
      </c>
      <c r="Q832" s="3">
        <f t="shared" si="207"/>
        <v>149.49605039370078</v>
      </c>
      <c r="R832" s="3">
        <f>vd(DataTable[[#This Row],[Sentido]],DataTable[[#This Row],[Valor]])</f>
        <v>145.15590551181103</v>
      </c>
      <c r="S832" s="3">
        <f>IF(DataTable[[#This Row],[Valor]]&gt;1,1,1)</f>
        <v>1</v>
      </c>
      <c r="T832" s="3">
        <f>IF(DataTable[[#This Row],[Valor]]&gt;1,1,1)</f>
        <v>1</v>
      </c>
      <c r="U832" s="3">
        <f>angr(DataTable[[#This Row],[Sentido]],DataTable[[#This Row],[Valor]])</f>
        <v>25.29685039370079</v>
      </c>
      <c r="V832" s="3">
        <f>ANGI(DataTable[[#This Row],[Sentido]],DataTable[[#This Row],[Valor]])</f>
        <v>26.362204724409452</v>
      </c>
      <c r="W832" s="3">
        <f t="shared" si="208"/>
        <v>3</v>
      </c>
      <c r="X832" s="3">
        <f>IF(DataTable[[#This Row],[Valor]]&gt;1,1,1)</f>
        <v>1</v>
      </c>
      <c r="Y832" s="3">
        <f t="shared" si="209"/>
        <v>3</v>
      </c>
      <c r="Z832" s="3">
        <f>IF(AND(DataTable[[#This Row],[Sentido]]="URUGUAI para BRASIL",DataTable[[#This Row],[Valor]]&gt;350),1,0)</f>
        <v>1</v>
      </c>
      <c r="AA832" s="3">
        <f>IF(DataTable[[#This Row],[Valor]]&gt;1,0,0)</f>
        <v>0</v>
      </c>
    </row>
    <row r="833" spans="1:27" x14ac:dyDescent="0.25">
      <c r="A833" s="2" t="s">
        <v>18</v>
      </c>
      <c r="B833" s="2">
        <v>424</v>
      </c>
      <c r="C833" s="3">
        <f t="shared" si="195"/>
        <v>95.469070866141735</v>
      </c>
      <c r="D833" s="3">
        <f t="shared" si="196"/>
        <v>98.119149606299203</v>
      </c>
      <c r="E833" s="3">
        <f t="shared" si="197"/>
        <v>95.519149606299209</v>
      </c>
      <c r="F833" s="3">
        <f t="shared" si="198"/>
        <v>24.119999999999997</v>
      </c>
      <c r="G833" s="3">
        <f t="shared" si="199"/>
        <v>81.610490400000003</v>
      </c>
      <c r="H833" s="3">
        <f t="shared" si="200"/>
        <v>80.2</v>
      </c>
      <c r="I833" s="3"/>
      <c r="J833" s="3">
        <f t="shared" si="201"/>
        <v>91.619149606299203</v>
      </c>
      <c r="K833" s="3">
        <f t="shared" si="202"/>
        <v>98.119149606299203</v>
      </c>
      <c r="L833" s="34">
        <f t="shared" si="203"/>
        <v>95.519149606299209</v>
      </c>
      <c r="M833" s="3">
        <f t="shared" si="204"/>
        <v>-134.80000000000001</v>
      </c>
      <c r="N833" s="3">
        <f t="shared" si="205"/>
        <v>58.24</v>
      </c>
      <c r="O833" s="3"/>
      <c r="P833" s="3">
        <f t="shared" si="206"/>
        <v>130.48844094488189</v>
      </c>
      <c r="Q833" s="3">
        <f t="shared" si="207"/>
        <v>149.60149921259841</v>
      </c>
      <c r="R833" s="3">
        <f>vd(DataTable[[#This Row],[Sentido]],DataTable[[#This Row],[Valor]])</f>
        <v>145.38818897637793</v>
      </c>
      <c r="S833" s="3">
        <f>IF(DataTable[[#This Row],[Valor]]&gt;1,1,1)</f>
        <v>1</v>
      </c>
      <c r="T833" s="3">
        <f>IF(DataTable[[#This Row],[Valor]]&gt;1,1,1)</f>
        <v>1</v>
      </c>
      <c r="U833" s="3">
        <f>angr(DataTable[[#This Row],[Sentido]],DataTable[[#This Row],[Valor]])</f>
        <v>25.206299212598427</v>
      </c>
      <c r="V833" s="3">
        <f>ANGI(DataTable[[#This Row],[Sentido]],DataTable[[#This Row],[Valor]])</f>
        <v>26.275590551181107</v>
      </c>
      <c r="W833" s="3">
        <f t="shared" si="208"/>
        <v>3</v>
      </c>
      <c r="X833" s="3">
        <f>IF(DataTable[[#This Row],[Valor]]&gt;1,1,1)</f>
        <v>1</v>
      </c>
      <c r="Y833" s="3">
        <f t="shared" si="209"/>
        <v>3</v>
      </c>
      <c r="Z833" s="3">
        <f>IF(AND(DataTable[[#This Row],[Sentido]]="URUGUAI para BRASIL",DataTable[[#This Row],[Valor]]&gt;350),1,0)</f>
        <v>1</v>
      </c>
      <c r="AA833" s="3">
        <f>IF(DataTable[[#This Row],[Valor]]&gt;1,0,0)</f>
        <v>0</v>
      </c>
    </row>
    <row r="834" spans="1:27" x14ac:dyDescent="0.25">
      <c r="A834" s="2" t="s">
        <v>18</v>
      </c>
      <c r="B834" s="2">
        <v>425</v>
      </c>
      <c r="C834" s="3">
        <f t="shared" si="195"/>
        <v>95.541177165354341</v>
      </c>
      <c r="D834" s="3">
        <f t="shared" si="196"/>
        <v>98.191374015748025</v>
      </c>
      <c r="E834" s="3">
        <f t="shared" si="197"/>
        <v>95.591374015748031</v>
      </c>
      <c r="F834" s="3">
        <f t="shared" si="198"/>
        <v>24</v>
      </c>
      <c r="G834" s="3">
        <f t="shared" si="199"/>
        <v>81.763224999999963</v>
      </c>
      <c r="H834" s="3">
        <f t="shared" si="200"/>
        <v>80</v>
      </c>
      <c r="I834" s="3"/>
      <c r="J834" s="3">
        <f t="shared" si="201"/>
        <v>91.691374015748025</v>
      </c>
      <c r="K834" s="3">
        <f t="shared" si="202"/>
        <v>98.191374015748025</v>
      </c>
      <c r="L834" s="34">
        <f t="shared" si="203"/>
        <v>95.591374015748031</v>
      </c>
      <c r="M834" s="3">
        <f t="shared" si="204"/>
        <v>-135</v>
      </c>
      <c r="N834" s="3">
        <f t="shared" si="205"/>
        <v>58</v>
      </c>
      <c r="O834" s="3"/>
      <c r="P834" s="3">
        <f t="shared" si="206"/>
        <v>130.74110236220474</v>
      </c>
      <c r="Q834" s="3">
        <f t="shared" si="207"/>
        <v>149.70694803149607</v>
      </c>
      <c r="R834" s="3">
        <f>vd(DataTable[[#This Row],[Sentido]],DataTable[[#This Row],[Valor]])</f>
        <v>145.62047244094489</v>
      </c>
      <c r="S834" s="3">
        <f>IF(DataTable[[#This Row],[Valor]]&gt;1,1,1)</f>
        <v>1</v>
      </c>
      <c r="T834" s="3">
        <f>IF(DataTable[[#This Row],[Valor]]&gt;1,1,1)</f>
        <v>1</v>
      </c>
      <c r="U834" s="3">
        <f>angr(DataTable[[#This Row],[Sentido]],DataTable[[#This Row],[Valor]])</f>
        <v>25.115748031496061</v>
      </c>
      <c r="V834" s="3">
        <f>ANGI(DataTable[[#This Row],[Sentido]],DataTable[[#This Row],[Valor]])</f>
        <v>26.188976377952756</v>
      </c>
      <c r="W834" s="3">
        <f t="shared" si="208"/>
        <v>3</v>
      </c>
      <c r="X834" s="3">
        <f>IF(DataTable[[#This Row],[Valor]]&gt;1,1,1)</f>
        <v>1</v>
      </c>
      <c r="Y834" s="3">
        <f t="shared" si="209"/>
        <v>3</v>
      </c>
      <c r="Z834" s="3">
        <f>IF(AND(DataTable[[#This Row],[Sentido]]="URUGUAI para BRASIL",DataTable[[#This Row],[Valor]]&gt;350),1,0)</f>
        <v>1</v>
      </c>
      <c r="AA834" s="3">
        <f>IF(DataTable[[#This Row],[Valor]]&gt;1,0,0)</f>
        <v>0</v>
      </c>
    </row>
    <row r="835" spans="1:27" x14ac:dyDescent="0.25">
      <c r="A835" s="2" t="s">
        <v>18</v>
      </c>
      <c r="B835" s="2">
        <v>426</v>
      </c>
      <c r="C835" s="3">
        <f t="shared" si="195"/>
        <v>95.613283464566933</v>
      </c>
      <c r="D835" s="3">
        <f t="shared" si="196"/>
        <v>98.263598425196847</v>
      </c>
      <c r="E835" s="3">
        <f t="shared" si="197"/>
        <v>95.663598425196852</v>
      </c>
      <c r="F835" s="3">
        <f t="shared" si="198"/>
        <v>23.880000000000003</v>
      </c>
      <c r="G835" s="3">
        <f t="shared" si="199"/>
        <v>82.550601999999955</v>
      </c>
      <c r="H835" s="3">
        <f t="shared" si="200"/>
        <v>79.8</v>
      </c>
      <c r="I835" s="3"/>
      <c r="J835" s="3">
        <f t="shared" si="201"/>
        <v>91.763598425196847</v>
      </c>
      <c r="K835" s="3">
        <f t="shared" si="202"/>
        <v>98.263598425196847</v>
      </c>
      <c r="L835" s="34">
        <f t="shared" si="203"/>
        <v>95.663598425196852</v>
      </c>
      <c r="M835" s="3">
        <f t="shared" si="204"/>
        <v>-135.19999999999999</v>
      </c>
      <c r="N835" s="3">
        <f t="shared" si="205"/>
        <v>57.760000000000005</v>
      </c>
      <c r="O835" s="3"/>
      <c r="P835" s="3">
        <f t="shared" si="206"/>
        <v>130.99376377952757</v>
      </c>
      <c r="Q835" s="3">
        <f t="shared" si="207"/>
        <v>149.8123968503937</v>
      </c>
      <c r="R835" s="3">
        <f>vd(DataTable[[#This Row],[Sentido]],DataTable[[#This Row],[Valor]])</f>
        <v>145.8527559055118</v>
      </c>
      <c r="S835" s="3">
        <f>IF(DataTable[[#This Row],[Valor]]&gt;1,1,1)</f>
        <v>1</v>
      </c>
      <c r="T835" s="3">
        <f>IF(DataTable[[#This Row],[Valor]]&gt;1,1,1)</f>
        <v>1</v>
      </c>
      <c r="U835" s="3">
        <f>angr(DataTable[[#This Row],[Sentido]],DataTable[[#This Row],[Valor]])</f>
        <v>25.025196850393698</v>
      </c>
      <c r="V835" s="3">
        <f>ANGI(DataTable[[#This Row],[Sentido]],DataTable[[#This Row],[Valor]])</f>
        <v>26.102362204724407</v>
      </c>
      <c r="W835" s="3">
        <f t="shared" si="208"/>
        <v>3</v>
      </c>
      <c r="X835" s="3">
        <f>IF(DataTable[[#This Row],[Valor]]&gt;1,1,1)</f>
        <v>1</v>
      </c>
      <c r="Y835" s="3">
        <f t="shared" si="209"/>
        <v>3</v>
      </c>
      <c r="Z835" s="3">
        <f>IF(AND(DataTable[[#This Row],[Sentido]]="URUGUAI para BRASIL",DataTable[[#This Row],[Valor]]&gt;350),1,0)</f>
        <v>1</v>
      </c>
      <c r="AA835" s="3">
        <f>IF(DataTable[[#This Row],[Valor]]&gt;1,0,0)</f>
        <v>0</v>
      </c>
    </row>
    <row r="836" spans="1:27" x14ac:dyDescent="0.25">
      <c r="A836" s="2" t="s">
        <v>18</v>
      </c>
      <c r="B836" s="2">
        <v>427</v>
      </c>
      <c r="C836" s="3">
        <f t="shared" si="195"/>
        <v>95.685389763779526</v>
      </c>
      <c r="D836" s="3">
        <f t="shared" si="196"/>
        <v>98.335822834645668</v>
      </c>
      <c r="E836" s="3">
        <f t="shared" si="197"/>
        <v>95.735822834645674</v>
      </c>
      <c r="F836" s="3">
        <f t="shared" si="198"/>
        <v>23.759999999999998</v>
      </c>
      <c r="G836" s="3">
        <f t="shared" si="199"/>
        <v>83.337978999999962</v>
      </c>
      <c r="H836" s="3">
        <f t="shared" si="200"/>
        <v>79.599999999999994</v>
      </c>
      <c r="I836" s="3"/>
      <c r="J836" s="3">
        <f t="shared" si="201"/>
        <v>91.835822834645668</v>
      </c>
      <c r="K836" s="3">
        <f t="shared" si="202"/>
        <v>98.335822834645668</v>
      </c>
      <c r="L836" s="34">
        <f t="shared" si="203"/>
        <v>95.735822834645674</v>
      </c>
      <c r="M836" s="3">
        <f t="shared" si="204"/>
        <v>-135.4</v>
      </c>
      <c r="N836" s="3">
        <f t="shared" si="205"/>
        <v>57.52</v>
      </c>
      <c r="O836" s="3"/>
      <c r="P836" s="3">
        <f t="shared" si="206"/>
        <v>131.2464251968504</v>
      </c>
      <c r="Q836" s="3">
        <f t="shared" si="207"/>
        <v>149.91784566929135</v>
      </c>
      <c r="R836" s="3">
        <f>vd(DataTable[[#This Row],[Sentido]],DataTable[[#This Row],[Valor]])</f>
        <v>146.08503937007873</v>
      </c>
      <c r="S836" s="3">
        <f>IF(DataTable[[#This Row],[Valor]]&gt;1,1,1)</f>
        <v>1</v>
      </c>
      <c r="T836" s="3">
        <f>IF(DataTable[[#This Row],[Valor]]&gt;1,1,1)</f>
        <v>1</v>
      </c>
      <c r="U836" s="3">
        <f>angr(DataTable[[#This Row],[Sentido]],DataTable[[#This Row],[Valor]])</f>
        <v>24.934645669291339</v>
      </c>
      <c r="V836" s="3">
        <f>ANGI(DataTable[[#This Row],[Sentido]],DataTable[[#This Row],[Valor]])</f>
        <v>26.015748031496063</v>
      </c>
      <c r="W836" s="3">
        <f t="shared" si="208"/>
        <v>3</v>
      </c>
      <c r="X836" s="3">
        <f>IF(DataTable[[#This Row],[Valor]]&gt;1,1,1)</f>
        <v>1</v>
      </c>
      <c r="Y836" s="3">
        <f t="shared" si="209"/>
        <v>3</v>
      </c>
      <c r="Z836" s="3">
        <f>IF(AND(DataTable[[#This Row],[Sentido]]="URUGUAI para BRASIL",DataTable[[#This Row],[Valor]]&gt;350),1,0)</f>
        <v>1</v>
      </c>
      <c r="AA836" s="3">
        <f>IF(DataTable[[#This Row],[Valor]]&gt;1,0,0)</f>
        <v>0</v>
      </c>
    </row>
    <row r="837" spans="1:27" x14ac:dyDescent="0.25">
      <c r="A837" s="2" t="s">
        <v>18</v>
      </c>
      <c r="B837" s="2">
        <v>428</v>
      </c>
      <c r="C837" s="3">
        <f t="shared" ref="C837:C900" si="210">MiniVWVB(A837,B837,E837)</f>
        <v>95.757496062992132</v>
      </c>
      <c r="D837" s="3">
        <f t="shared" ref="D837:D900" si="211">MaxVWV(A837,B837)</f>
        <v>98.40804724409449</v>
      </c>
      <c r="E837" s="3">
        <f t="shared" ref="E837:E900" si="212">RatedVWV(B837)</f>
        <v>95.808047244094496</v>
      </c>
      <c r="F837" s="3">
        <f t="shared" ref="F837:F900" si="213">MinQB(A837,B837)</f>
        <v>23.64</v>
      </c>
      <c r="G837" s="3">
        <f t="shared" ref="G837:G900" si="214">MaxQB3F(A837,B837)</f>
        <v>84.125355999999968</v>
      </c>
      <c r="H837" s="3">
        <f t="shared" ref="H837:H900" si="215">MaxQB4F(A837,B837)</f>
        <v>79.400000000000006</v>
      </c>
      <c r="I837" s="3"/>
      <c r="J837" s="3">
        <f t="shared" ref="J837:J900" si="216">MiniVWVU(A837,B837,L837)</f>
        <v>91.90804724409449</v>
      </c>
      <c r="K837" s="3">
        <f t="shared" ref="K837:K900" si="217">MaxVWV(A837,B837)</f>
        <v>98.40804724409449</v>
      </c>
      <c r="L837" s="34">
        <f t="shared" ref="L837:L900" si="218">RatedVWV(B837)</f>
        <v>95.808047244094496</v>
      </c>
      <c r="M837" s="3">
        <f t="shared" ref="M837:M900" si="219">MinQU(A837,B837)</f>
        <v>-135.6</v>
      </c>
      <c r="N837" s="3">
        <f t="shared" ref="N837:N900" si="220">MaxQU(A837,B837)</f>
        <v>57.28</v>
      </c>
      <c r="O837" s="3"/>
      <c r="P837" s="3">
        <f t="shared" ref="P837:P900" si="221">MiniUpper(A837,B837)</f>
        <v>131.49908661417322</v>
      </c>
      <c r="Q837" s="3">
        <f t="shared" ref="Q837:Q900" si="222">MaxUpper(A837,B837)</f>
        <v>150.02329448818898</v>
      </c>
      <c r="R837" s="3">
        <f>vd(DataTable[[#This Row],[Sentido]],DataTable[[#This Row],[Valor]])</f>
        <v>146.31732283464567</v>
      </c>
      <c r="S837" s="3">
        <f>IF(DataTable[[#This Row],[Valor]]&gt;1,1,1)</f>
        <v>1</v>
      </c>
      <c r="T837" s="3">
        <f>IF(DataTable[[#This Row],[Valor]]&gt;1,1,1)</f>
        <v>1</v>
      </c>
      <c r="U837" s="3">
        <f>angr(DataTable[[#This Row],[Sentido]],DataTable[[#This Row],[Valor]])</f>
        <v>24.844094488188976</v>
      </c>
      <c r="V837" s="3">
        <f>ANGI(DataTable[[#This Row],[Sentido]],DataTable[[#This Row],[Valor]])</f>
        <v>25.929133858267718</v>
      </c>
      <c r="W837" s="3">
        <f t="shared" ref="W837:W900" si="223">IF(A838="URUGUAI para BRASIL",IF(B837&gt;119,IF(B837&gt;240,3,2),1),IF(B837&gt;120,IF(B837&gt;240,3,2),1))</f>
        <v>3</v>
      </c>
      <c r="X837" s="3">
        <f>IF(DataTable[[#This Row],[Valor]]&gt;1,1,1)</f>
        <v>1</v>
      </c>
      <c r="Y837" s="3">
        <f t="shared" ref="Y837:Y900" si="224">IF(A838="URUGUAI para BRASIL",IF(B837&gt;119,IF(B837&gt;240,3,2),1),IF(B837&gt;120,IF(B837&gt;240,3,2),1))</f>
        <v>3</v>
      </c>
      <c r="Z837" s="3">
        <f>IF(AND(DataTable[[#This Row],[Sentido]]="URUGUAI para BRASIL",DataTable[[#This Row],[Valor]]&gt;350),1,0)</f>
        <v>1</v>
      </c>
      <c r="AA837" s="3">
        <f>IF(DataTable[[#This Row],[Valor]]&gt;1,0,0)</f>
        <v>0</v>
      </c>
    </row>
    <row r="838" spans="1:27" x14ac:dyDescent="0.25">
      <c r="A838" s="2" t="s">
        <v>18</v>
      </c>
      <c r="B838" s="2">
        <v>429</v>
      </c>
      <c r="C838" s="3">
        <f t="shared" si="210"/>
        <v>95.829602362204724</v>
      </c>
      <c r="D838" s="3">
        <f t="shared" si="211"/>
        <v>98.480271653543298</v>
      </c>
      <c r="E838" s="3">
        <f t="shared" si="212"/>
        <v>95.880271653543304</v>
      </c>
      <c r="F838" s="3">
        <f t="shared" si="213"/>
        <v>23.520000000000003</v>
      </c>
      <c r="G838" s="3">
        <f t="shared" si="214"/>
        <v>84.912732999999974</v>
      </c>
      <c r="H838" s="3">
        <f t="shared" si="215"/>
        <v>79.2</v>
      </c>
      <c r="I838" s="3"/>
      <c r="J838" s="3">
        <f t="shared" si="216"/>
        <v>91.980271653543298</v>
      </c>
      <c r="K838" s="3">
        <f t="shared" si="217"/>
        <v>98.480271653543298</v>
      </c>
      <c r="L838" s="34">
        <f t="shared" si="218"/>
        <v>95.880271653543304</v>
      </c>
      <c r="M838" s="3">
        <f t="shared" si="219"/>
        <v>-135.80000000000001</v>
      </c>
      <c r="N838" s="3">
        <f t="shared" si="220"/>
        <v>57.04</v>
      </c>
      <c r="O838" s="3"/>
      <c r="P838" s="3">
        <f t="shared" si="221"/>
        <v>131.75174803149608</v>
      </c>
      <c r="Q838" s="3">
        <f t="shared" si="222"/>
        <v>150.12874330708661</v>
      </c>
      <c r="R838" s="3">
        <f>vd(DataTable[[#This Row],[Sentido]],DataTable[[#This Row],[Valor]])</f>
        <v>146.5496062992126</v>
      </c>
      <c r="S838" s="3">
        <f>IF(DataTable[[#This Row],[Valor]]&gt;1,1,1)</f>
        <v>1</v>
      </c>
      <c r="T838" s="3">
        <f>IF(DataTable[[#This Row],[Valor]]&gt;1,1,1)</f>
        <v>1</v>
      </c>
      <c r="U838" s="3">
        <f>angr(DataTable[[#This Row],[Sentido]],DataTable[[#This Row],[Valor]])</f>
        <v>24.753543307086616</v>
      </c>
      <c r="V838" s="3">
        <f>ANGI(DataTable[[#This Row],[Sentido]],DataTable[[#This Row],[Valor]])</f>
        <v>25.842519685039374</v>
      </c>
      <c r="W838" s="3">
        <f t="shared" si="223"/>
        <v>3</v>
      </c>
      <c r="X838" s="3">
        <f>IF(DataTable[[#This Row],[Valor]]&gt;1,1,1)</f>
        <v>1</v>
      </c>
      <c r="Y838" s="3">
        <f t="shared" si="224"/>
        <v>3</v>
      </c>
      <c r="Z838" s="3">
        <f>IF(AND(DataTable[[#This Row],[Sentido]]="URUGUAI para BRASIL",DataTable[[#This Row],[Valor]]&gt;350),1,0)</f>
        <v>1</v>
      </c>
      <c r="AA838" s="3">
        <f>IF(DataTable[[#This Row],[Valor]]&gt;1,0,0)</f>
        <v>0</v>
      </c>
    </row>
    <row r="839" spans="1:27" x14ac:dyDescent="0.25">
      <c r="A839" s="2" t="s">
        <v>18</v>
      </c>
      <c r="B839" s="2">
        <v>430</v>
      </c>
      <c r="C839" s="3">
        <f t="shared" si="210"/>
        <v>95.901708661417317</v>
      </c>
      <c r="D839" s="3">
        <f t="shared" si="211"/>
        <v>98.55249606299212</v>
      </c>
      <c r="E839" s="3">
        <f t="shared" si="212"/>
        <v>95.952496062992125</v>
      </c>
      <c r="F839" s="3">
        <f t="shared" si="213"/>
        <v>23.4</v>
      </c>
      <c r="G839" s="3">
        <f t="shared" si="214"/>
        <v>85.700000000000017</v>
      </c>
      <c r="H839" s="3">
        <f t="shared" si="215"/>
        <v>79</v>
      </c>
      <c r="I839" s="3"/>
      <c r="J839" s="3">
        <f t="shared" si="216"/>
        <v>92.05249606299212</v>
      </c>
      <c r="K839" s="3">
        <f t="shared" si="217"/>
        <v>98.55249606299212</v>
      </c>
      <c r="L839" s="34">
        <f t="shared" si="218"/>
        <v>95.952496062992125</v>
      </c>
      <c r="M839" s="3">
        <f t="shared" si="219"/>
        <v>-136</v>
      </c>
      <c r="N839" s="3">
        <f t="shared" si="220"/>
        <v>56.800000000000004</v>
      </c>
      <c r="O839" s="3"/>
      <c r="P839" s="3">
        <f t="shared" si="221"/>
        <v>132.00440944881888</v>
      </c>
      <c r="Q839" s="3">
        <f t="shared" si="222"/>
        <v>150.23419212598426</v>
      </c>
      <c r="R839" s="3">
        <f>vd(DataTable[[#This Row],[Sentido]],DataTable[[#This Row],[Valor]])</f>
        <v>146.7818897637795</v>
      </c>
      <c r="S839" s="3">
        <f>IF(DataTable[[#This Row],[Valor]]&gt;1,1,1)</f>
        <v>1</v>
      </c>
      <c r="T839" s="3">
        <f>IF(DataTable[[#This Row],[Valor]]&gt;1,1,1)</f>
        <v>1</v>
      </c>
      <c r="U839" s="3">
        <f>angr(DataTable[[#This Row],[Sentido]],DataTable[[#This Row],[Valor]])</f>
        <v>24.662992125984253</v>
      </c>
      <c r="V839" s="3">
        <f>ANGI(DataTable[[#This Row],[Sentido]],DataTable[[#This Row],[Valor]])</f>
        <v>25.755905511811026</v>
      </c>
      <c r="W839" s="3">
        <f t="shared" si="223"/>
        <v>3</v>
      </c>
      <c r="X839" s="3">
        <f>IF(DataTable[[#This Row],[Valor]]&gt;1,1,1)</f>
        <v>1</v>
      </c>
      <c r="Y839" s="3">
        <f t="shared" si="224"/>
        <v>3</v>
      </c>
      <c r="Z839" s="3">
        <f>IF(AND(DataTable[[#This Row],[Sentido]]="URUGUAI para BRASIL",DataTable[[#This Row],[Valor]]&gt;350),1,0)</f>
        <v>1</v>
      </c>
      <c r="AA839" s="3">
        <f>IF(DataTable[[#This Row],[Valor]]&gt;1,0,0)</f>
        <v>0</v>
      </c>
    </row>
    <row r="840" spans="1:27" x14ac:dyDescent="0.25">
      <c r="A840" s="2" t="s">
        <v>18</v>
      </c>
      <c r="B840" s="2">
        <v>431</v>
      </c>
      <c r="C840" s="3">
        <f t="shared" si="210"/>
        <v>95.973814960629923</v>
      </c>
      <c r="D840" s="3">
        <f t="shared" si="211"/>
        <v>98.624720472440941</v>
      </c>
      <c r="E840" s="3">
        <f t="shared" si="212"/>
        <v>96.024720472440947</v>
      </c>
      <c r="F840" s="3">
        <f t="shared" si="213"/>
        <v>23.28</v>
      </c>
      <c r="G840" s="3">
        <f t="shared" si="214"/>
        <v>86.495500000000007</v>
      </c>
      <c r="H840" s="3">
        <f t="shared" si="215"/>
        <v>78.8</v>
      </c>
      <c r="I840" s="3"/>
      <c r="J840" s="3">
        <f t="shared" si="216"/>
        <v>92.124720472440941</v>
      </c>
      <c r="K840" s="3">
        <f t="shared" si="217"/>
        <v>98.624720472440941</v>
      </c>
      <c r="L840" s="34">
        <f t="shared" si="218"/>
        <v>96.024720472440947</v>
      </c>
      <c r="M840" s="3">
        <f t="shared" si="219"/>
        <v>-136.19999999999999</v>
      </c>
      <c r="N840" s="3">
        <f t="shared" si="220"/>
        <v>56.56</v>
      </c>
      <c r="O840" s="3"/>
      <c r="P840" s="3">
        <f t="shared" si="221"/>
        <v>132.25707086614173</v>
      </c>
      <c r="Q840" s="3">
        <f t="shared" si="222"/>
        <v>150.33964094488189</v>
      </c>
      <c r="R840" s="3">
        <f>vd(DataTable[[#This Row],[Sentido]],DataTable[[#This Row],[Valor]])</f>
        <v>147.01417322834644</v>
      </c>
      <c r="S840" s="3">
        <f>IF(DataTable[[#This Row],[Valor]]&gt;1,1,1)</f>
        <v>1</v>
      </c>
      <c r="T840" s="3">
        <f>IF(DataTable[[#This Row],[Valor]]&gt;1,1,1)</f>
        <v>1</v>
      </c>
      <c r="U840" s="3">
        <f>angr(DataTable[[#This Row],[Sentido]],DataTable[[#This Row],[Valor]])</f>
        <v>24.572440944881894</v>
      </c>
      <c r="V840" s="3">
        <f>ANGI(DataTable[[#This Row],[Sentido]],DataTable[[#This Row],[Valor]])</f>
        <v>25.669291338582681</v>
      </c>
      <c r="W840" s="3">
        <f t="shared" si="223"/>
        <v>3</v>
      </c>
      <c r="X840" s="3">
        <f>IF(DataTable[[#This Row],[Valor]]&gt;1,1,1)</f>
        <v>1</v>
      </c>
      <c r="Y840" s="3">
        <f t="shared" si="224"/>
        <v>3</v>
      </c>
      <c r="Z840" s="3">
        <f>IF(AND(DataTable[[#This Row],[Sentido]]="URUGUAI para BRASIL",DataTable[[#This Row],[Valor]]&gt;350),1,0)</f>
        <v>1</v>
      </c>
      <c r="AA840" s="3">
        <f>IF(DataTable[[#This Row],[Valor]]&gt;1,0,0)</f>
        <v>0</v>
      </c>
    </row>
    <row r="841" spans="1:27" x14ac:dyDescent="0.25">
      <c r="A841" s="2" t="s">
        <v>18</v>
      </c>
      <c r="B841" s="2">
        <v>432</v>
      </c>
      <c r="C841" s="3">
        <f t="shared" si="210"/>
        <v>96.04592125984253</v>
      </c>
      <c r="D841" s="3">
        <f t="shared" si="211"/>
        <v>98.696944881889763</v>
      </c>
      <c r="E841" s="3">
        <f t="shared" si="212"/>
        <v>96.096944881889769</v>
      </c>
      <c r="F841" s="3">
        <f t="shared" si="213"/>
        <v>23.160000000000004</v>
      </c>
      <c r="G841" s="3">
        <f t="shared" si="214"/>
        <v>87.291000000000011</v>
      </c>
      <c r="H841" s="3">
        <f t="shared" si="215"/>
        <v>78.599999999999994</v>
      </c>
      <c r="I841" s="3"/>
      <c r="J841" s="3">
        <f t="shared" si="216"/>
        <v>92.196944881889763</v>
      </c>
      <c r="K841" s="3">
        <f t="shared" si="217"/>
        <v>98.696944881889763</v>
      </c>
      <c r="L841" s="34">
        <f t="shared" si="218"/>
        <v>96.096944881889769</v>
      </c>
      <c r="M841" s="3">
        <f t="shared" si="219"/>
        <v>-136.4</v>
      </c>
      <c r="N841" s="3">
        <f t="shared" si="220"/>
        <v>56.32</v>
      </c>
      <c r="O841" s="3"/>
      <c r="P841" s="3">
        <f t="shared" si="221"/>
        <v>132.50973228346459</v>
      </c>
      <c r="Q841" s="3">
        <f t="shared" si="222"/>
        <v>150.44508976377955</v>
      </c>
      <c r="R841" s="3">
        <f>vd(DataTable[[#This Row],[Sentido]],DataTable[[#This Row],[Valor]])</f>
        <v>147.24645669291337</v>
      </c>
      <c r="S841" s="3">
        <f>IF(DataTable[[#This Row],[Valor]]&gt;1,1,1)</f>
        <v>1</v>
      </c>
      <c r="T841" s="3">
        <f>IF(DataTable[[#This Row],[Valor]]&gt;1,1,1)</f>
        <v>1</v>
      </c>
      <c r="U841" s="3">
        <f>angr(DataTable[[#This Row],[Sentido]],DataTable[[#This Row],[Valor]])</f>
        <v>24.481889763779524</v>
      </c>
      <c r="V841" s="3">
        <f>ANGI(DataTable[[#This Row],[Sentido]],DataTable[[#This Row],[Valor]])</f>
        <v>25.581102362204724</v>
      </c>
      <c r="W841" s="3">
        <f t="shared" si="223"/>
        <v>3</v>
      </c>
      <c r="X841" s="3">
        <f>IF(DataTable[[#This Row],[Valor]]&gt;1,1,1)</f>
        <v>1</v>
      </c>
      <c r="Y841" s="3">
        <f t="shared" si="224"/>
        <v>3</v>
      </c>
      <c r="Z841" s="3">
        <f>IF(AND(DataTable[[#This Row],[Sentido]]="URUGUAI para BRASIL",DataTable[[#This Row],[Valor]]&gt;350),1,0)</f>
        <v>1</v>
      </c>
      <c r="AA841" s="3">
        <f>IF(DataTable[[#This Row],[Valor]]&gt;1,0,0)</f>
        <v>0</v>
      </c>
    </row>
    <row r="842" spans="1:27" x14ac:dyDescent="0.25">
      <c r="A842" s="2" t="s">
        <v>18</v>
      </c>
      <c r="B842" s="2">
        <v>433</v>
      </c>
      <c r="C842" s="3">
        <f t="shared" si="210"/>
        <v>96.118027559055122</v>
      </c>
      <c r="D842" s="3">
        <f t="shared" si="211"/>
        <v>98.769169291338585</v>
      </c>
      <c r="E842" s="3">
        <f t="shared" si="212"/>
        <v>96.169169291338591</v>
      </c>
      <c r="F842" s="3">
        <f t="shared" si="213"/>
        <v>23.04</v>
      </c>
      <c r="G842" s="3">
        <f t="shared" si="214"/>
        <v>88.086500000000015</v>
      </c>
      <c r="H842" s="3">
        <f t="shared" si="215"/>
        <v>78.400000000000006</v>
      </c>
      <c r="I842" s="3"/>
      <c r="J842" s="3">
        <f t="shared" si="216"/>
        <v>92.269169291338585</v>
      </c>
      <c r="K842" s="3">
        <f t="shared" si="217"/>
        <v>98.769169291338585</v>
      </c>
      <c r="L842" s="34">
        <f t="shared" si="218"/>
        <v>96.169169291338591</v>
      </c>
      <c r="M842" s="3">
        <f t="shared" si="219"/>
        <v>-136.6</v>
      </c>
      <c r="N842" s="3">
        <f t="shared" si="220"/>
        <v>56.08</v>
      </c>
      <c r="O842" s="3"/>
      <c r="P842" s="3">
        <f t="shared" si="221"/>
        <v>132.76239370078741</v>
      </c>
      <c r="Q842" s="3">
        <f t="shared" si="222"/>
        <v>150.55053858267718</v>
      </c>
      <c r="R842" s="3">
        <f>vd(DataTable[[#This Row],[Sentido]],DataTable[[#This Row],[Valor]])</f>
        <v>147.4787401574803</v>
      </c>
      <c r="S842" s="3">
        <f>IF(DataTable[[#This Row],[Valor]]&gt;1,1,1)</f>
        <v>1</v>
      </c>
      <c r="T842" s="3">
        <f>IF(DataTable[[#This Row],[Valor]]&gt;1,1,1)</f>
        <v>1</v>
      </c>
      <c r="U842" s="3">
        <f>angr(DataTable[[#This Row],[Sentido]],DataTable[[#This Row],[Valor]])</f>
        <v>24.391338582677164</v>
      </c>
      <c r="V842" s="3">
        <f>ANGI(DataTable[[#This Row],[Sentido]],DataTable[[#This Row],[Valor]])</f>
        <v>25.486614173228347</v>
      </c>
      <c r="W842" s="3">
        <f t="shared" si="223"/>
        <v>3</v>
      </c>
      <c r="X842" s="3">
        <f>IF(DataTable[[#This Row],[Valor]]&gt;1,1,1)</f>
        <v>1</v>
      </c>
      <c r="Y842" s="3">
        <f t="shared" si="224"/>
        <v>3</v>
      </c>
      <c r="Z842" s="3">
        <f>IF(AND(DataTable[[#This Row],[Sentido]]="URUGUAI para BRASIL",DataTable[[#This Row],[Valor]]&gt;350),1,0)</f>
        <v>1</v>
      </c>
      <c r="AA842" s="3">
        <f>IF(DataTable[[#This Row],[Valor]]&gt;1,0,0)</f>
        <v>0</v>
      </c>
    </row>
    <row r="843" spans="1:27" x14ac:dyDescent="0.25">
      <c r="A843" s="2" t="s">
        <v>18</v>
      </c>
      <c r="B843" s="2">
        <v>434</v>
      </c>
      <c r="C843" s="3">
        <f t="shared" si="210"/>
        <v>96.190133858267714</v>
      </c>
      <c r="D843" s="3">
        <f t="shared" si="211"/>
        <v>98.841393700787393</v>
      </c>
      <c r="E843" s="3">
        <f t="shared" si="212"/>
        <v>96.241393700787398</v>
      </c>
      <c r="F843" s="3">
        <f t="shared" si="213"/>
        <v>22.92</v>
      </c>
      <c r="G843" s="3">
        <f t="shared" si="214"/>
        <v>88.882000000000019</v>
      </c>
      <c r="H843" s="3">
        <f t="shared" si="215"/>
        <v>78.2</v>
      </c>
      <c r="I843" s="3"/>
      <c r="J843" s="3">
        <f t="shared" si="216"/>
        <v>92.341393700787393</v>
      </c>
      <c r="K843" s="3">
        <f t="shared" si="217"/>
        <v>98.841393700787393</v>
      </c>
      <c r="L843" s="34">
        <f t="shared" si="218"/>
        <v>96.241393700787398</v>
      </c>
      <c r="M843" s="3">
        <f t="shared" si="219"/>
        <v>-136.80000000000001</v>
      </c>
      <c r="N843" s="3">
        <f t="shared" si="220"/>
        <v>55.84</v>
      </c>
      <c r="O843" s="3"/>
      <c r="P843" s="3">
        <f t="shared" si="221"/>
        <v>133.01505511811024</v>
      </c>
      <c r="Q843" s="3">
        <f t="shared" si="222"/>
        <v>150.65598740157481</v>
      </c>
      <c r="R843" s="3">
        <f>vd(DataTable[[#This Row],[Sentido]],DataTable[[#This Row],[Valor]])</f>
        <v>147.71102362204724</v>
      </c>
      <c r="S843" s="3">
        <f>IF(DataTable[[#This Row],[Valor]]&gt;1,1,1)</f>
        <v>1</v>
      </c>
      <c r="T843" s="3">
        <f>IF(DataTable[[#This Row],[Valor]]&gt;1,1,1)</f>
        <v>1</v>
      </c>
      <c r="U843" s="3">
        <f>angr(DataTable[[#This Row],[Sentido]],DataTable[[#This Row],[Valor]])</f>
        <v>24.300787401574802</v>
      </c>
      <c r="V843" s="3">
        <f>ANGI(DataTable[[#This Row],[Sentido]],DataTable[[#This Row],[Valor]])</f>
        <v>25.392125984251969</v>
      </c>
      <c r="W843" s="3">
        <f t="shared" si="223"/>
        <v>3</v>
      </c>
      <c r="X843" s="3">
        <f>IF(DataTable[[#This Row],[Valor]]&gt;1,1,1)</f>
        <v>1</v>
      </c>
      <c r="Y843" s="3">
        <f t="shared" si="224"/>
        <v>3</v>
      </c>
      <c r="Z843" s="3">
        <f>IF(AND(DataTable[[#This Row],[Sentido]]="URUGUAI para BRASIL",DataTable[[#This Row],[Valor]]&gt;350),1,0)</f>
        <v>1</v>
      </c>
      <c r="AA843" s="3">
        <f>IF(DataTable[[#This Row],[Valor]]&gt;1,0,0)</f>
        <v>0</v>
      </c>
    </row>
    <row r="844" spans="1:27" x14ac:dyDescent="0.25">
      <c r="A844" s="2" t="s">
        <v>18</v>
      </c>
      <c r="B844" s="2">
        <v>435</v>
      </c>
      <c r="C844" s="3">
        <f t="shared" si="210"/>
        <v>96.262240157480321</v>
      </c>
      <c r="D844" s="3">
        <f t="shared" si="211"/>
        <v>98.913618110236214</v>
      </c>
      <c r="E844" s="3">
        <f t="shared" si="212"/>
        <v>96.31361811023622</v>
      </c>
      <c r="F844" s="3">
        <f t="shared" si="213"/>
        <v>22.800000000000004</v>
      </c>
      <c r="G844" s="3">
        <f t="shared" si="214"/>
        <v>89.677500000000009</v>
      </c>
      <c r="H844" s="3">
        <f t="shared" si="215"/>
        <v>78</v>
      </c>
      <c r="I844" s="3"/>
      <c r="J844" s="3">
        <f t="shared" si="216"/>
        <v>92.413618110236214</v>
      </c>
      <c r="K844" s="3">
        <f t="shared" si="217"/>
        <v>98.913618110236214</v>
      </c>
      <c r="L844" s="34">
        <f t="shared" si="218"/>
        <v>96.31361811023622</v>
      </c>
      <c r="M844" s="3">
        <f t="shared" si="219"/>
        <v>-137</v>
      </c>
      <c r="N844" s="3">
        <f t="shared" si="220"/>
        <v>55.6</v>
      </c>
      <c r="O844" s="3"/>
      <c r="P844" s="3">
        <f t="shared" si="221"/>
        <v>133.26771653543307</v>
      </c>
      <c r="Q844" s="3">
        <f t="shared" si="222"/>
        <v>150.76143622047243</v>
      </c>
      <c r="R844" s="3">
        <f>vd(DataTable[[#This Row],[Sentido]],DataTable[[#This Row],[Valor]])</f>
        <v>147.94330708661417</v>
      </c>
      <c r="S844" s="3">
        <f>IF(DataTable[[#This Row],[Valor]]&gt;1,1,1)</f>
        <v>1</v>
      </c>
      <c r="T844" s="3">
        <f>IF(DataTable[[#This Row],[Valor]]&gt;1,1,1)</f>
        <v>1</v>
      </c>
      <c r="U844" s="3">
        <f>angr(DataTable[[#This Row],[Sentido]],DataTable[[#This Row],[Valor]])</f>
        <v>24.210236220472442</v>
      </c>
      <c r="V844" s="3">
        <f>ANGI(DataTable[[#This Row],[Sentido]],DataTable[[#This Row],[Valor]])</f>
        <v>25.297637795275591</v>
      </c>
      <c r="W844" s="3">
        <f t="shared" si="223"/>
        <v>3</v>
      </c>
      <c r="X844" s="3">
        <f>IF(DataTable[[#This Row],[Valor]]&gt;1,1,1)</f>
        <v>1</v>
      </c>
      <c r="Y844" s="3">
        <f t="shared" si="224"/>
        <v>3</v>
      </c>
      <c r="Z844" s="3">
        <f>IF(AND(DataTable[[#This Row],[Sentido]]="URUGUAI para BRASIL",DataTable[[#This Row],[Valor]]&gt;350),1,0)</f>
        <v>1</v>
      </c>
      <c r="AA844" s="3">
        <f>IF(DataTable[[#This Row],[Valor]]&gt;1,0,0)</f>
        <v>0</v>
      </c>
    </row>
    <row r="845" spans="1:27" x14ac:dyDescent="0.25">
      <c r="A845" s="2" t="s">
        <v>18</v>
      </c>
      <c r="B845" s="2">
        <v>436</v>
      </c>
      <c r="C845" s="3">
        <f t="shared" si="210"/>
        <v>96.334346456692913</v>
      </c>
      <c r="D845" s="3">
        <f t="shared" si="211"/>
        <v>98.985842519685036</v>
      </c>
      <c r="E845" s="3">
        <f t="shared" si="212"/>
        <v>96.385842519685042</v>
      </c>
      <c r="F845" s="3">
        <f t="shared" si="213"/>
        <v>22.68</v>
      </c>
      <c r="G845" s="3">
        <f t="shared" si="214"/>
        <v>90.473000000000013</v>
      </c>
      <c r="H845" s="3">
        <f t="shared" si="215"/>
        <v>77.8</v>
      </c>
      <c r="I845" s="3"/>
      <c r="J845" s="3">
        <f t="shared" si="216"/>
        <v>92.485842519685036</v>
      </c>
      <c r="K845" s="3">
        <f t="shared" si="217"/>
        <v>98.985842519685036</v>
      </c>
      <c r="L845" s="34">
        <f t="shared" si="218"/>
        <v>96.385842519685042</v>
      </c>
      <c r="M845" s="3">
        <f t="shared" si="219"/>
        <v>-137.19999999999999</v>
      </c>
      <c r="N845" s="3">
        <f t="shared" si="220"/>
        <v>55.36</v>
      </c>
      <c r="O845" s="3"/>
      <c r="P845" s="3">
        <f t="shared" si="221"/>
        <v>133.52037795275589</v>
      </c>
      <c r="Q845" s="3">
        <f t="shared" si="222"/>
        <v>150.86688503937006</v>
      </c>
      <c r="R845" s="3">
        <f>vd(DataTable[[#This Row],[Sentido]],DataTable[[#This Row],[Valor]])</f>
        <v>148.17559055118107</v>
      </c>
      <c r="S845" s="3">
        <f>IF(DataTable[[#This Row],[Valor]]&gt;1,1,1)</f>
        <v>1</v>
      </c>
      <c r="T845" s="3">
        <f>IF(DataTable[[#This Row],[Valor]]&gt;1,1,1)</f>
        <v>1</v>
      </c>
      <c r="U845" s="3">
        <f>angr(DataTable[[#This Row],[Sentido]],DataTable[[#This Row],[Valor]])</f>
        <v>24.119685039370079</v>
      </c>
      <c r="V845" s="3">
        <f>ANGI(DataTable[[#This Row],[Sentido]],DataTable[[#This Row],[Valor]])</f>
        <v>25.203149606299217</v>
      </c>
      <c r="W845" s="3">
        <f t="shared" si="223"/>
        <v>3</v>
      </c>
      <c r="X845" s="3">
        <f>IF(DataTable[[#This Row],[Valor]]&gt;1,1,1)</f>
        <v>1</v>
      </c>
      <c r="Y845" s="3">
        <f t="shared" si="224"/>
        <v>3</v>
      </c>
      <c r="Z845" s="3">
        <f>IF(AND(DataTable[[#This Row],[Sentido]]="URUGUAI para BRASIL",DataTable[[#This Row],[Valor]]&gt;350),1,0)</f>
        <v>1</v>
      </c>
      <c r="AA845" s="3">
        <f>IF(DataTable[[#This Row],[Valor]]&gt;1,0,0)</f>
        <v>0</v>
      </c>
    </row>
    <row r="846" spans="1:27" x14ac:dyDescent="0.25">
      <c r="A846" s="2" t="s">
        <v>18</v>
      </c>
      <c r="B846" s="2">
        <v>437</v>
      </c>
      <c r="C846" s="3">
        <f t="shared" si="210"/>
        <v>96.406452755905505</v>
      </c>
      <c r="D846" s="3">
        <f t="shared" si="211"/>
        <v>99.058066929133858</v>
      </c>
      <c r="E846" s="3">
        <f t="shared" si="212"/>
        <v>96.458066929133864</v>
      </c>
      <c r="F846" s="3">
        <f t="shared" si="213"/>
        <v>22.560000000000002</v>
      </c>
      <c r="G846" s="3">
        <f t="shared" si="214"/>
        <v>91.268500000000003</v>
      </c>
      <c r="H846" s="3">
        <f t="shared" si="215"/>
        <v>77.599999999999994</v>
      </c>
      <c r="I846" s="3"/>
      <c r="J846" s="3">
        <f t="shared" si="216"/>
        <v>92.558066929133858</v>
      </c>
      <c r="K846" s="3">
        <f t="shared" si="217"/>
        <v>99.058066929133858</v>
      </c>
      <c r="L846" s="34">
        <f t="shared" si="218"/>
        <v>96.458066929133864</v>
      </c>
      <c r="M846" s="3">
        <f t="shared" si="219"/>
        <v>-137.4</v>
      </c>
      <c r="N846" s="3">
        <f t="shared" si="220"/>
        <v>55.120000000000005</v>
      </c>
      <c r="O846" s="3"/>
      <c r="P846" s="3">
        <f t="shared" si="221"/>
        <v>133.77303937007872</v>
      </c>
      <c r="Q846" s="3">
        <f t="shared" si="222"/>
        <v>150.97233385826772</v>
      </c>
      <c r="R846" s="3">
        <f>vd(DataTable[[#This Row],[Sentido]],DataTable[[#This Row],[Valor]])</f>
        <v>148.40787401574801</v>
      </c>
      <c r="S846" s="3">
        <f>IF(DataTable[[#This Row],[Valor]]&gt;1,1,1)</f>
        <v>1</v>
      </c>
      <c r="T846" s="3">
        <f>IF(DataTable[[#This Row],[Valor]]&gt;1,1,1)</f>
        <v>1</v>
      </c>
      <c r="U846" s="3">
        <f>angr(DataTable[[#This Row],[Sentido]],DataTable[[#This Row],[Valor]])</f>
        <v>24.02913385826772</v>
      </c>
      <c r="V846" s="3">
        <f>ANGI(DataTable[[#This Row],[Sentido]],DataTable[[#This Row],[Valor]])</f>
        <v>25.108661417322839</v>
      </c>
      <c r="W846" s="3">
        <f t="shared" si="223"/>
        <v>3</v>
      </c>
      <c r="X846" s="3">
        <f>IF(DataTable[[#This Row],[Valor]]&gt;1,1,1)</f>
        <v>1</v>
      </c>
      <c r="Y846" s="3">
        <f t="shared" si="224"/>
        <v>3</v>
      </c>
      <c r="Z846" s="3">
        <f>IF(AND(DataTable[[#This Row],[Sentido]]="URUGUAI para BRASIL",DataTable[[#This Row],[Valor]]&gt;350),1,0)</f>
        <v>1</v>
      </c>
      <c r="AA846" s="3">
        <f>IF(DataTable[[#This Row],[Valor]]&gt;1,0,0)</f>
        <v>0</v>
      </c>
    </row>
    <row r="847" spans="1:27" x14ac:dyDescent="0.25">
      <c r="A847" s="2" t="s">
        <v>18</v>
      </c>
      <c r="B847" s="2">
        <v>438</v>
      </c>
      <c r="C847" s="3">
        <f t="shared" si="210"/>
        <v>96.478559055118112</v>
      </c>
      <c r="D847" s="3">
        <f t="shared" si="211"/>
        <v>99.13029133858268</v>
      </c>
      <c r="E847" s="3">
        <f t="shared" si="212"/>
        <v>96.530291338582686</v>
      </c>
      <c r="F847" s="3">
        <f t="shared" si="213"/>
        <v>22.439999999999998</v>
      </c>
      <c r="G847" s="3">
        <f t="shared" si="214"/>
        <v>92.064000000000021</v>
      </c>
      <c r="H847" s="3">
        <f t="shared" si="215"/>
        <v>77.400000000000006</v>
      </c>
      <c r="I847" s="3"/>
      <c r="J847" s="3">
        <f t="shared" si="216"/>
        <v>92.63029133858268</v>
      </c>
      <c r="K847" s="3">
        <f t="shared" si="217"/>
        <v>99.13029133858268</v>
      </c>
      <c r="L847" s="34">
        <f t="shared" si="218"/>
        <v>96.530291338582686</v>
      </c>
      <c r="M847" s="3">
        <f t="shared" si="219"/>
        <v>-137.6</v>
      </c>
      <c r="N847" s="3">
        <f t="shared" si="220"/>
        <v>54.88</v>
      </c>
      <c r="O847" s="3"/>
      <c r="P847" s="3">
        <f t="shared" si="221"/>
        <v>134.0257007874016</v>
      </c>
      <c r="Q847" s="3">
        <f t="shared" si="222"/>
        <v>151.07778267716535</v>
      </c>
      <c r="R847" s="3">
        <f>vd(DataTable[[#This Row],[Sentido]],DataTable[[#This Row],[Valor]])</f>
        <v>148.64015748031497</v>
      </c>
      <c r="S847" s="3">
        <f>IF(DataTable[[#This Row],[Valor]]&gt;1,1,1)</f>
        <v>1</v>
      </c>
      <c r="T847" s="3">
        <f>IF(DataTable[[#This Row],[Valor]]&gt;1,1,1)</f>
        <v>1</v>
      </c>
      <c r="U847" s="3">
        <f>angr(DataTable[[#This Row],[Sentido]],DataTable[[#This Row],[Valor]])</f>
        <v>23.93858267716535</v>
      </c>
      <c r="V847" s="3">
        <f>ANGI(DataTable[[#This Row],[Sentido]],DataTable[[#This Row],[Valor]])</f>
        <v>25.014173228346454</v>
      </c>
      <c r="W847" s="3">
        <f t="shared" si="223"/>
        <v>3</v>
      </c>
      <c r="X847" s="3">
        <f>IF(DataTable[[#This Row],[Valor]]&gt;1,1,1)</f>
        <v>1</v>
      </c>
      <c r="Y847" s="3">
        <f t="shared" si="224"/>
        <v>3</v>
      </c>
      <c r="Z847" s="3">
        <f>IF(AND(DataTable[[#This Row],[Sentido]]="URUGUAI para BRASIL",DataTable[[#This Row],[Valor]]&gt;350),1,0)</f>
        <v>1</v>
      </c>
      <c r="AA847" s="3">
        <f>IF(DataTable[[#This Row],[Valor]]&gt;1,0,0)</f>
        <v>0</v>
      </c>
    </row>
    <row r="848" spans="1:27" x14ac:dyDescent="0.25">
      <c r="A848" s="2" t="s">
        <v>18</v>
      </c>
      <c r="B848" s="2">
        <v>439</v>
      </c>
      <c r="C848" s="3">
        <f t="shared" si="210"/>
        <v>96.550665354330718</v>
      </c>
      <c r="D848" s="3">
        <f t="shared" si="211"/>
        <v>99.202515748031487</v>
      </c>
      <c r="E848" s="3">
        <f t="shared" si="212"/>
        <v>96.602515748031493</v>
      </c>
      <c r="F848" s="3">
        <f t="shared" si="213"/>
        <v>22.32</v>
      </c>
      <c r="G848" s="3">
        <f t="shared" si="214"/>
        <v>92.859500000000011</v>
      </c>
      <c r="H848" s="3">
        <f t="shared" si="215"/>
        <v>77.2</v>
      </c>
      <c r="I848" s="3"/>
      <c r="J848" s="3">
        <f t="shared" si="216"/>
        <v>92.702515748031487</v>
      </c>
      <c r="K848" s="3">
        <f t="shared" si="217"/>
        <v>99.202515748031487</v>
      </c>
      <c r="L848" s="34">
        <f t="shared" si="218"/>
        <v>96.602515748031493</v>
      </c>
      <c r="M848" s="3">
        <f t="shared" si="219"/>
        <v>-137.80000000000001</v>
      </c>
      <c r="N848" s="3">
        <f t="shared" si="220"/>
        <v>54.64</v>
      </c>
      <c r="O848" s="3"/>
      <c r="P848" s="3">
        <f t="shared" si="221"/>
        <v>134.2783622047244</v>
      </c>
      <c r="Q848" s="3">
        <f t="shared" si="222"/>
        <v>151.183231496063</v>
      </c>
      <c r="R848" s="3">
        <f>vd(DataTable[[#This Row],[Sentido]],DataTable[[#This Row],[Valor]])</f>
        <v>148.87244094488187</v>
      </c>
      <c r="S848" s="3">
        <f>IF(DataTable[[#This Row],[Valor]]&gt;1,1,1)</f>
        <v>1</v>
      </c>
      <c r="T848" s="3">
        <f>IF(DataTable[[#This Row],[Valor]]&gt;1,1,1)</f>
        <v>1</v>
      </c>
      <c r="U848" s="3">
        <f>angr(DataTable[[#This Row],[Sentido]],DataTable[[#This Row],[Valor]])</f>
        <v>23.84803149606299</v>
      </c>
      <c r="V848" s="3">
        <f>ANGI(DataTable[[#This Row],[Sentido]],DataTable[[#This Row],[Valor]])</f>
        <v>24.919685039370076</v>
      </c>
      <c r="W848" s="3">
        <f t="shared" si="223"/>
        <v>3</v>
      </c>
      <c r="X848" s="3">
        <f>IF(DataTable[[#This Row],[Valor]]&gt;1,1,1)</f>
        <v>1</v>
      </c>
      <c r="Y848" s="3">
        <f t="shared" si="224"/>
        <v>3</v>
      </c>
      <c r="Z848" s="3">
        <f>IF(AND(DataTable[[#This Row],[Sentido]]="URUGUAI para BRASIL",DataTable[[#This Row],[Valor]]&gt;350),1,0)</f>
        <v>1</v>
      </c>
      <c r="AA848" s="3">
        <f>IF(DataTable[[#This Row],[Valor]]&gt;1,0,0)</f>
        <v>0</v>
      </c>
    </row>
    <row r="849" spans="1:27" x14ac:dyDescent="0.25">
      <c r="A849" s="2" t="s">
        <v>18</v>
      </c>
      <c r="B849" s="2">
        <v>440</v>
      </c>
      <c r="C849" s="3">
        <f t="shared" si="210"/>
        <v>96.62277165354331</v>
      </c>
      <c r="D849" s="3">
        <f t="shared" si="211"/>
        <v>99.274740157480309</v>
      </c>
      <c r="E849" s="3">
        <f t="shared" si="212"/>
        <v>96.674740157480315</v>
      </c>
      <c r="F849" s="3">
        <f t="shared" si="213"/>
        <v>22.200000000000003</v>
      </c>
      <c r="G849" s="3">
        <f t="shared" si="214"/>
        <v>93.685200000000037</v>
      </c>
      <c r="H849" s="3">
        <f t="shared" si="215"/>
        <v>77</v>
      </c>
      <c r="I849" s="3"/>
      <c r="J849" s="3">
        <f t="shared" si="216"/>
        <v>92.774740157480309</v>
      </c>
      <c r="K849" s="3">
        <f t="shared" si="217"/>
        <v>99.274740157480309</v>
      </c>
      <c r="L849" s="34">
        <f t="shared" si="218"/>
        <v>96.674740157480315</v>
      </c>
      <c r="M849" s="3">
        <f t="shared" si="219"/>
        <v>-138</v>
      </c>
      <c r="N849" s="3">
        <f t="shared" si="220"/>
        <v>54.4</v>
      </c>
      <c r="O849" s="3"/>
      <c r="P849" s="3">
        <f t="shared" si="221"/>
        <v>134.53102362204726</v>
      </c>
      <c r="Q849" s="3">
        <f t="shared" si="222"/>
        <v>151.28868031496063</v>
      </c>
      <c r="R849" s="3">
        <f>vd(DataTable[[#This Row],[Sentido]],DataTable[[#This Row],[Valor]])</f>
        <v>149.10472440944881</v>
      </c>
      <c r="S849" s="3">
        <f>IF(DataTable[[#This Row],[Valor]]&gt;1,1,1)</f>
        <v>1</v>
      </c>
      <c r="T849" s="3">
        <f>IF(DataTable[[#This Row],[Valor]]&gt;1,1,1)</f>
        <v>1</v>
      </c>
      <c r="U849" s="3">
        <f>angr(DataTable[[#This Row],[Sentido]],DataTable[[#This Row],[Valor]])</f>
        <v>23.757480314960628</v>
      </c>
      <c r="V849" s="3">
        <f>ANGI(DataTable[[#This Row],[Sentido]],DataTable[[#This Row],[Valor]])</f>
        <v>24.825196850393702</v>
      </c>
      <c r="W849" s="3">
        <f t="shared" si="223"/>
        <v>3</v>
      </c>
      <c r="X849" s="3">
        <f>IF(DataTable[[#This Row],[Valor]]&gt;1,1,1)</f>
        <v>1</v>
      </c>
      <c r="Y849" s="3">
        <f t="shared" si="224"/>
        <v>3</v>
      </c>
      <c r="Z849" s="3">
        <f>IF(AND(DataTable[[#This Row],[Sentido]]="URUGUAI para BRASIL",DataTable[[#This Row],[Valor]]&gt;350),1,0)</f>
        <v>1</v>
      </c>
      <c r="AA849" s="3">
        <f>IF(DataTable[[#This Row],[Valor]]&gt;1,0,0)</f>
        <v>0</v>
      </c>
    </row>
    <row r="850" spans="1:27" x14ac:dyDescent="0.25">
      <c r="A850" s="2" t="s">
        <v>18</v>
      </c>
      <c r="B850" s="2">
        <v>441</v>
      </c>
      <c r="C850" s="3">
        <f t="shared" si="210"/>
        <v>96.694877952755903</v>
      </c>
      <c r="D850" s="3">
        <f t="shared" si="211"/>
        <v>99.346964566929131</v>
      </c>
      <c r="E850" s="3">
        <f t="shared" si="212"/>
        <v>96.746964566929137</v>
      </c>
      <c r="F850" s="3">
        <f t="shared" si="213"/>
        <v>22.08</v>
      </c>
      <c r="G850" s="3">
        <f t="shared" si="214"/>
        <v>94.48353000000003</v>
      </c>
      <c r="H850" s="3">
        <f t="shared" si="215"/>
        <v>76.8</v>
      </c>
      <c r="I850" s="3"/>
      <c r="J850" s="3">
        <f t="shared" si="216"/>
        <v>92.846964566929131</v>
      </c>
      <c r="K850" s="3">
        <f t="shared" si="217"/>
        <v>99.346964566929131</v>
      </c>
      <c r="L850" s="34">
        <f t="shared" si="218"/>
        <v>96.746964566929137</v>
      </c>
      <c r="M850" s="3">
        <f t="shared" si="219"/>
        <v>-138.19999999999999</v>
      </c>
      <c r="N850" s="3">
        <f t="shared" si="220"/>
        <v>54.160000000000004</v>
      </c>
      <c r="O850" s="3"/>
      <c r="P850" s="3">
        <f t="shared" si="221"/>
        <v>134.78368503937008</v>
      </c>
      <c r="Q850" s="3">
        <f t="shared" si="222"/>
        <v>151.39412913385826</v>
      </c>
      <c r="R850" s="3">
        <f>vd(DataTable[[#This Row],[Sentido]],DataTable[[#This Row],[Valor]])</f>
        <v>149.33700787401574</v>
      </c>
      <c r="S850" s="3">
        <f>IF(DataTable[[#This Row],[Valor]]&gt;1,1,1)</f>
        <v>1</v>
      </c>
      <c r="T850" s="3">
        <f>IF(DataTable[[#This Row],[Valor]]&gt;1,1,1)</f>
        <v>1</v>
      </c>
      <c r="U850" s="3">
        <f>angr(DataTable[[#This Row],[Sentido]],DataTable[[#This Row],[Valor]])</f>
        <v>23.666929133858268</v>
      </c>
      <c r="V850" s="3">
        <f>ANGI(DataTable[[#This Row],[Sentido]],DataTable[[#This Row],[Valor]])</f>
        <v>24.730708661417324</v>
      </c>
      <c r="W850" s="3">
        <f t="shared" si="223"/>
        <v>3</v>
      </c>
      <c r="X850" s="3">
        <f>IF(DataTable[[#This Row],[Valor]]&gt;1,1,1)</f>
        <v>1</v>
      </c>
      <c r="Y850" s="3">
        <f t="shared" si="224"/>
        <v>3</v>
      </c>
      <c r="Z850" s="3">
        <f>IF(AND(DataTable[[#This Row],[Sentido]]="URUGUAI para BRASIL",DataTable[[#This Row],[Valor]]&gt;350),1,0)</f>
        <v>1</v>
      </c>
      <c r="AA850" s="3">
        <f>IF(DataTable[[#This Row],[Valor]]&gt;1,0,0)</f>
        <v>0</v>
      </c>
    </row>
    <row r="851" spans="1:27" x14ac:dyDescent="0.25">
      <c r="A851" s="2" t="s">
        <v>18</v>
      </c>
      <c r="B851" s="2">
        <v>442</v>
      </c>
      <c r="C851" s="3">
        <f t="shared" si="210"/>
        <v>96.766984251968509</v>
      </c>
      <c r="D851" s="3">
        <f t="shared" si="211"/>
        <v>99.419188976377953</v>
      </c>
      <c r="E851" s="3">
        <f t="shared" si="212"/>
        <v>96.819188976377959</v>
      </c>
      <c r="F851" s="3">
        <f t="shared" si="213"/>
        <v>21.96</v>
      </c>
      <c r="G851" s="3">
        <f t="shared" si="214"/>
        <v>95.281860000000037</v>
      </c>
      <c r="H851" s="3">
        <f t="shared" si="215"/>
        <v>76.599999999999994</v>
      </c>
      <c r="I851" s="3"/>
      <c r="J851" s="3">
        <f t="shared" si="216"/>
        <v>92.919188976377953</v>
      </c>
      <c r="K851" s="3">
        <f t="shared" si="217"/>
        <v>99.419188976377953</v>
      </c>
      <c r="L851" s="34">
        <f t="shared" si="218"/>
        <v>96.819188976377959</v>
      </c>
      <c r="M851" s="3">
        <f t="shared" si="219"/>
        <v>-138.4</v>
      </c>
      <c r="N851" s="3">
        <f t="shared" si="220"/>
        <v>53.92</v>
      </c>
      <c r="O851" s="3"/>
      <c r="P851" s="3">
        <f t="shared" si="221"/>
        <v>135.03634645669291</v>
      </c>
      <c r="Q851" s="3">
        <f t="shared" si="222"/>
        <v>151.49957795275591</v>
      </c>
      <c r="R851" s="3">
        <f>vd(DataTable[[#This Row],[Sentido]],DataTable[[#This Row],[Valor]])</f>
        <v>149.56929133858267</v>
      </c>
      <c r="S851" s="3">
        <f>IF(DataTable[[#This Row],[Valor]]&gt;1,1,1)</f>
        <v>1</v>
      </c>
      <c r="T851" s="3">
        <f>IF(DataTable[[#This Row],[Valor]]&gt;1,1,1)</f>
        <v>1</v>
      </c>
      <c r="U851" s="3">
        <f>angr(DataTable[[#This Row],[Sentido]],DataTable[[#This Row],[Valor]])</f>
        <v>23.576377952755905</v>
      </c>
      <c r="V851" s="3">
        <f>ANGI(DataTable[[#This Row],[Sentido]],DataTable[[#This Row],[Valor]])</f>
        <v>24.636220472440947</v>
      </c>
      <c r="W851" s="3">
        <f t="shared" si="223"/>
        <v>3</v>
      </c>
      <c r="X851" s="3">
        <f>IF(DataTable[[#This Row],[Valor]]&gt;1,1,1)</f>
        <v>1</v>
      </c>
      <c r="Y851" s="3">
        <f t="shared" si="224"/>
        <v>3</v>
      </c>
      <c r="Z851" s="3">
        <f>IF(AND(DataTable[[#This Row],[Sentido]]="URUGUAI para BRASIL",DataTable[[#This Row],[Valor]]&gt;350),1,0)</f>
        <v>1</v>
      </c>
      <c r="AA851" s="3">
        <f>IF(DataTable[[#This Row],[Valor]]&gt;1,0,0)</f>
        <v>0</v>
      </c>
    </row>
    <row r="852" spans="1:27" x14ac:dyDescent="0.25">
      <c r="A852" s="2" t="s">
        <v>18</v>
      </c>
      <c r="B852" s="2">
        <v>443</v>
      </c>
      <c r="C852" s="3">
        <f t="shared" si="210"/>
        <v>96.839090551181101</v>
      </c>
      <c r="D852" s="3">
        <f t="shared" si="211"/>
        <v>99.49141338582676</v>
      </c>
      <c r="E852" s="3">
        <f t="shared" si="212"/>
        <v>96.891413385826766</v>
      </c>
      <c r="F852" s="3">
        <f t="shared" si="213"/>
        <v>21.840000000000003</v>
      </c>
      <c r="G852" s="3">
        <f t="shared" si="214"/>
        <v>96.080190000000044</v>
      </c>
      <c r="H852" s="3">
        <f t="shared" si="215"/>
        <v>76.400000000000006</v>
      </c>
      <c r="I852" s="3"/>
      <c r="J852" s="3">
        <f t="shared" si="216"/>
        <v>92.99141338582676</v>
      </c>
      <c r="K852" s="3">
        <f t="shared" si="217"/>
        <v>99.49141338582676</v>
      </c>
      <c r="L852" s="34">
        <f t="shared" si="218"/>
        <v>96.891413385826766</v>
      </c>
      <c r="M852" s="3">
        <f t="shared" si="219"/>
        <v>-138.6</v>
      </c>
      <c r="N852" s="3">
        <f t="shared" si="220"/>
        <v>53.68</v>
      </c>
      <c r="O852" s="3"/>
      <c r="P852" s="3">
        <f t="shared" si="221"/>
        <v>135.28900787401574</v>
      </c>
      <c r="Q852" s="3">
        <f t="shared" si="222"/>
        <v>151.60502677165354</v>
      </c>
      <c r="R852" s="3">
        <f>vd(DataTable[[#This Row],[Sentido]],DataTable[[#This Row],[Valor]])</f>
        <v>149.80157480314961</v>
      </c>
      <c r="S852" s="3">
        <f>IF(DataTable[[#This Row],[Valor]]&gt;1,1,1)</f>
        <v>1</v>
      </c>
      <c r="T852" s="3">
        <f>IF(DataTable[[#This Row],[Valor]]&gt;1,1,1)</f>
        <v>1</v>
      </c>
      <c r="U852" s="3">
        <f>angr(DataTable[[#This Row],[Sentido]],DataTable[[#This Row],[Valor]])</f>
        <v>23.485826771653546</v>
      </c>
      <c r="V852" s="3">
        <f>ANGI(DataTable[[#This Row],[Sentido]],DataTable[[#This Row],[Valor]])</f>
        <v>24.541732283464569</v>
      </c>
      <c r="W852" s="3">
        <f t="shared" si="223"/>
        <v>3</v>
      </c>
      <c r="X852" s="3">
        <f>IF(DataTable[[#This Row],[Valor]]&gt;1,1,1)</f>
        <v>1</v>
      </c>
      <c r="Y852" s="3">
        <f t="shared" si="224"/>
        <v>3</v>
      </c>
      <c r="Z852" s="3">
        <f>IF(AND(DataTable[[#This Row],[Sentido]]="URUGUAI para BRASIL",DataTable[[#This Row],[Valor]]&gt;350),1,0)</f>
        <v>1</v>
      </c>
      <c r="AA852" s="3">
        <f>IF(DataTable[[#This Row],[Valor]]&gt;1,0,0)</f>
        <v>0</v>
      </c>
    </row>
    <row r="853" spans="1:27" x14ac:dyDescent="0.25">
      <c r="A853" s="2" t="s">
        <v>18</v>
      </c>
      <c r="B853" s="2">
        <v>444</v>
      </c>
      <c r="C853" s="3">
        <f t="shared" si="210"/>
        <v>96.911196850393694</v>
      </c>
      <c r="D853" s="3">
        <f t="shared" si="211"/>
        <v>99.563637795275582</v>
      </c>
      <c r="E853" s="3">
        <f t="shared" si="212"/>
        <v>96.963637795275588</v>
      </c>
      <c r="F853" s="3">
        <f t="shared" si="213"/>
        <v>21.72</v>
      </c>
      <c r="G853" s="3">
        <f t="shared" si="214"/>
        <v>96.878520000000037</v>
      </c>
      <c r="H853" s="3">
        <f t="shared" si="215"/>
        <v>76.2</v>
      </c>
      <c r="I853" s="3"/>
      <c r="J853" s="3">
        <f t="shared" si="216"/>
        <v>93.063637795275582</v>
      </c>
      <c r="K853" s="3">
        <f t="shared" si="217"/>
        <v>99.563637795275582</v>
      </c>
      <c r="L853" s="34">
        <f t="shared" si="218"/>
        <v>96.963637795275588</v>
      </c>
      <c r="M853" s="3">
        <f t="shared" si="219"/>
        <v>-138.80000000000001</v>
      </c>
      <c r="N853" s="3">
        <f t="shared" si="220"/>
        <v>53.440000000000005</v>
      </c>
      <c r="O853" s="3"/>
      <c r="P853" s="3">
        <f t="shared" si="221"/>
        <v>135.54166929133856</v>
      </c>
      <c r="Q853" s="3">
        <f t="shared" si="222"/>
        <v>151.7104755905512</v>
      </c>
      <c r="R853" s="3">
        <f>vd(DataTable[[#This Row],[Sentido]],DataTable[[#This Row],[Valor]])</f>
        <v>150.03385826771651</v>
      </c>
      <c r="S853" s="3">
        <f>IF(DataTable[[#This Row],[Valor]]&gt;1,1,1)</f>
        <v>1</v>
      </c>
      <c r="T853" s="3">
        <f>IF(DataTable[[#This Row],[Valor]]&gt;1,1,1)</f>
        <v>1</v>
      </c>
      <c r="U853" s="3">
        <f>angr(DataTable[[#This Row],[Sentido]],DataTable[[#This Row],[Valor]])</f>
        <v>23.395275590551183</v>
      </c>
      <c r="V853" s="3">
        <f>ANGI(DataTable[[#This Row],[Sentido]],DataTable[[#This Row],[Valor]])</f>
        <v>24.447244094488191</v>
      </c>
      <c r="W853" s="3">
        <f t="shared" si="223"/>
        <v>3</v>
      </c>
      <c r="X853" s="3">
        <f>IF(DataTable[[#This Row],[Valor]]&gt;1,1,1)</f>
        <v>1</v>
      </c>
      <c r="Y853" s="3">
        <f t="shared" si="224"/>
        <v>3</v>
      </c>
      <c r="Z853" s="3">
        <f>IF(AND(DataTable[[#This Row],[Sentido]]="URUGUAI para BRASIL",DataTable[[#This Row],[Valor]]&gt;350),1,0)</f>
        <v>1</v>
      </c>
      <c r="AA853" s="3">
        <f>IF(DataTable[[#This Row],[Valor]]&gt;1,0,0)</f>
        <v>0</v>
      </c>
    </row>
    <row r="854" spans="1:27" x14ac:dyDescent="0.25">
      <c r="A854" s="2" t="s">
        <v>18</v>
      </c>
      <c r="B854" s="2">
        <v>445</v>
      </c>
      <c r="C854" s="3">
        <f t="shared" si="210"/>
        <v>96.9833031496063</v>
      </c>
      <c r="D854" s="3">
        <f t="shared" si="211"/>
        <v>99.635862204724404</v>
      </c>
      <c r="E854" s="3">
        <f t="shared" si="212"/>
        <v>97.03586220472441</v>
      </c>
      <c r="F854" s="3">
        <f t="shared" si="213"/>
        <v>21.6</v>
      </c>
      <c r="G854" s="3">
        <f t="shared" si="214"/>
        <v>97.67685000000003</v>
      </c>
      <c r="H854" s="3">
        <f t="shared" si="215"/>
        <v>76</v>
      </c>
      <c r="I854" s="3"/>
      <c r="J854" s="3">
        <f t="shared" si="216"/>
        <v>93.135862204724404</v>
      </c>
      <c r="K854" s="3">
        <f t="shared" si="217"/>
        <v>99.635862204724404</v>
      </c>
      <c r="L854" s="34">
        <f t="shared" si="218"/>
        <v>97.03586220472441</v>
      </c>
      <c r="M854" s="3">
        <f t="shared" si="219"/>
        <v>-139</v>
      </c>
      <c r="N854" s="3">
        <f t="shared" si="220"/>
        <v>53.2</v>
      </c>
      <c r="O854" s="3"/>
      <c r="P854" s="3">
        <f t="shared" si="221"/>
        <v>135.79433070866145</v>
      </c>
      <c r="Q854" s="3">
        <f t="shared" si="222"/>
        <v>151.81592440944883</v>
      </c>
      <c r="R854" s="3">
        <f>vd(DataTable[[#This Row],[Sentido]],DataTable[[#This Row],[Valor]])</f>
        <v>150.26614173228347</v>
      </c>
      <c r="S854" s="3">
        <f>IF(DataTable[[#This Row],[Valor]]&gt;1,1,1)</f>
        <v>1</v>
      </c>
      <c r="T854" s="3">
        <f>IF(DataTable[[#This Row],[Valor]]&gt;1,1,1)</f>
        <v>1</v>
      </c>
      <c r="U854" s="3">
        <f>angr(DataTable[[#This Row],[Sentido]],DataTable[[#This Row],[Valor]])</f>
        <v>23.304724409448816</v>
      </c>
      <c r="V854" s="3">
        <f>ANGI(DataTable[[#This Row],[Sentido]],DataTable[[#This Row],[Valor]])</f>
        <v>24.35275590551181</v>
      </c>
      <c r="W854" s="3">
        <f t="shared" si="223"/>
        <v>3</v>
      </c>
      <c r="X854" s="3">
        <f>IF(DataTable[[#This Row],[Valor]]&gt;1,1,1)</f>
        <v>1</v>
      </c>
      <c r="Y854" s="3">
        <f t="shared" si="224"/>
        <v>3</v>
      </c>
      <c r="Z854" s="3">
        <f>IF(AND(DataTable[[#This Row],[Sentido]]="URUGUAI para BRASIL",DataTable[[#This Row],[Valor]]&gt;350),1,0)</f>
        <v>1</v>
      </c>
      <c r="AA854" s="3">
        <f>IF(DataTable[[#This Row],[Valor]]&gt;1,0,0)</f>
        <v>0</v>
      </c>
    </row>
    <row r="855" spans="1:27" x14ac:dyDescent="0.25">
      <c r="A855" s="2" t="s">
        <v>18</v>
      </c>
      <c r="B855" s="2">
        <v>446</v>
      </c>
      <c r="C855" s="3">
        <f t="shared" si="210"/>
        <v>97.055409448818907</v>
      </c>
      <c r="D855" s="3">
        <f t="shared" si="211"/>
        <v>99.708086614173226</v>
      </c>
      <c r="E855" s="3">
        <f t="shared" si="212"/>
        <v>97.108086614173232</v>
      </c>
      <c r="F855" s="3">
        <f t="shared" si="213"/>
        <v>21.480000000000004</v>
      </c>
      <c r="G855" s="3">
        <f t="shared" si="214"/>
        <v>98.475180000000037</v>
      </c>
      <c r="H855" s="3">
        <f t="shared" si="215"/>
        <v>75.8</v>
      </c>
      <c r="I855" s="3"/>
      <c r="J855" s="3">
        <f t="shared" si="216"/>
        <v>93.208086614173226</v>
      </c>
      <c r="K855" s="3">
        <f t="shared" si="217"/>
        <v>99.708086614173226</v>
      </c>
      <c r="L855" s="34">
        <f t="shared" si="218"/>
        <v>97.108086614173232</v>
      </c>
      <c r="M855" s="3">
        <f t="shared" si="219"/>
        <v>-139.19999999999999</v>
      </c>
      <c r="N855" s="3">
        <f t="shared" si="220"/>
        <v>52.96</v>
      </c>
      <c r="O855" s="3"/>
      <c r="P855" s="3">
        <f t="shared" si="221"/>
        <v>136.04699212598425</v>
      </c>
      <c r="Q855" s="3">
        <f t="shared" si="222"/>
        <v>151.92137322834645</v>
      </c>
      <c r="R855" s="3">
        <f>vd(DataTable[[#This Row],[Sentido]],DataTable[[#This Row],[Valor]])</f>
        <v>150.49842519685038</v>
      </c>
      <c r="S855" s="3">
        <f>IF(DataTable[[#This Row],[Valor]]&gt;1,1,1)</f>
        <v>1</v>
      </c>
      <c r="T855" s="3">
        <f>IF(DataTable[[#This Row],[Valor]]&gt;1,1,1)</f>
        <v>1</v>
      </c>
      <c r="U855" s="3">
        <f>angr(DataTable[[#This Row],[Sentido]],DataTable[[#This Row],[Valor]])</f>
        <v>23.214173228346453</v>
      </c>
      <c r="V855" s="3">
        <f>ANGI(DataTable[[#This Row],[Sentido]],DataTable[[#This Row],[Valor]])</f>
        <v>24.258267716535432</v>
      </c>
      <c r="W855" s="3">
        <f t="shared" si="223"/>
        <v>3</v>
      </c>
      <c r="X855" s="3">
        <f>IF(DataTable[[#This Row],[Valor]]&gt;1,1,1)</f>
        <v>1</v>
      </c>
      <c r="Y855" s="3">
        <f t="shared" si="224"/>
        <v>3</v>
      </c>
      <c r="Z855" s="3">
        <f>IF(AND(DataTable[[#This Row],[Sentido]]="URUGUAI para BRASIL",DataTable[[#This Row],[Valor]]&gt;350),1,0)</f>
        <v>1</v>
      </c>
      <c r="AA855" s="3">
        <f>IF(DataTable[[#This Row],[Valor]]&gt;1,0,0)</f>
        <v>0</v>
      </c>
    </row>
    <row r="856" spans="1:27" x14ac:dyDescent="0.25">
      <c r="A856" s="2" t="s">
        <v>18</v>
      </c>
      <c r="B856" s="2">
        <v>447</v>
      </c>
      <c r="C856" s="3">
        <f t="shared" si="210"/>
        <v>97.127515748031499</v>
      </c>
      <c r="D856" s="3">
        <f t="shared" si="211"/>
        <v>99.780311023622048</v>
      </c>
      <c r="E856" s="3">
        <f t="shared" si="212"/>
        <v>97.180311023622053</v>
      </c>
      <c r="F856" s="3">
        <f t="shared" si="213"/>
        <v>21.36</v>
      </c>
      <c r="G856" s="3">
        <f t="shared" si="214"/>
        <v>99.27351000000003</v>
      </c>
      <c r="H856" s="3">
        <f t="shared" si="215"/>
        <v>75.599999999999994</v>
      </c>
      <c r="I856" s="3"/>
      <c r="J856" s="3">
        <f t="shared" si="216"/>
        <v>93.280311023622048</v>
      </c>
      <c r="K856" s="3">
        <f t="shared" si="217"/>
        <v>99.780311023622048</v>
      </c>
      <c r="L856" s="34">
        <f t="shared" si="218"/>
        <v>97.180311023622053</v>
      </c>
      <c r="M856" s="3">
        <f t="shared" si="219"/>
        <v>-139.4</v>
      </c>
      <c r="N856" s="3">
        <f t="shared" si="220"/>
        <v>52.72</v>
      </c>
      <c r="O856" s="3"/>
      <c r="P856" s="3">
        <f t="shared" si="221"/>
        <v>136.2996535433071</v>
      </c>
      <c r="Q856" s="3">
        <f t="shared" si="222"/>
        <v>152.02682204724411</v>
      </c>
      <c r="R856" s="3">
        <f>vd(DataTable[[#This Row],[Sentido]],DataTable[[#This Row],[Valor]])</f>
        <v>150.73070866141731</v>
      </c>
      <c r="S856" s="3">
        <f>IF(DataTable[[#This Row],[Valor]]&gt;1,1,1)</f>
        <v>1</v>
      </c>
      <c r="T856" s="3">
        <f>IF(DataTable[[#This Row],[Valor]]&gt;1,1,1)</f>
        <v>1</v>
      </c>
      <c r="U856" s="3">
        <f>angr(DataTable[[#This Row],[Sentido]],DataTable[[#This Row],[Valor]])</f>
        <v>23.123622047244094</v>
      </c>
      <c r="V856" s="3">
        <f>ANGI(DataTable[[#This Row],[Sentido]],DataTable[[#This Row],[Valor]])</f>
        <v>24.163779527559054</v>
      </c>
      <c r="W856" s="3">
        <f t="shared" si="223"/>
        <v>3</v>
      </c>
      <c r="X856" s="3">
        <f>IF(DataTable[[#This Row],[Valor]]&gt;1,1,1)</f>
        <v>1</v>
      </c>
      <c r="Y856" s="3">
        <f t="shared" si="224"/>
        <v>3</v>
      </c>
      <c r="Z856" s="3">
        <f>IF(AND(DataTable[[#This Row],[Sentido]]="URUGUAI para BRASIL",DataTable[[#This Row],[Valor]]&gt;350),1,0)</f>
        <v>1</v>
      </c>
      <c r="AA856" s="3">
        <f>IF(DataTable[[#This Row],[Valor]]&gt;1,0,0)</f>
        <v>0</v>
      </c>
    </row>
    <row r="857" spans="1:27" x14ac:dyDescent="0.25">
      <c r="A857" s="2" t="s">
        <v>18</v>
      </c>
      <c r="B857" s="2">
        <v>448</v>
      </c>
      <c r="C857" s="3">
        <f t="shared" si="210"/>
        <v>97.199622047244091</v>
      </c>
      <c r="D857" s="3">
        <f t="shared" si="211"/>
        <v>99.852535433070855</v>
      </c>
      <c r="E857" s="3">
        <f t="shared" si="212"/>
        <v>97.252535433070861</v>
      </c>
      <c r="F857" s="3">
        <f t="shared" si="213"/>
        <v>21.240000000000002</v>
      </c>
      <c r="G857" s="3">
        <f t="shared" si="214"/>
        <v>100.07184000000004</v>
      </c>
      <c r="H857" s="3">
        <f t="shared" si="215"/>
        <v>75.400000000000006</v>
      </c>
      <c r="I857" s="3"/>
      <c r="J857" s="3">
        <f t="shared" si="216"/>
        <v>93.352535433070855</v>
      </c>
      <c r="K857" s="3">
        <f t="shared" si="217"/>
        <v>99.852535433070855</v>
      </c>
      <c r="L857" s="34">
        <f t="shared" si="218"/>
        <v>97.252535433070861</v>
      </c>
      <c r="M857" s="3">
        <f t="shared" si="219"/>
        <v>-139.6</v>
      </c>
      <c r="N857" s="3">
        <f t="shared" si="220"/>
        <v>52.480000000000004</v>
      </c>
      <c r="O857" s="3"/>
      <c r="P857" s="3">
        <f t="shared" si="221"/>
        <v>136.55231496062993</v>
      </c>
      <c r="Q857" s="3">
        <f t="shared" si="222"/>
        <v>152.13227086614174</v>
      </c>
      <c r="R857" s="3">
        <f>vd(DataTable[[#This Row],[Sentido]],DataTable[[#This Row],[Valor]])</f>
        <v>150.96299212598424</v>
      </c>
      <c r="S857" s="3">
        <f>IF(DataTable[[#This Row],[Valor]]&gt;1,1,1)</f>
        <v>1</v>
      </c>
      <c r="T857" s="3">
        <f>IF(DataTable[[#This Row],[Valor]]&gt;1,1,1)</f>
        <v>1</v>
      </c>
      <c r="U857" s="3">
        <f>angr(DataTable[[#This Row],[Sentido]],DataTable[[#This Row],[Valor]])</f>
        <v>23.033070866141731</v>
      </c>
      <c r="V857" s="3">
        <f>ANGI(DataTable[[#This Row],[Sentido]],DataTable[[#This Row],[Valor]])</f>
        <v>24.069291338582676</v>
      </c>
      <c r="W857" s="3">
        <f t="shared" si="223"/>
        <v>3</v>
      </c>
      <c r="X857" s="3">
        <f>IF(DataTable[[#This Row],[Valor]]&gt;1,1,1)</f>
        <v>1</v>
      </c>
      <c r="Y857" s="3">
        <f t="shared" si="224"/>
        <v>3</v>
      </c>
      <c r="Z857" s="3">
        <f>IF(AND(DataTable[[#This Row],[Sentido]]="URUGUAI para BRASIL",DataTable[[#This Row],[Valor]]&gt;350),1,0)</f>
        <v>1</v>
      </c>
      <c r="AA857" s="3">
        <f>IF(DataTable[[#This Row],[Valor]]&gt;1,0,0)</f>
        <v>0</v>
      </c>
    </row>
    <row r="858" spans="1:27" x14ac:dyDescent="0.25">
      <c r="A858" s="2" t="s">
        <v>18</v>
      </c>
      <c r="B858" s="2">
        <v>449</v>
      </c>
      <c r="C858" s="3">
        <f t="shared" si="210"/>
        <v>97.271728346456698</v>
      </c>
      <c r="D858" s="3">
        <f t="shared" si="211"/>
        <v>99.924759842519677</v>
      </c>
      <c r="E858" s="3">
        <f t="shared" si="212"/>
        <v>97.324759842519683</v>
      </c>
      <c r="F858" s="3">
        <f t="shared" si="213"/>
        <v>21.119999999999997</v>
      </c>
      <c r="G858" s="3">
        <f t="shared" si="214"/>
        <v>100.87017000000004</v>
      </c>
      <c r="H858" s="3">
        <f t="shared" si="215"/>
        <v>75.2</v>
      </c>
      <c r="I858" s="3"/>
      <c r="J858" s="3">
        <f t="shared" si="216"/>
        <v>93.424759842519677</v>
      </c>
      <c r="K858" s="3">
        <f t="shared" si="217"/>
        <v>99.924759842519677</v>
      </c>
      <c r="L858" s="34">
        <f t="shared" si="218"/>
        <v>97.324759842519683</v>
      </c>
      <c r="M858" s="3">
        <f t="shared" si="219"/>
        <v>-139.80000000000001</v>
      </c>
      <c r="N858" s="3">
        <f t="shared" si="220"/>
        <v>52.24</v>
      </c>
      <c r="O858" s="3"/>
      <c r="P858" s="3">
        <f t="shared" si="221"/>
        <v>136.80497637795276</v>
      </c>
      <c r="Q858" s="3">
        <f t="shared" si="222"/>
        <v>152.23771968503937</v>
      </c>
      <c r="R858" s="3">
        <f>vd(DataTable[[#This Row],[Sentido]],DataTable[[#This Row],[Valor]])</f>
        <v>151.19527559055118</v>
      </c>
      <c r="S858" s="3">
        <f>IF(DataTable[[#This Row],[Valor]]&gt;1,1,1)</f>
        <v>1</v>
      </c>
      <c r="T858" s="3">
        <f>IF(DataTable[[#This Row],[Valor]]&gt;1,1,1)</f>
        <v>1</v>
      </c>
      <c r="U858" s="3">
        <f>angr(DataTable[[#This Row],[Sentido]],DataTable[[#This Row],[Valor]])</f>
        <v>22.942519685039372</v>
      </c>
      <c r="V858" s="3">
        <f>ANGI(DataTable[[#This Row],[Sentido]],DataTable[[#This Row],[Valor]])</f>
        <v>23.974803149606302</v>
      </c>
      <c r="W858" s="3">
        <f t="shared" si="223"/>
        <v>3</v>
      </c>
      <c r="X858" s="3">
        <f>IF(DataTable[[#This Row],[Valor]]&gt;1,1,1)</f>
        <v>1</v>
      </c>
      <c r="Y858" s="3">
        <f t="shared" si="224"/>
        <v>3</v>
      </c>
      <c r="Z858" s="3">
        <f>IF(AND(DataTable[[#This Row],[Sentido]]="URUGUAI para BRASIL",DataTable[[#This Row],[Valor]]&gt;350),1,0)</f>
        <v>1</v>
      </c>
      <c r="AA858" s="3">
        <f>IF(DataTable[[#This Row],[Valor]]&gt;1,0,0)</f>
        <v>0</v>
      </c>
    </row>
    <row r="859" spans="1:27" x14ac:dyDescent="0.25">
      <c r="A859" s="2" t="s">
        <v>18</v>
      </c>
      <c r="B859" s="2">
        <v>450</v>
      </c>
      <c r="C859" s="3">
        <f t="shared" si="210"/>
        <v>97.34383464566929</v>
      </c>
      <c r="D859" s="3">
        <f t="shared" si="211"/>
        <v>99.996984251968499</v>
      </c>
      <c r="E859" s="3">
        <f t="shared" si="212"/>
        <v>97.396984251968505</v>
      </c>
      <c r="F859" s="3">
        <f t="shared" si="213"/>
        <v>21</v>
      </c>
      <c r="G859" s="3">
        <f t="shared" si="214"/>
        <v>101.66850000000004</v>
      </c>
      <c r="H859" s="3">
        <f t="shared" si="215"/>
        <v>75</v>
      </c>
      <c r="I859" s="3"/>
      <c r="J859" s="3">
        <f t="shared" si="216"/>
        <v>93.496984251968499</v>
      </c>
      <c r="K859" s="3">
        <f t="shared" si="217"/>
        <v>99.996984251968499</v>
      </c>
      <c r="L859" s="34">
        <f t="shared" si="218"/>
        <v>97.396984251968505</v>
      </c>
      <c r="M859" s="3">
        <f t="shared" si="219"/>
        <v>-140</v>
      </c>
      <c r="N859" s="3">
        <f t="shared" si="220"/>
        <v>52</v>
      </c>
      <c r="O859" s="3"/>
      <c r="P859" s="3">
        <f t="shared" si="221"/>
        <v>137.05763779527558</v>
      </c>
      <c r="Q859" s="3">
        <f t="shared" si="222"/>
        <v>152.34316850393699</v>
      </c>
      <c r="R859" s="3">
        <f>vd(DataTable[[#This Row],[Sentido]],DataTable[[#This Row],[Valor]])</f>
        <v>151.42755905511811</v>
      </c>
      <c r="S859" s="3">
        <f>IF(DataTable[[#This Row],[Valor]]&gt;1,1,1)</f>
        <v>1</v>
      </c>
      <c r="T859" s="3">
        <f>IF(DataTable[[#This Row],[Valor]]&gt;1,1,1)</f>
        <v>1</v>
      </c>
      <c r="U859" s="3">
        <f>angr(DataTable[[#This Row],[Sentido]],DataTable[[#This Row],[Valor]])</f>
        <v>22.851968503937009</v>
      </c>
      <c r="V859" s="3">
        <f>ANGI(DataTable[[#This Row],[Sentido]],DataTable[[#This Row],[Valor]])</f>
        <v>23.880314960629924</v>
      </c>
      <c r="W859" s="3">
        <f t="shared" si="223"/>
        <v>3</v>
      </c>
      <c r="X859" s="3">
        <f>IF(DataTable[[#This Row],[Valor]]&gt;1,1,1)</f>
        <v>1</v>
      </c>
      <c r="Y859" s="3">
        <f t="shared" si="224"/>
        <v>3</v>
      </c>
      <c r="Z859" s="3">
        <f>IF(AND(DataTable[[#This Row],[Sentido]]="URUGUAI para BRASIL",DataTable[[#This Row],[Valor]]&gt;350),1,0)</f>
        <v>1</v>
      </c>
      <c r="AA859" s="3">
        <f>IF(DataTable[[#This Row],[Valor]]&gt;1,0,0)</f>
        <v>0</v>
      </c>
    </row>
    <row r="860" spans="1:27" x14ac:dyDescent="0.25">
      <c r="A860" s="2" t="s">
        <v>18</v>
      </c>
      <c r="B860" s="2">
        <v>451</v>
      </c>
      <c r="C860" s="3">
        <f t="shared" si="210"/>
        <v>97.415940944881896</v>
      </c>
      <c r="D860" s="3">
        <f t="shared" si="211"/>
        <v>100.06920866141732</v>
      </c>
      <c r="E860" s="3">
        <f t="shared" si="212"/>
        <v>97.469208661417326</v>
      </c>
      <c r="F860" s="3">
        <f t="shared" si="213"/>
        <v>20.880000000000003</v>
      </c>
      <c r="G860" s="3">
        <f t="shared" si="214"/>
        <v>102.46683000000004</v>
      </c>
      <c r="H860" s="3">
        <f t="shared" si="215"/>
        <v>74.8</v>
      </c>
      <c r="I860" s="3"/>
      <c r="J860" s="3">
        <f t="shared" si="216"/>
        <v>93.569208661417321</v>
      </c>
      <c r="K860" s="3">
        <f t="shared" si="217"/>
        <v>100.06920866141732</v>
      </c>
      <c r="L860" s="34">
        <f t="shared" si="218"/>
        <v>97.469208661417326</v>
      </c>
      <c r="M860" s="3">
        <f t="shared" si="219"/>
        <v>-140.19999999999999</v>
      </c>
      <c r="N860" s="3">
        <f t="shared" si="220"/>
        <v>51.760000000000005</v>
      </c>
      <c r="O860" s="3"/>
      <c r="P860" s="3">
        <f t="shared" si="221"/>
        <v>137.31029921259841</v>
      </c>
      <c r="Q860" s="3">
        <f t="shared" si="222"/>
        <v>152.44861732283465</v>
      </c>
      <c r="R860" s="3">
        <f>vd(DataTable[[#This Row],[Sentido]],DataTable[[#This Row],[Valor]])</f>
        <v>151.65984251968501</v>
      </c>
      <c r="S860" s="3">
        <f>IF(DataTable[[#This Row],[Valor]]&gt;1,1,1)</f>
        <v>1</v>
      </c>
      <c r="T860" s="3">
        <f>IF(DataTable[[#This Row],[Valor]]&gt;1,1,1)</f>
        <v>1</v>
      </c>
      <c r="U860" s="3">
        <f>angr(DataTable[[#This Row],[Sentido]],DataTable[[#This Row],[Valor]])</f>
        <v>22.761417322834649</v>
      </c>
      <c r="V860" s="3">
        <f>ANGI(DataTable[[#This Row],[Sentido]],DataTable[[#This Row],[Valor]])</f>
        <v>23.785826771653547</v>
      </c>
      <c r="W860" s="3">
        <f t="shared" si="223"/>
        <v>3</v>
      </c>
      <c r="X860" s="3">
        <f>IF(DataTable[[#This Row],[Valor]]&gt;1,1,1)</f>
        <v>1</v>
      </c>
      <c r="Y860" s="3">
        <f t="shared" si="224"/>
        <v>3</v>
      </c>
      <c r="Z860" s="3">
        <f>IF(AND(DataTable[[#This Row],[Sentido]]="URUGUAI para BRASIL",DataTable[[#This Row],[Valor]]&gt;350),1,0)</f>
        <v>1</v>
      </c>
      <c r="AA860" s="3">
        <f>IF(DataTable[[#This Row],[Valor]]&gt;1,0,0)</f>
        <v>0</v>
      </c>
    </row>
    <row r="861" spans="1:27" x14ac:dyDescent="0.25">
      <c r="A861" s="2" t="s">
        <v>18</v>
      </c>
      <c r="B861" s="2">
        <v>452</v>
      </c>
      <c r="C861" s="3">
        <f t="shared" si="210"/>
        <v>97.488047244094489</v>
      </c>
      <c r="D861" s="3">
        <f t="shared" si="211"/>
        <v>100.14143307086614</v>
      </c>
      <c r="E861" s="3">
        <f t="shared" si="212"/>
        <v>97.541433070866148</v>
      </c>
      <c r="F861" s="3">
        <f t="shared" si="213"/>
        <v>20.759999999999998</v>
      </c>
      <c r="G861" s="3">
        <f t="shared" si="214"/>
        <v>103.26516000000004</v>
      </c>
      <c r="H861" s="3">
        <f t="shared" si="215"/>
        <v>74.599999999999994</v>
      </c>
      <c r="I861" s="3"/>
      <c r="J861" s="3">
        <f t="shared" si="216"/>
        <v>93.641433070866142</v>
      </c>
      <c r="K861" s="3">
        <f t="shared" si="217"/>
        <v>100.14143307086614</v>
      </c>
      <c r="L861" s="34">
        <f t="shared" si="218"/>
        <v>97.541433070866148</v>
      </c>
      <c r="M861" s="3">
        <f t="shared" si="219"/>
        <v>-140.4</v>
      </c>
      <c r="N861" s="3">
        <f t="shared" si="220"/>
        <v>51.52</v>
      </c>
      <c r="O861" s="3"/>
      <c r="P861" s="3">
        <f t="shared" si="221"/>
        <v>137.56296062992126</v>
      </c>
      <c r="Q861" s="3">
        <f t="shared" si="222"/>
        <v>152.55406614173228</v>
      </c>
      <c r="R861" s="3">
        <f>vd(DataTable[[#This Row],[Sentido]],DataTable[[#This Row],[Valor]])</f>
        <v>151.89212598425198</v>
      </c>
      <c r="S861" s="3">
        <f>IF(DataTable[[#This Row],[Valor]]&gt;1,1,1)</f>
        <v>1</v>
      </c>
      <c r="T861" s="3">
        <f>IF(DataTable[[#This Row],[Valor]]&gt;1,1,1)</f>
        <v>1</v>
      </c>
      <c r="U861" s="3">
        <f>angr(DataTable[[#This Row],[Sentido]],DataTable[[#This Row],[Valor]])</f>
        <v>22.670866141732279</v>
      </c>
      <c r="V861" s="3">
        <f>ANGI(DataTable[[#This Row],[Sentido]],DataTable[[#This Row],[Valor]])</f>
        <v>23.691338582677162</v>
      </c>
      <c r="W861" s="3">
        <f t="shared" si="223"/>
        <v>3</v>
      </c>
      <c r="X861" s="3">
        <f>IF(DataTable[[#This Row],[Valor]]&gt;1,1,1)</f>
        <v>1</v>
      </c>
      <c r="Y861" s="3">
        <f t="shared" si="224"/>
        <v>3</v>
      </c>
      <c r="Z861" s="3">
        <f>IF(AND(DataTable[[#This Row],[Sentido]]="URUGUAI para BRASIL",DataTable[[#This Row],[Valor]]&gt;350),1,0)</f>
        <v>1</v>
      </c>
      <c r="AA861" s="3">
        <f>IF(DataTable[[#This Row],[Valor]]&gt;1,0,0)</f>
        <v>0</v>
      </c>
    </row>
    <row r="862" spans="1:27" x14ac:dyDescent="0.25">
      <c r="A862" s="2" t="s">
        <v>18</v>
      </c>
      <c r="B862" s="2">
        <v>453</v>
      </c>
      <c r="C862" s="3">
        <f t="shared" si="210"/>
        <v>97.560153543307095</v>
      </c>
      <c r="D862" s="3">
        <f t="shared" si="211"/>
        <v>100.21365748031496</v>
      </c>
      <c r="E862" s="3">
        <f t="shared" si="212"/>
        <v>97.61365748031497</v>
      </c>
      <c r="F862" s="3">
        <f t="shared" si="213"/>
        <v>20.64</v>
      </c>
      <c r="G862" s="3">
        <f t="shared" si="214"/>
        <v>104.06349000000004</v>
      </c>
      <c r="H862" s="3">
        <f t="shared" si="215"/>
        <v>74.400000000000006</v>
      </c>
      <c r="I862" s="3"/>
      <c r="J862" s="3">
        <f t="shared" si="216"/>
        <v>93.713657480314964</v>
      </c>
      <c r="K862" s="3">
        <f t="shared" si="217"/>
        <v>100.21365748031496</v>
      </c>
      <c r="L862" s="34">
        <f t="shared" si="218"/>
        <v>97.61365748031497</v>
      </c>
      <c r="M862" s="3">
        <f t="shared" si="219"/>
        <v>-140.6</v>
      </c>
      <c r="N862" s="3">
        <f t="shared" si="220"/>
        <v>51.28</v>
      </c>
      <c r="O862" s="3"/>
      <c r="P862" s="3">
        <f t="shared" si="221"/>
        <v>137.81562204724409</v>
      </c>
      <c r="Q862" s="3">
        <f t="shared" si="222"/>
        <v>152.65951496062991</v>
      </c>
      <c r="R862" s="3">
        <f>vd(DataTable[[#This Row],[Sentido]],DataTable[[#This Row],[Valor]])</f>
        <v>152.12440944881888</v>
      </c>
      <c r="S862" s="3">
        <f>IF(DataTable[[#This Row],[Valor]]&gt;1,1,1)</f>
        <v>1</v>
      </c>
      <c r="T862" s="3">
        <f>IF(DataTable[[#This Row],[Valor]]&gt;1,1,1)</f>
        <v>1</v>
      </c>
      <c r="U862" s="3">
        <f>angr(DataTable[[#This Row],[Sentido]],DataTable[[#This Row],[Valor]])</f>
        <v>22.58031496062992</v>
      </c>
      <c r="V862" s="3">
        <f>ANGI(DataTable[[#This Row],[Sentido]],DataTable[[#This Row],[Valor]])</f>
        <v>23.596850393700784</v>
      </c>
      <c r="W862" s="3">
        <f t="shared" si="223"/>
        <v>3</v>
      </c>
      <c r="X862" s="3">
        <f>IF(DataTable[[#This Row],[Valor]]&gt;1,1,1)</f>
        <v>1</v>
      </c>
      <c r="Y862" s="3">
        <f t="shared" si="224"/>
        <v>3</v>
      </c>
      <c r="Z862" s="3">
        <f>IF(AND(DataTable[[#This Row],[Sentido]]="URUGUAI para BRASIL",DataTable[[#This Row],[Valor]]&gt;350),1,0)</f>
        <v>1</v>
      </c>
      <c r="AA862" s="3">
        <f>IF(DataTable[[#This Row],[Valor]]&gt;1,0,0)</f>
        <v>0</v>
      </c>
    </row>
    <row r="863" spans="1:27" x14ac:dyDescent="0.25">
      <c r="A863" s="2" t="s">
        <v>18</v>
      </c>
      <c r="B863" s="2">
        <v>454</v>
      </c>
      <c r="C863" s="3">
        <f t="shared" si="210"/>
        <v>97.632259842519687</v>
      </c>
      <c r="D863" s="3">
        <f t="shared" si="211"/>
        <v>100.28588188976377</v>
      </c>
      <c r="E863" s="3">
        <f t="shared" si="212"/>
        <v>97.685881889763778</v>
      </c>
      <c r="F863" s="3">
        <f t="shared" si="213"/>
        <v>20.520000000000003</v>
      </c>
      <c r="G863" s="3">
        <f t="shared" si="214"/>
        <v>104.86182000000004</v>
      </c>
      <c r="H863" s="3">
        <f t="shared" si="215"/>
        <v>74.2</v>
      </c>
      <c r="I863" s="3"/>
      <c r="J863" s="3">
        <f t="shared" si="216"/>
        <v>93.785881889763772</v>
      </c>
      <c r="K863" s="3">
        <f t="shared" si="217"/>
        <v>100.28588188976377</v>
      </c>
      <c r="L863" s="34">
        <f t="shared" si="218"/>
        <v>97.685881889763778</v>
      </c>
      <c r="M863" s="3">
        <f t="shared" si="219"/>
        <v>-140.80000000000001</v>
      </c>
      <c r="N863" s="3">
        <f t="shared" si="220"/>
        <v>51.04</v>
      </c>
      <c r="O863" s="3"/>
      <c r="P863" s="3">
        <f t="shared" si="221"/>
        <v>138.06828346456695</v>
      </c>
      <c r="Q863" s="3">
        <f t="shared" si="222"/>
        <v>152.76496377952756</v>
      </c>
      <c r="R863" s="3">
        <f>vd(DataTable[[#This Row],[Sentido]],DataTable[[#This Row],[Valor]])</f>
        <v>152.35669291338581</v>
      </c>
      <c r="S863" s="3">
        <f>IF(DataTable[[#This Row],[Valor]]&gt;1,1,1)</f>
        <v>1</v>
      </c>
      <c r="T863" s="3">
        <f>IF(DataTable[[#This Row],[Valor]]&gt;1,1,1)</f>
        <v>1</v>
      </c>
      <c r="U863" s="3">
        <f>angr(DataTable[[#This Row],[Sentido]],DataTable[[#This Row],[Valor]])</f>
        <v>22.489763779527557</v>
      </c>
      <c r="V863" s="3">
        <f>ANGI(DataTable[[#This Row],[Sentido]],DataTable[[#This Row],[Valor]])</f>
        <v>23.50236220472441</v>
      </c>
      <c r="W863" s="3">
        <f t="shared" si="223"/>
        <v>3</v>
      </c>
      <c r="X863" s="3">
        <f>IF(DataTable[[#This Row],[Valor]]&gt;1,1,1)</f>
        <v>1</v>
      </c>
      <c r="Y863" s="3">
        <f t="shared" si="224"/>
        <v>3</v>
      </c>
      <c r="Z863" s="3">
        <f>IF(AND(DataTable[[#This Row],[Sentido]]="URUGUAI para BRASIL",DataTable[[#This Row],[Valor]]&gt;350),1,0)</f>
        <v>1</v>
      </c>
      <c r="AA863" s="3">
        <f>IF(DataTable[[#This Row],[Valor]]&gt;1,0,0)</f>
        <v>0</v>
      </c>
    </row>
    <row r="864" spans="1:27" x14ac:dyDescent="0.25">
      <c r="A864" s="2" t="s">
        <v>18</v>
      </c>
      <c r="B864" s="2">
        <v>455</v>
      </c>
      <c r="C864" s="3">
        <f t="shared" si="210"/>
        <v>97.70436614173228</v>
      </c>
      <c r="D864" s="3">
        <f t="shared" si="211"/>
        <v>100.35810629921259</v>
      </c>
      <c r="E864" s="3">
        <f t="shared" si="212"/>
        <v>97.758106299212599</v>
      </c>
      <c r="F864" s="3">
        <f t="shared" si="213"/>
        <v>20.399999999999999</v>
      </c>
      <c r="G864" s="3">
        <f t="shared" si="214"/>
        <v>105.66015000000004</v>
      </c>
      <c r="H864" s="3">
        <f t="shared" si="215"/>
        <v>74</v>
      </c>
      <c r="I864" s="3"/>
      <c r="J864" s="3">
        <f t="shared" si="216"/>
        <v>93.858106299212594</v>
      </c>
      <c r="K864" s="3">
        <f t="shared" si="217"/>
        <v>100.35810629921259</v>
      </c>
      <c r="L864" s="34">
        <f t="shared" si="218"/>
        <v>97.758106299212599</v>
      </c>
      <c r="M864" s="3">
        <f t="shared" si="219"/>
        <v>-141</v>
      </c>
      <c r="N864" s="3">
        <f t="shared" si="220"/>
        <v>50.800000000000004</v>
      </c>
      <c r="O864" s="3"/>
      <c r="P864" s="3">
        <f t="shared" si="221"/>
        <v>138.32094488188977</v>
      </c>
      <c r="Q864" s="3">
        <f t="shared" si="222"/>
        <v>152.87041259842519</v>
      </c>
      <c r="R864" s="3">
        <f>vd(DataTable[[#This Row],[Sentido]],DataTable[[#This Row],[Valor]])</f>
        <v>152.58897637795275</v>
      </c>
      <c r="S864" s="3">
        <f>IF(DataTable[[#This Row],[Valor]]&gt;1,1,1)</f>
        <v>1</v>
      </c>
      <c r="T864" s="3">
        <f>IF(DataTable[[#This Row],[Valor]]&gt;1,1,1)</f>
        <v>1</v>
      </c>
      <c r="U864" s="3">
        <f>angr(DataTable[[#This Row],[Sentido]],DataTable[[#This Row],[Valor]])</f>
        <v>22.399212598425198</v>
      </c>
      <c r="V864" s="3">
        <f>ANGI(DataTable[[#This Row],[Sentido]],DataTable[[#This Row],[Valor]])</f>
        <v>23.407874015748032</v>
      </c>
      <c r="W864" s="3">
        <f t="shared" si="223"/>
        <v>3</v>
      </c>
      <c r="X864" s="3">
        <f>IF(DataTable[[#This Row],[Valor]]&gt;1,1,1)</f>
        <v>1</v>
      </c>
      <c r="Y864" s="3">
        <f t="shared" si="224"/>
        <v>3</v>
      </c>
      <c r="Z864" s="3">
        <f>IF(AND(DataTable[[#This Row],[Sentido]]="URUGUAI para BRASIL",DataTable[[#This Row],[Valor]]&gt;350),1,0)</f>
        <v>1</v>
      </c>
      <c r="AA864" s="3">
        <f>IF(DataTable[[#This Row],[Valor]]&gt;1,0,0)</f>
        <v>0</v>
      </c>
    </row>
    <row r="865" spans="1:27" x14ac:dyDescent="0.25">
      <c r="A865" s="2" t="s">
        <v>18</v>
      </c>
      <c r="B865" s="2">
        <v>456</v>
      </c>
      <c r="C865" s="3">
        <f t="shared" si="210"/>
        <v>97.776472440944886</v>
      </c>
      <c r="D865" s="3">
        <f t="shared" si="211"/>
        <v>100.43033070866142</v>
      </c>
      <c r="E865" s="3">
        <f t="shared" si="212"/>
        <v>97.830330708661421</v>
      </c>
      <c r="F865" s="3">
        <f t="shared" si="213"/>
        <v>20.28</v>
      </c>
      <c r="G865" s="3">
        <f t="shared" si="214"/>
        <v>106.45848000000004</v>
      </c>
      <c r="H865" s="3">
        <f t="shared" si="215"/>
        <v>73.8</v>
      </c>
      <c r="I865" s="3"/>
      <c r="J865" s="3">
        <f t="shared" si="216"/>
        <v>93.930330708661415</v>
      </c>
      <c r="K865" s="3">
        <f t="shared" si="217"/>
        <v>100.43033070866142</v>
      </c>
      <c r="L865" s="34">
        <f t="shared" si="218"/>
        <v>97.830330708661421</v>
      </c>
      <c r="M865" s="3">
        <f t="shared" si="219"/>
        <v>-141.19999999999999</v>
      </c>
      <c r="N865" s="3">
        <f t="shared" si="220"/>
        <v>50.56</v>
      </c>
      <c r="O865" s="3"/>
      <c r="P865" s="3">
        <f t="shared" si="221"/>
        <v>138.5736062992126</v>
      </c>
      <c r="Q865" s="3">
        <f t="shared" si="222"/>
        <v>152.97586141732285</v>
      </c>
      <c r="R865" s="3">
        <f>vd(DataTable[[#This Row],[Sentido]],DataTable[[#This Row],[Valor]])</f>
        <v>152.82125984251968</v>
      </c>
      <c r="S865" s="3">
        <f>IF(DataTable[[#This Row],[Valor]]&gt;1,1,1)</f>
        <v>1</v>
      </c>
      <c r="T865" s="3">
        <f>IF(DataTable[[#This Row],[Valor]]&gt;1,1,1)</f>
        <v>1</v>
      </c>
      <c r="U865" s="3">
        <f>angr(DataTable[[#This Row],[Sentido]],DataTable[[#This Row],[Valor]])</f>
        <v>22.308661417322835</v>
      </c>
      <c r="V865" s="3">
        <f>ANGI(DataTable[[#This Row],[Sentido]],DataTable[[#This Row],[Valor]])</f>
        <v>23.313385826771654</v>
      </c>
      <c r="W865" s="3">
        <f t="shared" si="223"/>
        <v>3</v>
      </c>
      <c r="X865" s="3">
        <f>IF(DataTable[[#This Row],[Valor]]&gt;1,1,1)</f>
        <v>1</v>
      </c>
      <c r="Y865" s="3">
        <f t="shared" si="224"/>
        <v>3</v>
      </c>
      <c r="Z865" s="3">
        <f>IF(AND(DataTable[[#This Row],[Sentido]]="URUGUAI para BRASIL",DataTable[[#This Row],[Valor]]&gt;350),1,0)</f>
        <v>1</v>
      </c>
      <c r="AA865" s="3">
        <f>IF(DataTable[[#This Row],[Valor]]&gt;1,0,0)</f>
        <v>0</v>
      </c>
    </row>
    <row r="866" spans="1:27" x14ac:dyDescent="0.25">
      <c r="A866" s="2" t="s">
        <v>18</v>
      </c>
      <c r="B866" s="2">
        <v>457</v>
      </c>
      <c r="C866" s="3">
        <f t="shared" si="210"/>
        <v>97.848578740157478</v>
      </c>
      <c r="D866" s="3">
        <f t="shared" si="211"/>
        <v>100.50255511811022</v>
      </c>
      <c r="E866" s="3">
        <f t="shared" si="212"/>
        <v>97.902555118110229</v>
      </c>
      <c r="F866" s="3">
        <f t="shared" si="213"/>
        <v>20.160000000000004</v>
      </c>
      <c r="G866" s="3">
        <f t="shared" si="214"/>
        <v>107.25681000000003</v>
      </c>
      <c r="H866" s="3">
        <f t="shared" si="215"/>
        <v>73.599999999999994</v>
      </c>
      <c r="I866" s="3"/>
      <c r="J866" s="3">
        <f t="shared" si="216"/>
        <v>94.002555118110223</v>
      </c>
      <c r="K866" s="3">
        <f t="shared" si="217"/>
        <v>100.50255511811022</v>
      </c>
      <c r="L866" s="34">
        <f t="shared" si="218"/>
        <v>97.902555118110229</v>
      </c>
      <c r="M866" s="3">
        <f t="shared" si="219"/>
        <v>-141.4</v>
      </c>
      <c r="N866" s="3">
        <f t="shared" si="220"/>
        <v>50.32</v>
      </c>
      <c r="O866" s="3"/>
      <c r="P866" s="3">
        <f t="shared" si="221"/>
        <v>138.82626771653543</v>
      </c>
      <c r="Q866" s="3">
        <f t="shared" si="222"/>
        <v>153.08131023622047</v>
      </c>
      <c r="R866" s="3">
        <f>vd(DataTable[[#This Row],[Sentido]],DataTable[[#This Row],[Valor]])</f>
        <v>153.05354330708661</v>
      </c>
      <c r="S866" s="3">
        <f>IF(DataTable[[#This Row],[Valor]]&gt;1,1,1)</f>
        <v>1</v>
      </c>
      <c r="T866" s="3">
        <f>IF(DataTable[[#This Row],[Valor]]&gt;1,1,1)</f>
        <v>1</v>
      </c>
      <c r="U866" s="3">
        <f>angr(DataTable[[#This Row],[Sentido]],DataTable[[#This Row],[Valor]])</f>
        <v>22.218110236220475</v>
      </c>
      <c r="V866" s="3">
        <f>ANGI(DataTable[[#This Row],[Sentido]],DataTable[[#This Row],[Valor]])</f>
        <v>23.218897637795276</v>
      </c>
      <c r="W866" s="3">
        <f t="shared" si="223"/>
        <v>3</v>
      </c>
      <c r="X866" s="3">
        <f>IF(DataTable[[#This Row],[Valor]]&gt;1,1,1)</f>
        <v>1</v>
      </c>
      <c r="Y866" s="3">
        <f t="shared" si="224"/>
        <v>3</v>
      </c>
      <c r="Z866" s="3">
        <f>IF(AND(DataTable[[#This Row],[Sentido]]="URUGUAI para BRASIL",DataTable[[#This Row],[Valor]]&gt;350),1,0)</f>
        <v>1</v>
      </c>
      <c r="AA866" s="3">
        <f>IF(DataTable[[#This Row],[Valor]]&gt;1,0,0)</f>
        <v>0</v>
      </c>
    </row>
    <row r="867" spans="1:27" x14ac:dyDescent="0.25">
      <c r="A867" s="2" t="s">
        <v>18</v>
      </c>
      <c r="B867" s="2">
        <v>458</v>
      </c>
      <c r="C867" s="3">
        <f t="shared" si="210"/>
        <v>97.920685039370085</v>
      </c>
      <c r="D867" s="3">
        <f t="shared" si="211"/>
        <v>100.57477952755906</v>
      </c>
      <c r="E867" s="3">
        <f t="shared" si="212"/>
        <v>97.974779527559065</v>
      </c>
      <c r="F867" s="3">
        <f t="shared" si="213"/>
        <v>20.04</v>
      </c>
      <c r="G867" s="3">
        <f t="shared" si="214"/>
        <v>108.05514000000005</v>
      </c>
      <c r="H867" s="3">
        <f t="shared" si="215"/>
        <v>73.400000000000006</v>
      </c>
      <c r="I867" s="3"/>
      <c r="J867" s="3">
        <f t="shared" si="216"/>
        <v>94.074779527559059</v>
      </c>
      <c r="K867" s="3">
        <f t="shared" si="217"/>
        <v>100.57477952755906</v>
      </c>
      <c r="L867" s="34">
        <f t="shared" si="218"/>
        <v>97.974779527559065</v>
      </c>
      <c r="M867" s="3">
        <f t="shared" si="219"/>
        <v>-141.6</v>
      </c>
      <c r="N867" s="3">
        <f t="shared" si="220"/>
        <v>50.08</v>
      </c>
      <c r="O867" s="3"/>
      <c r="P867" s="3">
        <f t="shared" si="221"/>
        <v>139.07892913385828</v>
      </c>
      <c r="Q867" s="3">
        <f t="shared" si="222"/>
        <v>153.1867590551181</v>
      </c>
      <c r="R867" s="3">
        <f>vd(DataTable[[#This Row],[Sentido]],DataTable[[#This Row],[Valor]])</f>
        <v>153.18503937007873</v>
      </c>
      <c r="S867" s="3">
        <f>IF(DataTable[[#This Row],[Valor]]&gt;1,1,1)</f>
        <v>1</v>
      </c>
      <c r="T867" s="3">
        <f>IF(DataTable[[#This Row],[Valor]]&gt;1,1,1)</f>
        <v>1</v>
      </c>
      <c r="U867" s="3">
        <f>angr(DataTable[[#This Row],[Sentido]],DataTable[[#This Row],[Valor]])</f>
        <v>22.196850393700785</v>
      </c>
      <c r="V867" s="3">
        <f>ANGI(DataTable[[#This Row],[Sentido]],DataTable[[#This Row],[Valor]])</f>
        <v>23.196850393700785</v>
      </c>
      <c r="W867" s="3">
        <f t="shared" si="223"/>
        <v>3</v>
      </c>
      <c r="X867" s="3">
        <f>IF(DataTable[[#This Row],[Valor]]&gt;1,1,1)</f>
        <v>1</v>
      </c>
      <c r="Y867" s="3">
        <f t="shared" si="224"/>
        <v>3</v>
      </c>
      <c r="Z867" s="3">
        <f>IF(AND(DataTable[[#This Row],[Sentido]]="URUGUAI para BRASIL",DataTable[[#This Row],[Valor]]&gt;350),1,0)</f>
        <v>1</v>
      </c>
      <c r="AA867" s="3">
        <f>IF(DataTable[[#This Row],[Valor]]&gt;1,0,0)</f>
        <v>0</v>
      </c>
    </row>
    <row r="868" spans="1:27" x14ac:dyDescent="0.25">
      <c r="A868" s="2" t="s">
        <v>18</v>
      </c>
      <c r="B868" s="2">
        <v>459</v>
      </c>
      <c r="C868" s="3">
        <f t="shared" si="210"/>
        <v>97.992791338582677</v>
      </c>
      <c r="D868" s="3">
        <f t="shared" si="211"/>
        <v>100.64700393700787</v>
      </c>
      <c r="E868" s="3">
        <f t="shared" si="212"/>
        <v>98.047003937007872</v>
      </c>
      <c r="F868" s="3">
        <f t="shared" si="213"/>
        <v>19.920000000000002</v>
      </c>
      <c r="G868" s="3">
        <f t="shared" si="214"/>
        <v>108.85347000000004</v>
      </c>
      <c r="H868" s="3">
        <f t="shared" si="215"/>
        <v>73.2</v>
      </c>
      <c r="I868" s="3"/>
      <c r="J868" s="3">
        <f t="shared" si="216"/>
        <v>94.147003937007867</v>
      </c>
      <c r="K868" s="3">
        <f t="shared" si="217"/>
        <v>100.64700393700787</v>
      </c>
      <c r="L868" s="34">
        <f t="shared" si="218"/>
        <v>98.047003937007872</v>
      </c>
      <c r="M868" s="3">
        <f t="shared" si="219"/>
        <v>-141.80000000000001</v>
      </c>
      <c r="N868" s="3">
        <f t="shared" si="220"/>
        <v>49.84</v>
      </c>
      <c r="O868" s="3"/>
      <c r="P868" s="3">
        <f t="shared" si="221"/>
        <v>139.33159055118111</v>
      </c>
      <c r="Q868" s="3">
        <f t="shared" si="222"/>
        <v>153.29220787401576</v>
      </c>
      <c r="R868" s="3">
        <f>vd(DataTable[[#This Row],[Sentido]],DataTable[[#This Row],[Valor]])</f>
        <v>153.29133858267716</v>
      </c>
      <c r="S868" s="3">
        <f>IF(DataTable[[#This Row],[Valor]]&gt;1,1,1)</f>
        <v>1</v>
      </c>
      <c r="T868" s="3">
        <f>IF(DataTable[[#This Row],[Valor]]&gt;1,1,1)</f>
        <v>1</v>
      </c>
      <c r="U868" s="3">
        <f>angr(DataTable[[#This Row],[Sentido]],DataTable[[#This Row],[Valor]])</f>
        <v>22.19291338582677</v>
      </c>
      <c r="V868" s="3">
        <f>ANGI(DataTable[[#This Row],[Sentido]],DataTable[[#This Row],[Valor]])</f>
        <v>23.19291338582677</v>
      </c>
      <c r="W868" s="3">
        <f t="shared" si="223"/>
        <v>3</v>
      </c>
      <c r="X868" s="3">
        <f>IF(DataTable[[#This Row],[Valor]]&gt;1,1,1)</f>
        <v>1</v>
      </c>
      <c r="Y868" s="3">
        <f t="shared" si="224"/>
        <v>3</v>
      </c>
      <c r="Z868" s="3">
        <f>IF(AND(DataTable[[#This Row],[Sentido]]="URUGUAI para BRASIL",DataTable[[#This Row],[Valor]]&gt;350),1,0)</f>
        <v>1</v>
      </c>
      <c r="AA868" s="3">
        <f>IF(DataTable[[#This Row],[Valor]]&gt;1,0,0)</f>
        <v>0</v>
      </c>
    </row>
    <row r="869" spans="1:27" x14ac:dyDescent="0.25">
      <c r="A869" s="2" t="s">
        <v>18</v>
      </c>
      <c r="B869" s="2">
        <v>460</v>
      </c>
      <c r="C869" s="3">
        <f t="shared" si="210"/>
        <v>98.064897637795283</v>
      </c>
      <c r="D869" s="3">
        <f t="shared" si="211"/>
        <v>100.71922834645669</v>
      </c>
      <c r="E869" s="3">
        <f t="shared" si="212"/>
        <v>98.119228346456694</v>
      </c>
      <c r="F869" s="3">
        <f t="shared" si="213"/>
        <v>19.800000000000004</v>
      </c>
      <c r="G869" s="3">
        <f t="shared" si="214"/>
        <v>109.65180000000004</v>
      </c>
      <c r="H869" s="3">
        <f t="shared" si="215"/>
        <v>73</v>
      </c>
      <c r="I869" s="3"/>
      <c r="J869" s="3">
        <f t="shared" si="216"/>
        <v>94.219228346456688</v>
      </c>
      <c r="K869" s="3">
        <f t="shared" si="217"/>
        <v>100.71922834645669</v>
      </c>
      <c r="L869" s="34">
        <f t="shared" si="218"/>
        <v>98.119228346456694</v>
      </c>
      <c r="M869" s="3">
        <f t="shared" si="219"/>
        <v>-142</v>
      </c>
      <c r="N869" s="3">
        <f t="shared" si="220"/>
        <v>49.6</v>
      </c>
      <c r="O869" s="3"/>
      <c r="P869" s="3">
        <f t="shared" si="221"/>
        <v>139.58425196850393</v>
      </c>
      <c r="Q869" s="3">
        <f t="shared" si="222"/>
        <v>153.39765669291339</v>
      </c>
      <c r="R869" s="3">
        <f>vd(DataTable[[#This Row],[Sentido]],DataTable[[#This Row],[Valor]])</f>
        <v>153.39763779527559</v>
      </c>
      <c r="S869" s="3">
        <f>IF(DataTable[[#This Row],[Valor]]&gt;1,1,1)</f>
        <v>1</v>
      </c>
      <c r="T869" s="3">
        <f>IF(DataTable[[#This Row],[Valor]]&gt;1,1,1)</f>
        <v>1</v>
      </c>
      <c r="U869" s="3">
        <f>angr(DataTable[[#This Row],[Sentido]],DataTable[[#This Row],[Valor]])</f>
        <v>22.188976377952756</v>
      </c>
      <c r="V869" s="3">
        <f>ANGI(DataTable[[#This Row],[Sentido]],DataTable[[#This Row],[Valor]])</f>
        <v>23.188976377952756</v>
      </c>
      <c r="W869" s="3">
        <f t="shared" si="223"/>
        <v>3</v>
      </c>
      <c r="X869" s="3">
        <f>IF(DataTable[[#This Row],[Valor]]&gt;1,1,1)</f>
        <v>1</v>
      </c>
      <c r="Y869" s="3">
        <f t="shared" si="224"/>
        <v>3</v>
      </c>
      <c r="Z869" s="3">
        <f>IF(AND(DataTable[[#This Row],[Sentido]]="URUGUAI para BRASIL",DataTable[[#This Row],[Valor]]&gt;350),1,0)</f>
        <v>1</v>
      </c>
      <c r="AA869" s="3">
        <f>IF(DataTable[[#This Row],[Valor]]&gt;1,0,0)</f>
        <v>0</v>
      </c>
    </row>
    <row r="870" spans="1:27" x14ac:dyDescent="0.25">
      <c r="A870" s="2" t="s">
        <v>18</v>
      </c>
      <c r="B870" s="2">
        <v>461</v>
      </c>
      <c r="C870" s="3">
        <f t="shared" si="210"/>
        <v>98.137003937007876</v>
      </c>
      <c r="D870" s="3">
        <f t="shared" si="211"/>
        <v>100.79145275590551</v>
      </c>
      <c r="E870" s="3">
        <f t="shared" si="212"/>
        <v>98.191452755905516</v>
      </c>
      <c r="F870" s="3">
        <f t="shared" si="213"/>
        <v>19.68</v>
      </c>
      <c r="G870" s="3">
        <f t="shared" si="214"/>
        <v>110.45013000000003</v>
      </c>
      <c r="H870" s="3">
        <f t="shared" si="215"/>
        <v>72.8</v>
      </c>
      <c r="I870" s="3"/>
      <c r="J870" s="3">
        <f t="shared" si="216"/>
        <v>94.29145275590551</v>
      </c>
      <c r="K870" s="3">
        <f t="shared" si="217"/>
        <v>100.79145275590551</v>
      </c>
      <c r="L870" s="34">
        <f t="shared" si="218"/>
        <v>98.191452755905516</v>
      </c>
      <c r="M870" s="3">
        <f t="shared" si="219"/>
        <v>-142.19999999999999</v>
      </c>
      <c r="N870" s="3">
        <f t="shared" si="220"/>
        <v>49.36</v>
      </c>
      <c r="O870" s="3"/>
      <c r="P870" s="3">
        <f t="shared" si="221"/>
        <v>139.83691338582679</v>
      </c>
      <c r="Q870" s="3">
        <f t="shared" si="222"/>
        <v>153.50310551181104</v>
      </c>
      <c r="R870" s="3">
        <f>vd(DataTable[[#This Row],[Sentido]],DataTable[[#This Row],[Valor]])</f>
        <v>153.50393700787401</v>
      </c>
      <c r="S870" s="3">
        <f>IF(DataTable[[#This Row],[Valor]]&gt;1,1,1)</f>
        <v>1</v>
      </c>
      <c r="T870" s="3">
        <f>IF(DataTable[[#This Row],[Valor]]&gt;1,1,1)</f>
        <v>1</v>
      </c>
      <c r="U870" s="3">
        <f>angr(DataTable[[#This Row],[Sentido]],DataTable[[#This Row],[Valor]])</f>
        <v>22.185039370078741</v>
      </c>
      <c r="V870" s="3">
        <f>ANGI(DataTable[[#This Row],[Sentido]],DataTable[[#This Row],[Valor]])</f>
        <v>23.185039370078741</v>
      </c>
      <c r="W870" s="3">
        <f t="shared" si="223"/>
        <v>3</v>
      </c>
      <c r="X870" s="3">
        <f>IF(DataTable[[#This Row],[Valor]]&gt;1,1,1)</f>
        <v>1</v>
      </c>
      <c r="Y870" s="3">
        <f t="shared" si="224"/>
        <v>3</v>
      </c>
      <c r="Z870" s="3">
        <f>IF(AND(DataTable[[#This Row],[Sentido]]="URUGUAI para BRASIL",DataTable[[#This Row],[Valor]]&gt;350),1,0)</f>
        <v>1</v>
      </c>
      <c r="AA870" s="3">
        <f>IF(DataTable[[#This Row],[Valor]]&gt;1,0,0)</f>
        <v>0</v>
      </c>
    </row>
    <row r="871" spans="1:27" x14ac:dyDescent="0.25">
      <c r="A871" s="2" t="s">
        <v>18</v>
      </c>
      <c r="B871" s="2">
        <v>462</v>
      </c>
      <c r="C871" s="3">
        <f t="shared" si="210"/>
        <v>98.209110236220468</v>
      </c>
      <c r="D871" s="3">
        <f t="shared" si="211"/>
        <v>100.86367716535433</v>
      </c>
      <c r="E871" s="3">
        <f t="shared" si="212"/>
        <v>98.263677165354338</v>
      </c>
      <c r="F871" s="3">
        <f t="shared" si="213"/>
        <v>19.560000000000002</v>
      </c>
      <c r="G871" s="3">
        <f t="shared" si="214"/>
        <v>111.24846000000004</v>
      </c>
      <c r="H871" s="3">
        <f t="shared" si="215"/>
        <v>72.599999999999994</v>
      </c>
      <c r="I871" s="3"/>
      <c r="J871" s="3">
        <f t="shared" si="216"/>
        <v>94.363677165354332</v>
      </c>
      <c r="K871" s="3">
        <f t="shared" si="217"/>
        <v>100.86367716535433</v>
      </c>
      <c r="L871" s="34">
        <f t="shared" si="218"/>
        <v>98.263677165354338</v>
      </c>
      <c r="M871" s="3">
        <f t="shared" si="219"/>
        <v>-142.4</v>
      </c>
      <c r="N871" s="3">
        <f t="shared" si="220"/>
        <v>49.120000000000005</v>
      </c>
      <c r="O871" s="3"/>
      <c r="P871" s="3">
        <f t="shared" si="221"/>
        <v>140.08957480314962</v>
      </c>
      <c r="Q871" s="3">
        <f t="shared" si="222"/>
        <v>153.60855433070867</v>
      </c>
      <c r="R871" s="3">
        <f>vd(DataTable[[#This Row],[Sentido]],DataTable[[#This Row],[Valor]])</f>
        <v>153.61023622047244</v>
      </c>
      <c r="S871" s="3">
        <f>IF(DataTable[[#This Row],[Valor]]&gt;1,1,1)</f>
        <v>1</v>
      </c>
      <c r="T871" s="3">
        <f>IF(DataTable[[#This Row],[Valor]]&gt;1,1,1)</f>
        <v>1</v>
      </c>
      <c r="U871" s="3">
        <f>angr(DataTable[[#This Row],[Sentido]],DataTable[[#This Row],[Valor]])</f>
        <v>22.181102362204726</v>
      </c>
      <c r="V871" s="3">
        <f>ANGI(DataTable[[#This Row],[Sentido]],DataTable[[#This Row],[Valor]])</f>
        <v>23.181102362204726</v>
      </c>
      <c r="W871" s="3">
        <f t="shared" si="223"/>
        <v>3</v>
      </c>
      <c r="X871" s="3">
        <f>IF(DataTable[[#This Row],[Valor]]&gt;1,1,1)</f>
        <v>1</v>
      </c>
      <c r="Y871" s="3">
        <f t="shared" si="224"/>
        <v>3</v>
      </c>
      <c r="Z871" s="3">
        <f>IF(AND(DataTable[[#This Row],[Sentido]]="URUGUAI para BRASIL",DataTable[[#This Row],[Valor]]&gt;350),1,0)</f>
        <v>1</v>
      </c>
      <c r="AA871" s="3">
        <f>IF(DataTable[[#This Row],[Valor]]&gt;1,0,0)</f>
        <v>0</v>
      </c>
    </row>
    <row r="872" spans="1:27" x14ac:dyDescent="0.25">
      <c r="A872" s="2" t="s">
        <v>18</v>
      </c>
      <c r="B872" s="2">
        <v>463</v>
      </c>
      <c r="C872" s="3">
        <f t="shared" si="210"/>
        <v>98.281216535433074</v>
      </c>
      <c r="D872" s="3">
        <f t="shared" si="211"/>
        <v>100.93590157480314</v>
      </c>
      <c r="E872" s="3">
        <f t="shared" si="212"/>
        <v>98.335901574803145</v>
      </c>
      <c r="F872" s="3">
        <f t="shared" si="213"/>
        <v>19.439999999999998</v>
      </c>
      <c r="G872" s="3">
        <f t="shared" si="214"/>
        <v>112.04679000000003</v>
      </c>
      <c r="H872" s="3">
        <f t="shared" si="215"/>
        <v>72.399999999999991</v>
      </c>
      <c r="I872" s="3"/>
      <c r="J872" s="3">
        <f t="shared" si="216"/>
        <v>94.43590157480314</v>
      </c>
      <c r="K872" s="3">
        <f t="shared" si="217"/>
        <v>100.93590157480314</v>
      </c>
      <c r="L872" s="34">
        <f t="shared" si="218"/>
        <v>98.335901574803145</v>
      </c>
      <c r="M872" s="3">
        <f t="shared" si="219"/>
        <v>-142.6</v>
      </c>
      <c r="N872" s="3">
        <f t="shared" si="220"/>
        <v>48.88</v>
      </c>
      <c r="O872" s="3"/>
      <c r="P872" s="3">
        <f t="shared" si="221"/>
        <v>140.34223622047244</v>
      </c>
      <c r="Q872" s="3">
        <f t="shared" si="222"/>
        <v>153.7140031496063</v>
      </c>
      <c r="R872" s="3">
        <f>vd(DataTable[[#This Row],[Sentido]],DataTable[[#This Row],[Valor]])</f>
        <v>153.71653543307087</v>
      </c>
      <c r="S872" s="3">
        <f>IF(DataTable[[#This Row],[Valor]]&gt;1,1,1)</f>
        <v>1</v>
      </c>
      <c r="T872" s="3">
        <f>IF(DataTable[[#This Row],[Valor]]&gt;1,1,1)</f>
        <v>1</v>
      </c>
      <c r="U872" s="3">
        <f>angr(DataTable[[#This Row],[Sentido]],DataTable[[#This Row],[Valor]])</f>
        <v>22.177165354330707</v>
      </c>
      <c r="V872" s="3">
        <f>ANGI(DataTable[[#This Row],[Sentido]],DataTable[[#This Row],[Valor]])</f>
        <v>23.177165354330707</v>
      </c>
      <c r="W872" s="3">
        <f t="shared" si="223"/>
        <v>3</v>
      </c>
      <c r="X872" s="3">
        <f>IF(DataTable[[#This Row],[Valor]]&gt;1,1,1)</f>
        <v>1</v>
      </c>
      <c r="Y872" s="3">
        <f t="shared" si="224"/>
        <v>3</v>
      </c>
      <c r="Z872" s="3">
        <f>IF(AND(DataTable[[#This Row],[Sentido]]="URUGUAI para BRASIL",DataTable[[#This Row],[Valor]]&gt;350),1,0)</f>
        <v>1</v>
      </c>
      <c r="AA872" s="3">
        <f>IF(DataTable[[#This Row],[Valor]]&gt;1,0,0)</f>
        <v>0</v>
      </c>
    </row>
    <row r="873" spans="1:27" x14ac:dyDescent="0.25">
      <c r="A873" s="2" t="s">
        <v>18</v>
      </c>
      <c r="B873" s="2">
        <v>464</v>
      </c>
      <c r="C873" s="3">
        <f t="shared" si="210"/>
        <v>98.353322834645667</v>
      </c>
      <c r="D873" s="3">
        <f t="shared" si="211"/>
        <v>101.00812598425196</v>
      </c>
      <c r="E873" s="3">
        <f t="shared" si="212"/>
        <v>98.408125984251967</v>
      </c>
      <c r="F873" s="3">
        <f t="shared" si="213"/>
        <v>19.32</v>
      </c>
      <c r="G873" s="3">
        <f t="shared" si="214"/>
        <v>112.84512000000004</v>
      </c>
      <c r="H873" s="3">
        <f t="shared" si="215"/>
        <v>72.2</v>
      </c>
      <c r="I873" s="3"/>
      <c r="J873" s="3">
        <f t="shared" si="216"/>
        <v>94.508125984251961</v>
      </c>
      <c r="K873" s="3">
        <f t="shared" si="217"/>
        <v>101.00812598425196</v>
      </c>
      <c r="L873" s="34">
        <f t="shared" si="218"/>
        <v>98.408125984251967</v>
      </c>
      <c r="M873" s="3">
        <f t="shared" si="219"/>
        <v>-142.80000000000001</v>
      </c>
      <c r="N873" s="3">
        <f t="shared" si="220"/>
        <v>48.64</v>
      </c>
      <c r="O873" s="3"/>
      <c r="P873" s="3">
        <f t="shared" si="221"/>
        <v>140.59489763779527</v>
      </c>
      <c r="Q873" s="3">
        <f t="shared" si="222"/>
        <v>153.81945196850393</v>
      </c>
      <c r="R873" s="3">
        <f>vd(DataTable[[#This Row],[Sentido]],DataTable[[#This Row],[Valor]])</f>
        <v>153.82283464566927</v>
      </c>
      <c r="S873" s="3">
        <f>IF(DataTable[[#This Row],[Valor]]&gt;1,1,1)</f>
        <v>1</v>
      </c>
      <c r="T873" s="3">
        <f>IF(DataTable[[#This Row],[Valor]]&gt;1,1,1)</f>
        <v>1</v>
      </c>
      <c r="U873" s="3">
        <f>angr(DataTable[[#This Row],[Sentido]],DataTable[[#This Row],[Valor]])</f>
        <v>22.173228346456693</v>
      </c>
      <c r="V873" s="3">
        <f>ANGI(DataTable[[#This Row],[Sentido]],DataTable[[#This Row],[Valor]])</f>
        <v>23.173228346456693</v>
      </c>
      <c r="W873" s="3">
        <f t="shared" si="223"/>
        <v>3</v>
      </c>
      <c r="X873" s="3">
        <f>IF(DataTable[[#This Row],[Valor]]&gt;1,1,1)</f>
        <v>1</v>
      </c>
      <c r="Y873" s="3">
        <f t="shared" si="224"/>
        <v>3</v>
      </c>
      <c r="Z873" s="3">
        <f>IF(AND(DataTable[[#This Row],[Sentido]]="URUGUAI para BRASIL",DataTable[[#This Row],[Valor]]&gt;350),1,0)</f>
        <v>1</v>
      </c>
      <c r="AA873" s="3">
        <f>IF(DataTable[[#This Row],[Valor]]&gt;1,0,0)</f>
        <v>0</v>
      </c>
    </row>
    <row r="874" spans="1:27" x14ac:dyDescent="0.25">
      <c r="A874" s="2" t="s">
        <v>18</v>
      </c>
      <c r="B874" s="2">
        <v>465</v>
      </c>
      <c r="C874" s="3">
        <f t="shared" si="210"/>
        <v>98.425429133858273</v>
      </c>
      <c r="D874" s="3">
        <f t="shared" si="211"/>
        <v>101.08035039370078</v>
      </c>
      <c r="E874" s="3">
        <f t="shared" si="212"/>
        <v>98.480350393700789</v>
      </c>
      <c r="F874" s="3">
        <f t="shared" si="213"/>
        <v>19.200000000000003</v>
      </c>
      <c r="G874" s="3">
        <f t="shared" si="214"/>
        <v>113.64345000000003</v>
      </c>
      <c r="H874" s="3">
        <f t="shared" si="215"/>
        <v>72</v>
      </c>
      <c r="I874" s="3"/>
      <c r="J874" s="3">
        <f t="shared" si="216"/>
        <v>94.580350393700783</v>
      </c>
      <c r="K874" s="3">
        <f t="shared" si="217"/>
        <v>101.08035039370078</v>
      </c>
      <c r="L874" s="34">
        <f t="shared" si="218"/>
        <v>98.480350393700789</v>
      </c>
      <c r="M874" s="3">
        <f t="shared" si="219"/>
        <v>-143</v>
      </c>
      <c r="N874" s="3">
        <f t="shared" si="220"/>
        <v>48.4</v>
      </c>
      <c r="O874" s="3"/>
      <c r="P874" s="3">
        <f t="shared" si="221"/>
        <v>140.84755905511813</v>
      </c>
      <c r="Q874" s="3">
        <f t="shared" si="222"/>
        <v>153.92490078740158</v>
      </c>
      <c r="R874" s="3">
        <f>vd(DataTable[[#This Row],[Sentido]],DataTable[[#This Row],[Valor]])</f>
        <v>153.92913385826773</v>
      </c>
      <c r="S874" s="3">
        <f>IF(DataTable[[#This Row],[Valor]]&gt;1,1,1)</f>
        <v>1</v>
      </c>
      <c r="T874" s="3">
        <f>IF(DataTable[[#This Row],[Valor]]&gt;1,1,1)</f>
        <v>1</v>
      </c>
      <c r="U874" s="3">
        <f>angr(DataTable[[#This Row],[Sentido]],DataTable[[#This Row],[Valor]])</f>
        <v>22.169291338582678</v>
      </c>
      <c r="V874" s="3">
        <f>ANGI(DataTable[[#This Row],[Sentido]],DataTable[[#This Row],[Valor]])</f>
        <v>23.169291338582678</v>
      </c>
      <c r="W874" s="3">
        <f t="shared" si="223"/>
        <v>3</v>
      </c>
      <c r="X874" s="3">
        <f>IF(DataTable[[#This Row],[Valor]]&gt;1,1,1)</f>
        <v>1</v>
      </c>
      <c r="Y874" s="3">
        <f t="shared" si="224"/>
        <v>3</v>
      </c>
      <c r="Z874" s="3">
        <f>IF(AND(DataTable[[#This Row],[Sentido]]="URUGUAI para BRASIL",DataTable[[#This Row],[Valor]]&gt;350),1,0)</f>
        <v>1</v>
      </c>
      <c r="AA874" s="3">
        <f>IF(DataTable[[#This Row],[Valor]]&gt;1,0,0)</f>
        <v>0</v>
      </c>
    </row>
    <row r="875" spans="1:27" x14ac:dyDescent="0.25">
      <c r="A875" s="2" t="s">
        <v>18</v>
      </c>
      <c r="B875" s="2">
        <v>466</v>
      </c>
      <c r="C875" s="3">
        <f t="shared" si="210"/>
        <v>98.497535433070865</v>
      </c>
      <c r="D875" s="3">
        <f t="shared" si="211"/>
        <v>101.15257480314961</v>
      </c>
      <c r="E875" s="3">
        <f t="shared" si="212"/>
        <v>98.552574803149611</v>
      </c>
      <c r="F875" s="3">
        <f t="shared" si="213"/>
        <v>19.079999999999998</v>
      </c>
      <c r="G875" s="3">
        <f t="shared" si="214"/>
        <v>114.44178000000004</v>
      </c>
      <c r="H875" s="3">
        <f t="shared" si="215"/>
        <v>71.8</v>
      </c>
      <c r="I875" s="3"/>
      <c r="J875" s="3">
        <f t="shared" si="216"/>
        <v>94.652574803149605</v>
      </c>
      <c r="K875" s="3">
        <f t="shared" si="217"/>
        <v>101.15257480314961</v>
      </c>
      <c r="L875" s="34">
        <f t="shared" si="218"/>
        <v>98.552574803149611</v>
      </c>
      <c r="M875" s="3">
        <f t="shared" si="219"/>
        <v>-143.19999999999999</v>
      </c>
      <c r="N875" s="3">
        <f t="shared" si="220"/>
        <v>48.160000000000004</v>
      </c>
      <c r="O875" s="3"/>
      <c r="P875" s="3">
        <f t="shared" si="221"/>
        <v>141.10022047244095</v>
      </c>
      <c r="Q875" s="3">
        <f t="shared" si="222"/>
        <v>154.03034960629921</v>
      </c>
      <c r="R875" s="3">
        <f>vd(DataTable[[#This Row],[Sentido]],DataTable[[#This Row],[Valor]])</f>
        <v>154.03543307086613</v>
      </c>
      <c r="S875" s="3">
        <f>IF(DataTable[[#This Row],[Valor]]&gt;1,1,1)</f>
        <v>1</v>
      </c>
      <c r="T875" s="3">
        <f>IF(DataTable[[#This Row],[Valor]]&gt;1,1,1)</f>
        <v>1</v>
      </c>
      <c r="U875" s="3">
        <f>angr(DataTable[[#This Row],[Sentido]],DataTable[[#This Row],[Valor]])</f>
        <v>22.165354330708663</v>
      </c>
      <c r="V875" s="3">
        <f>ANGI(DataTable[[#This Row],[Sentido]],DataTable[[#This Row],[Valor]])</f>
        <v>23.165354330708663</v>
      </c>
      <c r="W875" s="3">
        <f t="shared" si="223"/>
        <v>3</v>
      </c>
      <c r="X875" s="3">
        <f>IF(DataTable[[#This Row],[Valor]]&gt;1,1,1)</f>
        <v>1</v>
      </c>
      <c r="Y875" s="3">
        <f t="shared" si="224"/>
        <v>3</v>
      </c>
      <c r="Z875" s="3">
        <f>IF(AND(DataTable[[#This Row],[Sentido]]="URUGUAI para BRASIL",DataTable[[#This Row],[Valor]]&gt;350),1,0)</f>
        <v>1</v>
      </c>
      <c r="AA875" s="3">
        <f>IF(DataTable[[#This Row],[Valor]]&gt;1,0,0)</f>
        <v>0</v>
      </c>
    </row>
    <row r="876" spans="1:27" x14ac:dyDescent="0.25">
      <c r="A876" s="2" t="s">
        <v>18</v>
      </c>
      <c r="B876" s="2">
        <v>467</v>
      </c>
      <c r="C876" s="3">
        <f t="shared" si="210"/>
        <v>98.569641732283472</v>
      </c>
      <c r="D876" s="3">
        <f t="shared" si="211"/>
        <v>101.22479921259843</v>
      </c>
      <c r="E876" s="3">
        <f t="shared" si="212"/>
        <v>98.624799212598433</v>
      </c>
      <c r="F876" s="3">
        <f t="shared" si="213"/>
        <v>18.96</v>
      </c>
      <c r="G876" s="3">
        <f t="shared" si="214"/>
        <v>115.24011000000004</v>
      </c>
      <c r="H876" s="3">
        <f t="shared" si="215"/>
        <v>71.599999999999994</v>
      </c>
      <c r="I876" s="3"/>
      <c r="J876" s="3">
        <f t="shared" si="216"/>
        <v>94.724799212598427</v>
      </c>
      <c r="K876" s="3">
        <f t="shared" si="217"/>
        <v>101.22479921259843</v>
      </c>
      <c r="L876" s="34">
        <f t="shared" si="218"/>
        <v>98.624799212598433</v>
      </c>
      <c r="M876" s="3">
        <f t="shared" si="219"/>
        <v>-143.4</v>
      </c>
      <c r="N876" s="3">
        <f t="shared" si="220"/>
        <v>47.92</v>
      </c>
      <c r="O876" s="3"/>
      <c r="P876" s="3">
        <f t="shared" si="221"/>
        <v>141.35288188976378</v>
      </c>
      <c r="Q876" s="3">
        <f t="shared" si="222"/>
        <v>154.13579842519684</v>
      </c>
      <c r="R876" s="3">
        <f>vd(DataTable[[#This Row],[Sentido]],DataTable[[#This Row],[Valor]])</f>
        <v>154.14173228346456</v>
      </c>
      <c r="S876" s="3">
        <f>IF(DataTable[[#This Row],[Valor]]&gt;1,1,1)</f>
        <v>1</v>
      </c>
      <c r="T876" s="3">
        <f>IF(DataTable[[#This Row],[Valor]]&gt;1,1,1)</f>
        <v>1</v>
      </c>
      <c r="U876" s="3">
        <f>angr(DataTable[[#This Row],[Sentido]],DataTable[[#This Row],[Valor]])</f>
        <v>22.161417322834644</v>
      </c>
      <c r="V876" s="3">
        <f>ANGI(DataTable[[#This Row],[Sentido]],DataTable[[#This Row],[Valor]])</f>
        <v>23.161417322834644</v>
      </c>
      <c r="W876" s="3">
        <f t="shared" si="223"/>
        <v>3</v>
      </c>
      <c r="X876" s="3">
        <f>IF(DataTable[[#This Row],[Valor]]&gt;1,1,1)</f>
        <v>1</v>
      </c>
      <c r="Y876" s="3">
        <f t="shared" si="224"/>
        <v>3</v>
      </c>
      <c r="Z876" s="3">
        <f>IF(AND(DataTable[[#This Row],[Sentido]]="URUGUAI para BRASIL",DataTable[[#This Row],[Valor]]&gt;350),1,0)</f>
        <v>1</v>
      </c>
      <c r="AA876" s="3">
        <f>IF(DataTable[[#This Row],[Valor]]&gt;1,0,0)</f>
        <v>0</v>
      </c>
    </row>
    <row r="877" spans="1:27" x14ac:dyDescent="0.25">
      <c r="A877" s="2" t="s">
        <v>18</v>
      </c>
      <c r="B877" s="2">
        <v>468</v>
      </c>
      <c r="C877" s="3">
        <f t="shared" si="210"/>
        <v>98.641748031496064</v>
      </c>
      <c r="D877" s="3">
        <f t="shared" si="211"/>
        <v>101.29702362204723</v>
      </c>
      <c r="E877" s="3">
        <f t="shared" si="212"/>
        <v>98.69702362204724</v>
      </c>
      <c r="F877" s="3">
        <f t="shared" si="213"/>
        <v>18.840000000000003</v>
      </c>
      <c r="G877" s="3">
        <f t="shared" si="214"/>
        <v>116.03844000000004</v>
      </c>
      <c r="H877" s="3">
        <f t="shared" si="215"/>
        <v>71.399999999999991</v>
      </c>
      <c r="I877" s="3"/>
      <c r="J877" s="3">
        <f t="shared" si="216"/>
        <v>94.797023622047234</v>
      </c>
      <c r="K877" s="3">
        <f t="shared" si="217"/>
        <v>101.29702362204723</v>
      </c>
      <c r="L877" s="34">
        <f t="shared" si="218"/>
        <v>98.69702362204724</v>
      </c>
      <c r="M877" s="3">
        <f t="shared" si="219"/>
        <v>-143.6</v>
      </c>
      <c r="N877" s="3">
        <f t="shared" si="220"/>
        <v>47.68</v>
      </c>
      <c r="O877" s="3"/>
      <c r="P877" s="3">
        <f t="shared" si="221"/>
        <v>141.60554330708663</v>
      </c>
      <c r="Q877" s="3">
        <f t="shared" si="222"/>
        <v>154.2412472440945</v>
      </c>
      <c r="R877" s="3">
        <f>vd(DataTable[[#This Row],[Sentido]],DataTable[[#This Row],[Valor]])</f>
        <v>154.24803149606299</v>
      </c>
      <c r="S877" s="3">
        <f>IF(DataTable[[#This Row],[Valor]]&gt;1,1,1)</f>
        <v>1</v>
      </c>
      <c r="T877" s="3">
        <f>IF(DataTable[[#This Row],[Valor]]&gt;1,1,1)</f>
        <v>1</v>
      </c>
      <c r="U877" s="3">
        <f>angr(DataTable[[#This Row],[Sentido]],DataTable[[#This Row],[Valor]])</f>
        <v>22.15748031496063</v>
      </c>
      <c r="V877" s="3">
        <f>ANGI(DataTable[[#This Row],[Sentido]],DataTable[[#This Row],[Valor]])</f>
        <v>23.15748031496063</v>
      </c>
      <c r="W877" s="3">
        <f t="shared" si="223"/>
        <v>3</v>
      </c>
      <c r="X877" s="3">
        <f>IF(DataTable[[#This Row],[Valor]]&gt;1,1,1)</f>
        <v>1</v>
      </c>
      <c r="Y877" s="3">
        <f t="shared" si="224"/>
        <v>3</v>
      </c>
      <c r="Z877" s="3">
        <f>IF(AND(DataTable[[#This Row],[Sentido]]="URUGUAI para BRASIL",DataTable[[#This Row],[Valor]]&gt;350),1,0)</f>
        <v>1</v>
      </c>
      <c r="AA877" s="3">
        <f>IF(DataTable[[#This Row],[Valor]]&gt;1,0,0)</f>
        <v>0</v>
      </c>
    </row>
    <row r="878" spans="1:27" x14ac:dyDescent="0.25">
      <c r="A878" s="2" t="s">
        <v>18</v>
      </c>
      <c r="B878" s="2">
        <v>469</v>
      </c>
      <c r="C878" s="3">
        <f t="shared" si="210"/>
        <v>98.713854330708656</v>
      </c>
      <c r="D878" s="3">
        <f t="shared" si="211"/>
        <v>101.36924803149606</v>
      </c>
      <c r="E878" s="3">
        <f t="shared" si="212"/>
        <v>98.769248031496062</v>
      </c>
      <c r="F878" s="3">
        <f t="shared" si="213"/>
        <v>18.72</v>
      </c>
      <c r="G878" s="3">
        <f t="shared" si="214"/>
        <v>116.83677000000004</v>
      </c>
      <c r="H878" s="3">
        <f t="shared" si="215"/>
        <v>71.2</v>
      </c>
      <c r="I878" s="3"/>
      <c r="J878" s="3">
        <f t="shared" si="216"/>
        <v>94.869248031496056</v>
      </c>
      <c r="K878" s="3">
        <f t="shared" si="217"/>
        <v>101.36924803149606</v>
      </c>
      <c r="L878" s="34">
        <f t="shared" si="218"/>
        <v>98.769248031496062</v>
      </c>
      <c r="M878" s="3">
        <f t="shared" si="219"/>
        <v>-143.80000000000001</v>
      </c>
      <c r="N878" s="3">
        <f t="shared" si="220"/>
        <v>47.440000000000005</v>
      </c>
      <c r="O878" s="3"/>
      <c r="P878" s="3">
        <f t="shared" si="221"/>
        <v>141.85820472440943</v>
      </c>
      <c r="Q878" s="3">
        <f t="shared" si="222"/>
        <v>154.34669606299212</v>
      </c>
      <c r="R878" s="3">
        <f>vd(DataTable[[#This Row],[Sentido]],DataTable[[#This Row],[Valor]])</f>
        <v>154.35433070866142</v>
      </c>
      <c r="S878" s="3">
        <f>IF(DataTable[[#This Row],[Valor]]&gt;1,1,1)</f>
        <v>1</v>
      </c>
      <c r="T878" s="3">
        <f>IF(DataTable[[#This Row],[Valor]]&gt;1,1,1)</f>
        <v>1</v>
      </c>
      <c r="U878" s="3">
        <f>angr(DataTable[[#This Row],[Sentido]],DataTable[[#This Row],[Valor]])</f>
        <v>22.153543307086615</v>
      </c>
      <c r="V878" s="3">
        <f>ANGI(DataTable[[#This Row],[Sentido]],DataTable[[#This Row],[Valor]])</f>
        <v>23.153543307086615</v>
      </c>
      <c r="W878" s="3">
        <f t="shared" si="223"/>
        <v>3</v>
      </c>
      <c r="X878" s="3">
        <f>IF(DataTable[[#This Row],[Valor]]&gt;1,1,1)</f>
        <v>1</v>
      </c>
      <c r="Y878" s="3">
        <f t="shared" si="224"/>
        <v>3</v>
      </c>
      <c r="Z878" s="3">
        <f>IF(AND(DataTable[[#This Row],[Sentido]]="URUGUAI para BRASIL",DataTable[[#This Row],[Valor]]&gt;350),1,0)</f>
        <v>1</v>
      </c>
      <c r="AA878" s="3">
        <f>IF(DataTable[[#This Row],[Valor]]&gt;1,0,0)</f>
        <v>0</v>
      </c>
    </row>
    <row r="879" spans="1:27" x14ac:dyDescent="0.25">
      <c r="A879" s="2" t="s">
        <v>18</v>
      </c>
      <c r="B879" s="2">
        <v>470</v>
      </c>
      <c r="C879" s="3">
        <f t="shared" si="210"/>
        <v>98.785960629921263</v>
      </c>
      <c r="D879" s="3">
        <f t="shared" si="211"/>
        <v>101.44147244094488</v>
      </c>
      <c r="E879" s="3">
        <f t="shared" si="212"/>
        <v>98.841472440944884</v>
      </c>
      <c r="F879" s="3">
        <f t="shared" si="213"/>
        <v>18.600000000000001</v>
      </c>
      <c r="G879" s="3">
        <f t="shared" si="214"/>
        <v>117.63510000000004</v>
      </c>
      <c r="H879" s="3">
        <f t="shared" si="215"/>
        <v>71</v>
      </c>
      <c r="I879" s="3"/>
      <c r="J879" s="3">
        <f t="shared" si="216"/>
        <v>94.941472440944878</v>
      </c>
      <c r="K879" s="3">
        <f t="shared" si="217"/>
        <v>101.44147244094488</v>
      </c>
      <c r="L879" s="34">
        <f t="shared" si="218"/>
        <v>98.841472440944884</v>
      </c>
      <c r="M879" s="3">
        <f t="shared" si="219"/>
        <v>-144</v>
      </c>
      <c r="N879" s="3">
        <f t="shared" si="220"/>
        <v>47.2</v>
      </c>
      <c r="O879" s="3"/>
      <c r="P879" s="3">
        <f t="shared" si="221"/>
        <v>142.11086614173229</v>
      </c>
      <c r="Q879" s="3">
        <f t="shared" si="222"/>
        <v>154.45214488188975</v>
      </c>
      <c r="R879" s="3">
        <f>vd(DataTable[[#This Row],[Sentido]],DataTable[[#This Row],[Valor]])</f>
        <v>154.46062992125985</v>
      </c>
      <c r="S879" s="3">
        <f>IF(DataTable[[#This Row],[Valor]]&gt;1,1,1)</f>
        <v>1</v>
      </c>
      <c r="T879" s="3">
        <f>IF(DataTable[[#This Row],[Valor]]&gt;1,1,1)</f>
        <v>1</v>
      </c>
      <c r="U879" s="3">
        <f>angr(DataTable[[#This Row],[Sentido]],DataTable[[#This Row],[Valor]])</f>
        <v>22.1496062992126</v>
      </c>
      <c r="V879" s="3">
        <f>ANGI(DataTable[[#This Row],[Sentido]],DataTable[[#This Row],[Valor]])</f>
        <v>23.1496062992126</v>
      </c>
      <c r="W879" s="3">
        <f t="shared" si="223"/>
        <v>3</v>
      </c>
      <c r="X879" s="3">
        <f>IF(DataTable[[#This Row],[Valor]]&gt;1,1,1)</f>
        <v>1</v>
      </c>
      <c r="Y879" s="3">
        <f t="shared" si="224"/>
        <v>3</v>
      </c>
      <c r="Z879" s="3">
        <f>IF(AND(DataTable[[#This Row],[Sentido]]="URUGUAI para BRASIL",DataTable[[#This Row],[Valor]]&gt;350),1,0)</f>
        <v>1</v>
      </c>
      <c r="AA879" s="3">
        <f>IF(DataTable[[#This Row],[Valor]]&gt;1,0,0)</f>
        <v>0</v>
      </c>
    </row>
    <row r="880" spans="1:27" x14ac:dyDescent="0.25">
      <c r="A880" s="2" t="s">
        <v>18</v>
      </c>
      <c r="B880" s="2">
        <v>471</v>
      </c>
      <c r="C880" s="3">
        <f t="shared" si="210"/>
        <v>98.858066929133855</v>
      </c>
      <c r="D880" s="3">
        <f t="shared" si="211"/>
        <v>101.5136968503937</v>
      </c>
      <c r="E880" s="3">
        <f t="shared" si="212"/>
        <v>98.913696850393706</v>
      </c>
      <c r="F880" s="3">
        <f t="shared" si="213"/>
        <v>18.480000000000004</v>
      </c>
      <c r="G880" s="3">
        <f t="shared" si="214"/>
        <v>118.43343000000004</v>
      </c>
      <c r="H880" s="3">
        <f t="shared" si="215"/>
        <v>70.8</v>
      </c>
      <c r="I880" s="3"/>
      <c r="J880" s="3">
        <f t="shared" si="216"/>
        <v>95.0136968503937</v>
      </c>
      <c r="K880" s="3">
        <f t="shared" si="217"/>
        <v>101.5136968503937</v>
      </c>
      <c r="L880" s="34">
        <f t="shared" si="218"/>
        <v>98.913696850393706</v>
      </c>
      <c r="M880" s="3">
        <f t="shared" si="219"/>
        <v>-144.19999999999999</v>
      </c>
      <c r="N880" s="3">
        <f t="shared" si="220"/>
        <v>46.96</v>
      </c>
      <c r="O880" s="3"/>
      <c r="P880" s="3">
        <f t="shared" si="221"/>
        <v>142.36352755905511</v>
      </c>
      <c r="Q880" s="3">
        <f t="shared" si="222"/>
        <v>154.55759370078741</v>
      </c>
      <c r="R880" s="3">
        <f>vd(DataTable[[#This Row],[Sentido]],DataTable[[#This Row],[Valor]])</f>
        <v>154.56692913385828</v>
      </c>
      <c r="S880" s="3">
        <f>IF(DataTable[[#This Row],[Valor]]&gt;1,1,1)</f>
        <v>1</v>
      </c>
      <c r="T880" s="3">
        <f>IF(DataTable[[#This Row],[Valor]]&gt;1,1,1)</f>
        <v>1</v>
      </c>
      <c r="U880" s="3">
        <f>angr(DataTable[[#This Row],[Sentido]],DataTable[[#This Row],[Valor]])</f>
        <v>22.145669291338582</v>
      </c>
      <c r="V880" s="3">
        <f>ANGI(DataTable[[#This Row],[Sentido]],DataTable[[#This Row],[Valor]])</f>
        <v>23.145669291338582</v>
      </c>
      <c r="W880" s="3">
        <f t="shared" si="223"/>
        <v>3</v>
      </c>
      <c r="X880" s="3">
        <f>IF(DataTable[[#This Row],[Valor]]&gt;1,1,1)</f>
        <v>1</v>
      </c>
      <c r="Y880" s="3">
        <f t="shared" si="224"/>
        <v>3</v>
      </c>
      <c r="Z880" s="3">
        <f>IF(AND(DataTable[[#This Row],[Sentido]]="URUGUAI para BRASIL",DataTable[[#This Row],[Valor]]&gt;350),1,0)</f>
        <v>1</v>
      </c>
      <c r="AA880" s="3">
        <f>IF(DataTable[[#This Row],[Valor]]&gt;1,0,0)</f>
        <v>0</v>
      </c>
    </row>
    <row r="881" spans="1:27" x14ac:dyDescent="0.25">
      <c r="A881" s="2" t="s">
        <v>18</v>
      </c>
      <c r="B881" s="2">
        <v>472</v>
      </c>
      <c r="C881" s="3">
        <f t="shared" si="210"/>
        <v>98.930173228346462</v>
      </c>
      <c r="D881" s="3">
        <f t="shared" si="211"/>
        <v>101.58592125984252</v>
      </c>
      <c r="E881" s="3">
        <f t="shared" si="212"/>
        <v>98.985921259842527</v>
      </c>
      <c r="F881" s="3">
        <f t="shared" si="213"/>
        <v>18.36</v>
      </c>
      <c r="G881" s="3">
        <f t="shared" si="214"/>
        <v>119.23176000000004</v>
      </c>
      <c r="H881" s="3">
        <f t="shared" si="215"/>
        <v>70.599999999999994</v>
      </c>
      <c r="I881" s="3"/>
      <c r="J881" s="3">
        <f t="shared" si="216"/>
        <v>95.085921259842522</v>
      </c>
      <c r="K881" s="3">
        <f t="shared" si="217"/>
        <v>101.58592125984252</v>
      </c>
      <c r="L881" s="34">
        <f t="shared" si="218"/>
        <v>98.985921259842527</v>
      </c>
      <c r="M881" s="3">
        <f t="shared" si="219"/>
        <v>-144.4</v>
      </c>
      <c r="N881" s="3">
        <f t="shared" si="220"/>
        <v>46.72</v>
      </c>
      <c r="O881" s="3"/>
      <c r="P881" s="3">
        <f t="shared" si="221"/>
        <v>142.61618897637794</v>
      </c>
      <c r="Q881" s="3">
        <f t="shared" si="222"/>
        <v>154.66304251968504</v>
      </c>
      <c r="R881" s="3">
        <f>vd(DataTable[[#This Row],[Sentido]],DataTable[[#This Row],[Valor]])</f>
        <v>154.67322834645671</v>
      </c>
      <c r="S881" s="3">
        <f>IF(DataTable[[#This Row],[Valor]]&gt;1,1,1)</f>
        <v>1</v>
      </c>
      <c r="T881" s="3">
        <f>IF(DataTable[[#This Row],[Valor]]&gt;1,1,1)</f>
        <v>1</v>
      </c>
      <c r="U881" s="3">
        <f>angr(DataTable[[#This Row],[Sentido]],DataTable[[#This Row],[Valor]])</f>
        <v>22.141732283464567</v>
      </c>
      <c r="V881" s="3">
        <f>ANGI(DataTable[[#This Row],[Sentido]],DataTable[[#This Row],[Valor]])</f>
        <v>23.141732283464567</v>
      </c>
      <c r="W881" s="3">
        <f t="shared" si="223"/>
        <v>3</v>
      </c>
      <c r="X881" s="3">
        <f>IF(DataTable[[#This Row],[Valor]]&gt;1,1,1)</f>
        <v>1</v>
      </c>
      <c r="Y881" s="3">
        <f t="shared" si="224"/>
        <v>3</v>
      </c>
      <c r="Z881" s="3">
        <f>IF(AND(DataTable[[#This Row],[Sentido]]="URUGUAI para BRASIL",DataTable[[#This Row],[Valor]]&gt;350),1,0)</f>
        <v>1</v>
      </c>
      <c r="AA881" s="3">
        <f>IF(DataTable[[#This Row],[Valor]]&gt;1,0,0)</f>
        <v>0</v>
      </c>
    </row>
    <row r="882" spans="1:27" x14ac:dyDescent="0.25">
      <c r="A882" s="2" t="s">
        <v>18</v>
      </c>
      <c r="B882" s="2">
        <v>473</v>
      </c>
      <c r="C882" s="3">
        <f t="shared" si="210"/>
        <v>99.002279527559054</v>
      </c>
      <c r="D882" s="3">
        <f t="shared" si="211"/>
        <v>101.65814566929133</v>
      </c>
      <c r="E882" s="3">
        <f t="shared" si="212"/>
        <v>99.058145669291335</v>
      </c>
      <c r="F882" s="3">
        <f t="shared" si="213"/>
        <v>18.240000000000002</v>
      </c>
      <c r="G882" s="3">
        <f t="shared" si="214"/>
        <v>120.03009000000003</v>
      </c>
      <c r="H882" s="3">
        <f t="shared" si="215"/>
        <v>70.399999999999991</v>
      </c>
      <c r="I882" s="3"/>
      <c r="J882" s="3">
        <f t="shared" si="216"/>
        <v>95.158145669291329</v>
      </c>
      <c r="K882" s="3">
        <f t="shared" si="217"/>
        <v>101.65814566929133</v>
      </c>
      <c r="L882" s="34">
        <f t="shared" si="218"/>
        <v>99.058145669291335</v>
      </c>
      <c r="M882" s="3">
        <f t="shared" si="219"/>
        <v>-144.6</v>
      </c>
      <c r="N882" s="3">
        <f t="shared" si="220"/>
        <v>46.480000000000004</v>
      </c>
      <c r="O882" s="3"/>
      <c r="P882" s="3">
        <f t="shared" si="221"/>
        <v>142.8688503937008</v>
      </c>
      <c r="Q882" s="3">
        <f t="shared" si="222"/>
        <v>154.76849133858269</v>
      </c>
      <c r="R882" s="3">
        <f>vd(DataTable[[#This Row],[Sentido]],DataTable[[#This Row],[Valor]])</f>
        <v>154.77952755905511</v>
      </c>
      <c r="S882" s="3">
        <f>IF(DataTable[[#This Row],[Valor]]&gt;1,1,1)</f>
        <v>1</v>
      </c>
      <c r="T882" s="3">
        <f>IF(DataTable[[#This Row],[Valor]]&gt;1,1,1)</f>
        <v>1</v>
      </c>
      <c r="U882" s="3">
        <f>angr(DataTable[[#This Row],[Sentido]],DataTable[[#This Row],[Valor]])</f>
        <v>22.137795275590552</v>
      </c>
      <c r="V882" s="3">
        <f>ANGI(DataTable[[#This Row],[Sentido]],DataTable[[#This Row],[Valor]])</f>
        <v>23.137795275590552</v>
      </c>
      <c r="W882" s="3">
        <f t="shared" si="223"/>
        <v>3</v>
      </c>
      <c r="X882" s="3">
        <f>IF(DataTable[[#This Row],[Valor]]&gt;1,1,1)</f>
        <v>1</v>
      </c>
      <c r="Y882" s="3">
        <f t="shared" si="224"/>
        <v>3</v>
      </c>
      <c r="Z882" s="3">
        <f>IF(AND(DataTable[[#This Row],[Sentido]]="URUGUAI para BRASIL",DataTable[[#This Row],[Valor]]&gt;350),1,0)</f>
        <v>1</v>
      </c>
      <c r="AA882" s="3">
        <f>IF(DataTable[[#This Row],[Valor]]&gt;1,0,0)</f>
        <v>0</v>
      </c>
    </row>
    <row r="883" spans="1:27" x14ac:dyDescent="0.25">
      <c r="A883" s="2" t="s">
        <v>18</v>
      </c>
      <c r="B883" s="2">
        <v>474</v>
      </c>
      <c r="C883" s="3">
        <f t="shared" si="210"/>
        <v>99.07438582677166</v>
      </c>
      <c r="D883" s="3">
        <f t="shared" si="211"/>
        <v>101.73037007874015</v>
      </c>
      <c r="E883" s="3">
        <f t="shared" si="212"/>
        <v>99.130370078740157</v>
      </c>
      <c r="F883" s="3">
        <f t="shared" si="213"/>
        <v>18.120000000000005</v>
      </c>
      <c r="G883" s="3">
        <f t="shared" si="214"/>
        <v>120.82842000000005</v>
      </c>
      <c r="H883" s="3">
        <f t="shared" si="215"/>
        <v>70.2</v>
      </c>
      <c r="I883" s="3"/>
      <c r="J883" s="3">
        <f t="shared" si="216"/>
        <v>95.230370078740151</v>
      </c>
      <c r="K883" s="3">
        <f t="shared" si="217"/>
        <v>101.73037007874015</v>
      </c>
      <c r="L883" s="34">
        <f t="shared" si="218"/>
        <v>99.130370078740157</v>
      </c>
      <c r="M883" s="3">
        <f t="shared" si="219"/>
        <v>-144.80000000000001</v>
      </c>
      <c r="N883" s="3">
        <f t="shared" si="220"/>
        <v>46.24</v>
      </c>
      <c r="O883" s="3"/>
      <c r="P883" s="3">
        <f t="shared" si="221"/>
        <v>143.12151181102362</v>
      </c>
      <c r="Q883" s="3">
        <f t="shared" si="222"/>
        <v>154.87394015748032</v>
      </c>
      <c r="R883" s="3">
        <f>vd(DataTable[[#This Row],[Sentido]],DataTable[[#This Row],[Valor]])</f>
        <v>154.88582677165354</v>
      </c>
      <c r="S883" s="3">
        <f>IF(DataTable[[#This Row],[Valor]]&gt;1,1,1)</f>
        <v>1</v>
      </c>
      <c r="T883" s="3">
        <f>IF(DataTable[[#This Row],[Valor]]&gt;1,1,1)</f>
        <v>1</v>
      </c>
      <c r="U883" s="3">
        <f>angr(DataTable[[#This Row],[Sentido]],DataTable[[#This Row],[Valor]])</f>
        <v>22.133858267716537</v>
      </c>
      <c r="V883" s="3">
        <f>ANGI(DataTable[[#This Row],[Sentido]],DataTable[[#This Row],[Valor]])</f>
        <v>23.133858267716537</v>
      </c>
      <c r="W883" s="3">
        <f t="shared" si="223"/>
        <v>3</v>
      </c>
      <c r="X883" s="3">
        <f>IF(DataTable[[#This Row],[Valor]]&gt;1,1,1)</f>
        <v>1</v>
      </c>
      <c r="Y883" s="3">
        <f t="shared" si="224"/>
        <v>3</v>
      </c>
      <c r="Z883" s="3">
        <f>IF(AND(DataTable[[#This Row],[Sentido]]="URUGUAI para BRASIL",DataTable[[#This Row],[Valor]]&gt;350),1,0)</f>
        <v>1</v>
      </c>
      <c r="AA883" s="3">
        <f>IF(DataTable[[#This Row],[Valor]]&gt;1,0,0)</f>
        <v>0</v>
      </c>
    </row>
    <row r="884" spans="1:27" x14ac:dyDescent="0.25">
      <c r="A884" s="2" t="s">
        <v>18</v>
      </c>
      <c r="B884" s="2">
        <v>475</v>
      </c>
      <c r="C884" s="3">
        <f t="shared" si="210"/>
        <v>99.146492125984253</v>
      </c>
      <c r="D884" s="3">
        <f t="shared" si="211"/>
        <v>101.80259448818897</v>
      </c>
      <c r="E884" s="3">
        <f t="shared" si="212"/>
        <v>99.202594488188979</v>
      </c>
      <c r="F884" s="3">
        <f t="shared" si="213"/>
        <v>18</v>
      </c>
      <c r="G884" s="3">
        <f t="shared" si="214"/>
        <v>121.62675000000004</v>
      </c>
      <c r="H884" s="3">
        <f t="shared" si="215"/>
        <v>70</v>
      </c>
      <c r="I884" s="3"/>
      <c r="J884" s="3">
        <f t="shared" si="216"/>
        <v>95.302594488188973</v>
      </c>
      <c r="K884" s="3">
        <f t="shared" si="217"/>
        <v>101.80259448818897</v>
      </c>
      <c r="L884" s="34">
        <f t="shared" si="218"/>
        <v>99.202594488188979</v>
      </c>
      <c r="M884" s="3">
        <f t="shared" si="219"/>
        <v>-145</v>
      </c>
      <c r="N884" s="3">
        <f t="shared" si="220"/>
        <v>46</v>
      </c>
      <c r="O884" s="3"/>
      <c r="P884" s="3">
        <f t="shared" si="221"/>
        <v>143.37417322834648</v>
      </c>
      <c r="Q884" s="3">
        <f t="shared" si="222"/>
        <v>154.97938897637795</v>
      </c>
      <c r="R884" s="3">
        <f>vd(DataTable[[#This Row],[Sentido]],DataTable[[#This Row],[Valor]])</f>
        <v>154.99212598425197</v>
      </c>
      <c r="S884" s="3">
        <f>IF(DataTable[[#This Row],[Valor]]&gt;1,1,1)</f>
        <v>1</v>
      </c>
      <c r="T884" s="3">
        <f>IF(DataTable[[#This Row],[Valor]]&gt;1,1,1)</f>
        <v>1</v>
      </c>
      <c r="U884" s="3">
        <f>angr(DataTable[[#This Row],[Sentido]],DataTable[[#This Row],[Valor]])</f>
        <v>22.129921259842522</v>
      </c>
      <c r="V884" s="3">
        <f>ANGI(DataTable[[#This Row],[Sentido]],DataTable[[#This Row],[Valor]])</f>
        <v>23.129921259842522</v>
      </c>
      <c r="W884" s="3">
        <f t="shared" si="223"/>
        <v>3</v>
      </c>
      <c r="X884" s="3">
        <f>IF(DataTable[[#This Row],[Valor]]&gt;1,1,1)</f>
        <v>1</v>
      </c>
      <c r="Y884" s="3">
        <f t="shared" si="224"/>
        <v>3</v>
      </c>
      <c r="Z884" s="3">
        <f>IF(AND(DataTable[[#This Row],[Sentido]]="URUGUAI para BRASIL",DataTable[[#This Row],[Valor]]&gt;350),1,0)</f>
        <v>1</v>
      </c>
      <c r="AA884" s="3">
        <f>IF(DataTable[[#This Row],[Valor]]&gt;1,0,0)</f>
        <v>0</v>
      </c>
    </row>
    <row r="885" spans="1:27" x14ac:dyDescent="0.25">
      <c r="A885" s="2" t="s">
        <v>18</v>
      </c>
      <c r="B885" s="2">
        <v>476</v>
      </c>
      <c r="C885" s="3">
        <f t="shared" si="210"/>
        <v>99.218598425196845</v>
      </c>
      <c r="D885" s="3">
        <f t="shared" si="211"/>
        <v>101.87481889763779</v>
      </c>
      <c r="E885" s="3">
        <f t="shared" si="212"/>
        <v>99.2748188976378</v>
      </c>
      <c r="F885" s="3">
        <f t="shared" si="213"/>
        <v>17.880000000000003</v>
      </c>
      <c r="G885" s="3">
        <f t="shared" si="214"/>
        <v>122.42508000000004</v>
      </c>
      <c r="H885" s="3">
        <f t="shared" si="215"/>
        <v>69.8</v>
      </c>
      <c r="I885" s="3"/>
      <c r="J885" s="3">
        <f t="shared" si="216"/>
        <v>95.374818897637795</v>
      </c>
      <c r="K885" s="3">
        <f t="shared" si="217"/>
        <v>101.87481889763779</v>
      </c>
      <c r="L885" s="34">
        <f t="shared" si="218"/>
        <v>99.2748188976378</v>
      </c>
      <c r="M885" s="3">
        <f t="shared" si="219"/>
        <v>-145.19999999999999</v>
      </c>
      <c r="N885" s="3">
        <f t="shared" si="220"/>
        <v>45.760000000000005</v>
      </c>
      <c r="O885" s="3"/>
      <c r="P885" s="3">
        <f t="shared" si="221"/>
        <v>143.62683464566928</v>
      </c>
      <c r="Q885" s="3">
        <f t="shared" si="222"/>
        <v>155.0848377952756</v>
      </c>
      <c r="R885" s="3">
        <f>vd(DataTable[[#This Row],[Sentido]],DataTable[[#This Row],[Valor]])</f>
        <v>155.0984251968504</v>
      </c>
      <c r="S885" s="3">
        <f>IF(DataTable[[#This Row],[Valor]]&gt;1,1,1)</f>
        <v>1</v>
      </c>
      <c r="T885" s="3">
        <f>IF(DataTable[[#This Row],[Valor]]&gt;1,1,1)</f>
        <v>1</v>
      </c>
      <c r="U885" s="3">
        <f>angr(DataTable[[#This Row],[Sentido]],DataTable[[#This Row],[Valor]])</f>
        <v>22.125984251968504</v>
      </c>
      <c r="V885" s="3">
        <f>ANGI(DataTable[[#This Row],[Sentido]],DataTable[[#This Row],[Valor]])</f>
        <v>23.125984251968504</v>
      </c>
      <c r="W885" s="3">
        <f t="shared" si="223"/>
        <v>3</v>
      </c>
      <c r="X885" s="3">
        <f>IF(DataTable[[#This Row],[Valor]]&gt;1,1,1)</f>
        <v>1</v>
      </c>
      <c r="Y885" s="3">
        <f t="shared" si="224"/>
        <v>3</v>
      </c>
      <c r="Z885" s="3">
        <f>IF(AND(DataTable[[#This Row],[Sentido]]="URUGUAI para BRASIL",DataTable[[#This Row],[Valor]]&gt;350),1,0)</f>
        <v>1</v>
      </c>
      <c r="AA885" s="3">
        <f>IF(DataTable[[#This Row],[Valor]]&gt;1,0,0)</f>
        <v>0</v>
      </c>
    </row>
    <row r="886" spans="1:27" x14ac:dyDescent="0.25">
      <c r="A886" s="2" t="s">
        <v>18</v>
      </c>
      <c r="B886" s="2">
        <v>477</v>
      </c>
      <c r="C886" s="3">
        <f t="shared" si="210"/>
        <v>99.290704724409451</v>
      </c>
      <c r="D886" s="3">
        <f t="shared" si="211"/>
        <v>101.9470433070866</v>
      </c>
      <c r="E886" s="3">
        <f t="shared" si="212"/>
        <v>99.347043307086608</v>
      </c>
      <c r="F886" s="3">
        <f t="shared" si="213"/>
        <v>17.759999999999998</v>
      </c>
      <c r="G886" s="3">
        <f t="shared" si="214"/>
        <v>123.22341000000003</v>
      </c>
      <c r="H886" s="3">
        <f t="shared" si="215"/>
        <v>69.599999999999994</v>
      </c>
      <c r="I886" s="3"/>
      <c r="J886" s="3">
        <f t="shared" si="216"/>
        <v>95.447043307086602</v>
      </c>
      <c r="K886" s="3">
        <f t="shared" si="217"/>
        <v>101.9470433070866</v>
      </c>
      <c r="L886" s="34">
        <f t="shared" si="218"/>
        <v>99.347043307086608</v>
      </c>
      <c r="M886" s="3">
        <f t="shared" si="219"/>
        <v>-145.4</v>
      </c>
      <c r="N886" s="3">
        <f t="shared" si="220"/>
        <v>45.52</v>
      </c>
      <c r="O886" s="3"/>
      <c r="P886" s="3">
        <f t="shared" si="221"/>
        <v>143.87949606299213</v>
      </c>
      <c r="Q886" s="3">
        <f t="shared" si="222"/>
        <v>155.19028661417323</v>
      </c>
      <c r="R886" s="3">
        <f>vd(DataTable[[#This Row],[Sentido]],DataTable[[#This Row],[Valor]])</f>
        <v>155.20472440944883</v>
      </c>
      <c r="S886" s="3">
        <f>IF(DataTable[[#This Row],[Valor]]&gt;1,1,1)</f>
        <v>1</v>
      </c>
      <c r="T886" s="3">
        <f>IF(DataTable[[#This Row],[Valor]]&gt;1,1,1)</f>
        <v>1</v>
      </c>
      <c r="U886" s="3">
        <f>angr(DataTable[[#This Row],[Sentido]],DataTable[[#This Row],[Valor]])</f>
        <v>22.122047244094489</v>
      </c>
      <c r="V886" s="3">
        <f>ANGI(DataTable[[#This Row],[Sentido]],DataTable[[#This Row],[Valor]])</f>
        <v>23.122047244094489</v>
      </c>
      <c r="W886" s="3">
        <f t="shared" si="223"/>
        <v>3</v>
      </c>
      <c r="X886" s="3">
        <f>IF(DataTable[[#This Row],[Valor]]&gt;1,1,1)</f>
        <v>1</v>
      </c>
      <c r="Y886" s="3">
        <f t="shared" si="224"/>
        <v>3</v>
      </c>
      <c r="Z886" s="3">
        <f>IF(AND(DataTable[[#This Row],[Sentido]]="URUGUAI para BRASIL",DataTable[[#This Row],[Valor]]&gt;350),1,0)</f>
        <v>1</v>
      </c>
      <c r="AA886" s="3">
        <f>IF(DataTable[[#This Row],[Valor]]&gt;1,0,0)</f>
        <v>0</v>
      </c>
    </row>
    <row r="887" spans="1:27" x14ac:dyDescent="0.25">
      <c r="A887" s="2" t="s">
        <v>18</v>
      </c>
      <c r="B887" s="2">
        <v>478</v>
      </c>
      <c r="C887" s="3">
        <f t="shared" si="210"/>
        <v>99.362811023622058</v>
      </c>
      <c r="D887" s="3">
        <f t="shared" si="211"/>
        <v>102.01926771653542</v>
      </c>
      <c r="E887" s="3">
        <f t="shared" si="212"/>
        <v>99.41926771653543</v>
      </c>
      <c r="F887" s="3">
        <f t="shared" si="213"/>
        <v>17.64</v>
      </c>
      <c r="G887" s="3">
        <f t="shared" si="214"/>
        <v>124.02174000000002</v>
      </c>
      <c r="H887" s="3">
        <f t="shared" si="215"/>
        <v>69.399999999999991</v>
      </c>
      <c r="I887" s="3"/>
      <c r="J887" s="3">
        <f t="shared" si="216"/>
        <v>95.519267716535424</v>
      </c>
      <c r="K887" s="3">
        <f t="shared" si="217"/>
        <v>102.01926771653542</v>
      </c>
      <c r="L887" s="34">
        <f t="shared" si="218"/>
        <v>99.41926771653543</v>
      </c>
      <c r="M887" s="3">
        <f t="shared" si="219"/>
        <v>-145.6</v>
      </c>
      <c r="N887" s="3">
        <f t="shared" si="220"/>
        <v>45.28</v>
      </c>
      <c r="O887" s="3"/>
      <c r="P887" s="3">
        <f t="shared" si="221"/>
        <v>144.13215748031499</v>
      </c>
      <c r="Q887" s="3">
        <f t="shared" si="222"/>
        <v>155.29573543307089</v>
      </c>
      <c r="R887" s="3">
        <f>vd(DataTable[[#This Row],[Sentido]],DataTable[[#This Row],[Valor]])</f>
        <v>155.31102362204726</v>
      </c>
      <c r="S887" s="3">
        <f>IF(DataTable[[#This Row],[Valor]]&gt;1,1,1)</f>
        <v>1</v>
      </c>
      <c r="T887" s="3">
        <f>IF(DataTable[[#This Row],[Valor]]&gt;1,1,1)</f>
        <v>1</v>
      </c>
      <c r="U887" s="3">
        <f>angr(DataTable[[#This Row],[Sentido]],DataTable[[#This Row],[Valor]])</f>
        <v>22.118110236220474</v>
      </c>
      <c r="V887" s="3">
        <f>ANGI(DataTable[[#This Row],[Sentido]],DataTable[[#This Row],[Valor]])</f>
        <v>23.118110236220474</v>
      </c>
      <c r="W887" s="3">
        <f t="shared" si="223"/>
        <v>3</v>
      </c>
      <c r="X887" s="3">
        <f>IF(DataTable[[#This Row],[Valor]]&gt;1,1,1)</f>
        <v>1</v>
      </c>
      <c r="Y887" s="3">
        <f t="shared" si="224"/>
        <v>3</v>
      </c>
      <c r="Z887" s="3">
        <f>IF(AND(DataTable[[#This Row],[Sentido]]="URUGUAI para BRASIL",DataTable[[#This Row],[Valor]]&gt;350),1,0)</f>
        <v>1</v>
      </c>
      <c r="AA887" s="3">
        <f>IF(DataTable[[#This Row],[Valor]]&gt;1,0,0)</f>
        <v>0</v>
      </c>
    </row>
    <row r="888" spans="1:27" x14ac:dyDescent="0.25">
      <c r="A888" s="2" t="s">
        <v>18</v>
      </c>
      <c r="B888" s="2">
        <v>479</v>
      </c>
      <c r="C888" s="3">
        <f t="shared" si="210"/>
        <v>99.43491732283465</v>
      </c>
      <c r="D888" s="3">
        <f t="shared" si="211"/>
        <v>102.09149212598425</v>
      </c>
      <c r="E888" s="3">
        <f t="shared" si="212"/>
        <v>99.491492125984252</v>
      </c>
      <c r="F888" s="3">
        <f t="shared" si="213"/>
        <v>17.520000000000003</v>
      </c>
      <c r="G888" s="3">
        <f t="shared" si="214"/>
        <v>124.82007000000004</v>
      </c>
      <c r="H888" s="3">
        <f t="shared" si="215"/>
        <v>69.2</v>
      </c>
      <c r="I888" s="3"/>
      <c r="J888" s="3">
        <f t="shared" si="216"/>
        <v>95.591492125984246</v>
      </c>
      <c r="K888" s="3">
        <f t="shared" si="217"/>
        <v>102.09149212598425</v>
      </c>
      <c r="L888" s="34">
        <f t="shared" si="218"/>
        <v>99.491492125984252</v>
      </c>
      <c r="M888" s="3">
        <f t="shared" si="219"/>
        <v>-145.80000000000001</v>
      </c>
      <c r="N888" s="3">
        <f t="shared" si="220"/>
        <v>45.04</v>
      </c>
      <c r="O888" s="3"/>
      <c r="P888" s="3">
        <f t="shared" si="221"/>
        <v>144.38481889763779</v>
      </c>
      <c r="Q888" s="3">
        <f t="shared" si="222"/>
        <v>155.40118425196852</v>
      </c>
      <c r="R888" s="3">
        <f>vd(DataTable[[#This Row],[Sentido]],DataTable[[#This Row],[Valor]])</f>
        <v>155.41732283464569</v>
      </c>
      <c r="S888" s="3">
        <f>IF(DataTable[[#This Row],[Valor]]&gt;1,1,1)</f>
        <v>1</v>
      </c>
      <c r="T888" s="3">
        <f>IF(DataTable[[#This Row],[Valor]]&gt;1,1,1)</f>
        <v>1</v>
      </c>
      <c r="U888" s="3">
        <f>angr(DataTable[[#This Row],[Sentido]],DataTable[[#This Row],[Valor]])</f>
        <v>22.114173228346459</v>
      </c>
      <c r="V888" s="3">
        <f>ANGI(DataTable[[#This Row],[Sentido]],DataTable[[#This Row],[Valor]])</f>
        <v>23.114173228346459</v>
      </c>
      <c r="W888" s="3">
        <f t="shared" si="223"/>
        <v>3</v>
      </c>
      <c r="X888" s="3">
        <f>IF(DataTable[[#This Row],[Valor]]&gt;1,1,1)</f>
        <v>1</v>
      </c>
      <c r="Y888" s="3">
        <f t="shared" si="224"/>
        <v>3</v>
      </c>
      <c r="Z888" s="3">
        <f>IF(AND(DataTable[[#This Row],[Sentido]]="URUGUAI para BRASIL",DataTable[[#This Row],[Valor]]&gt;350),1,0)</f>
        <v>1</v>
      </c>
      <c r="AA888" s="3">
        <f>IF(DataTable[[#This Row],[Valor]]&gt;1,0,0)</f>
        <v>0</v>
      </c>
    </row>
    <row r="889" spans="1:27" x14ac:dyDescent="0.25">
      <c r="A889" s="2" t="s">
        <v>18</v>
      </c>
      <c r="B889" s="2">
        <v>480</v>
      </c>
      <c r="C889" s="3">
        <f t="shared" si="210"/>
        <v>99.507023622047242</v>
      </c>
      <c r="D889" s="3">
        <f t="shared" si="211"/>
        <v>102.16371653543307</v>
      </c>
      <c r="E889" s="3">
        <f t="shared" si="212"/>
        <v>99.563716535433073</v>
      </c>
      <c r="F889" s="3">
        <f t="shared" si="213"/>
        <v>17.399999999999999</v>
      </c>
      <c r="G889" s="3">
        <f t="shared" si="214"/>
        <v>125.61840000000004</v>
      </c>
      <c r="H889" s="3">
        <f t="shared" si="215"/>
        <v>69</v>
      </c>
      <c r="I889" s="3"/>
      <c r="J889" s="3">
        <f t="shared" si="216"/>
        <v>95.663716535433068</v>
      </c>
      <c r="K889" s="3">
        <f t="shared" si="217"/>
        <v>102.16371653543307</v>
      </c>
      <c r="L889" s="34">
        <f t="shared" si="218"/>
        <v>99.563716535433073</v>
      </c>
      <c r="M889" s="3">
        <f t="shared" si="219"/>
        <v>-146</v>
      </c>
      <c r="N889" s="3">
        <f t="shared" si="220"/>
        <v>44.800000000000004</v>
      </c>
      <c r="O889" s="3"/>
      <c r="P889" s="3">
        <f t="shared" si="221"/>
        <v>144.63748031496064</v>
      </c>
      <c r="Q889" s="3">
        <f t="shared" si="222"/>
        <v>155.50663307086614</v>
      </c>
      <c r="R889" s="3">
        <f>vd(DataTable[[#This Row],[Sentido]],DataTable[[#This Row],[Valor]])</f>
        <v>155.52362204724412</v>
      </c>
      <c r="S889" s="3">
        <f>IF(DataTable[[#This Row],[Valor]]&gt;1,1,1)</f>
        <v>1</v>
      </c>
      <c r="T889" s="3">
        <f>IF(DataTable[[#This Row],[Valor]]&gt;1,1,1)</f>
        <v>1</v>
      </c>
      <c r="U889" s="3">
        <f>angr(DataTable[[#This Row],[Sentido]],DataTable[[#This Row],[Valor]])</f>
        <v>22.110236220472441</v>
      </c>
      <c r="V889" s="3">
        <f>ANGI(DataTable[[#This Row],[Sentido]],DataTable[[#This Row],[Valor]])</f>
        <v>23.110236220472441</v>
      </c>
      <c r="W889" s="3">
        <f t="shared" si="223"/>
        <v>3</v>
      </c>
      <c r="X889" s="3">
        <f>IF(DataTable[[#This Row],[Valor]]&gt;1,1,1)</f>
        <v>1</v>
      </c>
      <c r="Y889" s="3">
        <f t="shared" si="224"/>
        <v>3</v>
      </c>
      <c r="Z889" s="3">
        <f>IF(AND(DataTable[[#This Row],[Sentido]]="URUGUAI para BRASIL",DataTable[[#This Row],[Valor]]&gt;350),1,0)</f>
        <v>1</v>
      </c>
      <c r="AA889" s="3">
        <f>IF(DataTable[[#This Row],[Valor]]&gt;1,0,0)</f>
        <v>0</v>
      </c>
    </row>
    <row r="890" spans="1:27" x14ac:dyDescent="0.25">
      <c r="A890" s="2" t="s">
        <v>18</v>
      </c>
      <c r="B890" s="2">
        <v>481</v>
      </c>
      <c r="C890" s="3">
        <f t="shared" si="210"/>
        <v>99.579129921259849</v>
      </c>
      <c r="D890" s="3">
        <f t="shared" si="211"/>
        <v>100.93594094488189</v>
      </c>
      <c r="E890" s="3">
        <f t="shared" si="212"/>
        <v>99.635940944881895</v>
      </c>
      <c r="F890" s="3">
        <f t="shared" si="213"/>
        <v>17.28</v>
      </c>
      <c r="G890" s="3">
        <f t="shared" si="214"/>
        <v>126.41673000000003</v>
      </c>
      <c r="H890" s="3">
        <f t="shared" si="215"/>
        <v>68.8</v>
      </c>
      <c r="I890" s="3"/>
      <c r="J890" s="3">
        <f t="shared" si="216"/>
        <v>95.735940944881889</v>
      </c>
      <c r="K890" s="3">
        <f t="shared" si="217"/>
        <v>100.93594094488189</v>
      </c>
      <c r="L890" s="34">
        <f t="shared" si="218"/>
        <v>99.635940944881895</v>
      </c>
      <c r="M890" s="3">
        <f t="shared" si="219"/>
        <v>-146.19999999999999</v>
      </c>
      <c r="N890" s="3">
        <f t="shared" si="220"/>
        <v>44.56</v>
      </c>
      <c r="O890" s="3"/>
      <c r="P890" s="3">
        <f t="shared" si="221"/>
        <v>144.82285354330708</v>
      </c>
      <c r="Q890" s="3">
        <f t="shared" si="222"/>
        <v>155.61208188976377</v>
      </c>
      <c r="R890" s="3">
        <f>vd(DataTable[[#This Row],[Sentido]],DataTable[[#This Row],[Valor]])</f>
        <v>155.62992125984252</v>
      </c>
      <c r="S890" s="3">
        <f>IF(DataTable[[#This Row],[Valor]]&gt;1,1,1)</f>
        <v>1</v>
      </c>
      <c r="T890" s="3">
        <f>IF(DataTable[[#This Row],[Valor]]&gt;1,1,1)</f>
        <v>1</v>
      </c>
      <c r="U890" s="3">
        <f>angr(DataTable[[#This Row],[Sentido]],DataTable[[#This Row],[Valor]])</f>
        <v>22.106299212598426</v>
      </c>
      <c r="V890" s="3">
        <f>ANGI(DataTable[[#This Row],[Sentido]],DataTable[[#This Row],[Valor]])</f>
        <v>23.106299212598426</v>
      </c>
      <c r="W890" s="3">
        <f t="shared" si="223"/>
        <v>3</v>
      </c>
      <c r="X890" s="3">
        <f>IF(DataTable[[#This Row],[Valor]]&gt;1,1,1)</f>
        <v>1</v>
      </c>
      <c r="Y890" s="3">
        <f t="shared" si="224"/>
        <v>3</v>
      </c>
      <c r="Z890" s="3">
        <f>IF(AND(DataTable[[#This Row],[Sentido]]="URUGUAI para BRASIL",DataTable[[#This Row],[Valor]]&gt;350),1,0)</f>
        <v>1</v>
      </c>
      <c r="AA890" s="3">
        <f>IF(DataTable[[#This Row],[Valor]]&gt;1,0,0)</f>
        <v>0</v>
      </c>
    </row>
    <row r="891" spans="1:27" x14ac:dyDescent="0.25">
      <c r="A891" s="2" t="s">
        <v>18</v>
      </c>
      <c r="B891" s="2">
        <v>482</v>
      </c>
      <c r="C891" s="3">
        <f t="shared" si="210"/>
        <v>99.651236220472441</v>
      </c>
      <c r="D891" s="3">
        <f t="shared" si="211"/>
        <v>101.0081653543307</v>
      </c>
      <c r="E891" s="3">
        <f t="shared" si="212"/>
        <v>99.708165354330703</v>
      </c>
      <c r="F891" s="3">
        <f t="shared" si="213"/>
        <v>17.160000000000004</v>
      </c>
      <c r="G891" s="3">
        <f t="shared" si="214"/>
        <v>127.21506000000004</v>
      </c>
      <c r="H891" s="3">
        <f t="shared" si="215"/>
        <v>68.599999999999994</v>
      </c>
      <c r="I891" s="3"/>
      <c r="J891" s="3">
        <f t="shared" si="216"/>
        <v>95.808165354330697</v>
      </c>
      <c r="K891" s="3">
        <f t="shared" si="217"/>
        <v>101.0081653543307</v>
      </c>
      <c r="L891" s="34">
        <f t="shared" si="218"/>
        <v>99.708165354330703</v>
      </c>
      <c r="M891" s="3">
        <f t="shared" si="219"/>
        <v>-146.4</v>
      </c>
      <c r="N891" s="3">
        <f t="shared" si="220"/>
        <v>44.32</v>
      </c>
      <c r="O891" s="3"/>
      <c r="P891" s="3">
        <f t="shared" si="221"/>
        <v>145.00257007874015</v>
      </c>
      <c r="Q891" s="3">
        <f t="shared" si="222"/>
        <v>155.7175307086614</v>
      </c>
      <c r="R891" s="3">
        <f>vd(DataTable[[#This Row],[Sentido]],DataTable[[#This Row],[Valor]])</f>
        <v>155.73622047244095</v>
      </c>
      <c r="S891" s="3">
        <f>IF(DataTable[[#This Row],[Valor]]&gt;1,1,1)</f>
        <v>1</v>
      </c>
      <c r="T891" s="3">
        <f>IF(DataTable[[#This Row],[Valor]]&gt;1,1,1)</f>
        <v>1</v>
      </c>
      <c r="U891" s="3">
        <f>angr(DataTable[[#This Row],[Sentido]],DataTable[[#This Row],[Valor]])</f>
        <v>22.102362204724411</v>
      </c>
      <c r="V891" s="3">
        <f>ANGI(DataTable[[#This Row],[Sentido]],DataTable[[#This Row],[Valor]])</f>
        <v>23.102362204724411</v>
      </c>
      <c r="W891" s="3">
        <f t="shared" si="223"/>
        <v>3</v>
      </c>
      <c r="X891" s="3">
        <f>IF(DataTable[[#This Row],[Valor]]&gt;1,1,1)</f>
        <v>1</v>
      </c>
      <c r="Y891" s="3">
        <f t="shared" si="224"/>
        <v>3</v>
      </c>
      <c r="Z891" s="3">
        <f>IF(AND(DataTable[[#This Row],[Sentido]]="URUGUAI para BRASIL",DataTable[[#This Row],[Valor]]&gt;350),1,0)</f>
        <v>1</v>
      </c>
      <c r="AA891" s="3">
        <f>IF(DataTable[[#This Row],[Valor]]&gt;1,0,0)</f>
        <v>0</v>
      </c>
    </row>
    <row r="892" spans="1:27" x14ac:dyDescent="0.25">
      <c r="A892" s="2" t="s">
        <v>18</v>
      </c>
      <c r="B892" s="2">
        <v>483</v>
      </c>
      <c r="C892" s="3">
        <f t="shared" si="210"/>
        <v>99.723342519685033</v>
      </c>
      <c r="D892" s="3">
        <f t="shared" si="211"/>
        <v>101.08038976377952</v>
      </c>
      <c r="E892" s="3">
        <f t="shared" si="212"/>
        <v>99.780389763779525</v>
      </c>
      <c r="F892" s="3">
        <f t="shared" si="213"/>
        <v>17.04</v>
      </c>
      <c r="G892" s="3">
        <f t="shared" si="214"/>
        <v>128.01339000000002</v>
      </c>
      <c r="H892" s="3">
        <f t="shared" si="215"/>
        <v>68.399999999999991</v>
      </c>
      <c r="I892" s="3"/>
      <c r="J892" s="3">
        <f t="shared" si="216"/>
        <v>95.880389763779519</v>
      </c>
      <c r="K892" s="3">
        <f t="shared" si="217"/>
        <v>101.08038976377952</v>
      </c>
      <c r="L892" s="34">
        <f t="shared" si="218"/>
        <v>99.780389763779525</v>
      </c>
      <c r="M892" s="3">
        <f t="shared" si="219"/>
        <v>-146.6</v>
      </c>
      <c r="N892" s="3">
        <f t="shared" si="220"/>
        <v>44.080000000000005</v>
      </c>
      <c r="O892" s="3"/>
      <c r="P892" s="3">
        <f t="shared" si="221"/>
        <v>145.18228661417322</v>
      </c>
      <c r="Q892" s="3">
        <f t="shared" si="222"/>
        <v>155.82297952755906</v>
      </c>
      <c r="R892" s="3">
        <f>vd(DataTable[[#This Row],[Sentido]],DataTable[[#This Row],[Valor]])</f>
        <v>155.84094488188978</v>
      </c>
      <c r="S892" s="3">
        <f>IF(DataTable[[#This Row],[Valor]]&gt;1,1,1)</f>
        <v>1</v>
      </c>
      <c r="T892" s="3">
        <f>IF(DataTable[[#This Row],[Valor]]&gt;1,1,1)</f>
        <v>1</v>
      </c>
      <c r="U892" s="3">
        <f>angr(DataTable[[#This Row],[Sentido]],DataTable[[#This Row],[Valor]])</f>
        <v>22.098425196850396</v>
      </c>
      <c r="V892" s="3">
        <f>ANGI(DataTable[[#This Row],[Sentido]],DataTable[[#This Row],[Valor]])</f>
        <v>23.096850393700787</v>
      </c>
      <c r="W892" s="3">
        <f t="shared" si="223"/>
        <v>3</v>
      </c>
      <c r="X892" s="3">
        <f>IF(DataTable[[#This Row],[Valor]]&gt;1,1,1)</f>
        <v>1</v>
      </c>
      <c r="Y892" s="3">
        <f t="shared" si="224"/>
        <v>3</v>
      </c>
      <c r="Z892" s="3">
        <f>IF(AND(DataTable[[#This Row],[Sentido]]="URUGUAI para BRASIL",DataTable[[#This Row],[Valor]]&gt;350),1,0)</f>
        <v>1</v>
      </c>
      <c r="AA892" s="3">
        <f>IF(DataTable[[#This Row],[Valor]]&gt;1,0,0)</f>
        <v>0</v>
      </c>
    </row>
    <row r="893" spans="1:27" x14ac:dyDescent="0.25">
      <c r="A893" s="2" t="s">
        <v>18</v>
      </c>
      <c r="B893" s="2">
        <v>484</v>
      </c>
      <c r="C893" s="3">
        <f t="shared" si="210"/>
        <v>99.79544881889764</v>
      </c>
      <c r="D893" s="3">
        <f t="shared" si="211"/>
        <v>101.15261417322834</v>
      </c>
      <c r="E893" s="3">
        <f t="shared" si="212"/>
        <v>99.852614173228346</v>
      </c>
      <c r="F893" s="3">
        <f t="shared" si="213"/>
        <v>16.920000000000002</v>
      </c>
      <c r="G893" s="3">
        <f t="shared" si="214"/>
        <v>128.81172000000004</v>
      </c>
      <c r="H893" s="3">
        <f t="shared" si="215"/>
        <v>68.2</v>
      </c>
      <c r="I893" s="3"/>
      <c r="J893" s="3">
        <f t="shared" si="216"/>
        <v>95.952614173228341</v>
      </c>
      <c r="K893" s="3">
        <f t="shared" si="217"/>
        <v>101.15261417322834</v>
      </c>
      <c r="L893" s="34">
        <f t="shared" si="218"/>
        <v>99.852614173228346</v>
      </c>
      <c r="M893" s="3">
        <f t="shared" si="219"/>
        <v>-146.80000000000001</v>
      </c>
      <c r="N893" s="3">
        <f t="shared" si="220"/>
        <v>43.84</v>
      </c>
      <c r="O893" s="3"/>
      <c r="P893" s="3">
        <f t="shared" si="221"/>
        <v>145.36200314960629</v>
      </c>
      <c r="Q893" s="3">
        <f t="shared" si="222"/>
        <v>155.92842834645668</v>
      </c>
      <c r="R893" s="3">
        <f>vd(DataTable[[#This Row],[Sentido]],DataTable[[#This Row],[Valor]])</f>
        <v>155.94330708661417</v>
      </c>
      <c r="S893" s="3">
        <f>IF(DataTable[[#This Row],[Valor]]&gt;1,1,1)</f>
        <v>1</v>
      </c>
      <c r="T893" s="3">
        <f>IF(DataTable[[#This Row],[Valor]]&gt;1,1,1)</f>
        <v>1</v>
      </c>
      <c r="U893" s="3">
        <f>angr(DataTable[[#This Row],[Sentido]],DataTable[[#This Row],[Valor]])</f>
        <v>22.094488188976378</v>
      </c>
      <c r="V893" s="3">
        <f>ANGI(DataTable[[#This Row],[Sentido]],DataTable[[#This Row],[Valor]])</f>
        <v>23.088976377952758</v>
      </c>
      <c r="W893" s="3">
        <f t="shared" si="223"/>
        <v>3</v>
      </c>
      <c r="X893" s="3">
        <f>IF(DataTable[[#This Row],[Valor]]&gt;1,1,1)</f>
        <v>1</v>
      </c>
      <c r="Y893" s="3">
        <f t="shared" si="224"/>
        <v>3</v>
      </c>
      <c r="Z893" s="3">
        <f>IF(AND(DataTable[[#This Row],[Sentido]]="URUGUAI para BRASIL",DataTable[[#This Row],[Valor]]&gt;350),1,0)</f>
        <v>1</v>
      </c>
      <c r="AA893" s="3">
        <f>IF(DataTable[[#This Row],[Valor]]&gt;1,0,0)</f>
        <v>0</v>
      </c>
    </row>
    <row r="894" spans="1:27" x14ac:dyDescent="0.25">
      <c r="A894" s="2" t="s">
        <v>18</v>
      </c>
      <c r="B894" s="2">
        <v>485</v>
      </c>
      <c r="C894" s="3">
        <f t="shared" si="210"/>
        <v>99.867555118110246</v>
      </c>
      <c r="D894" s="3">
        <f t="shared" si="211"/>
        <v>101.22483858267717</v>
      </c>
      <c r="E894" s="3">
        <f t="shared" si="212"/>
        <v>99.924838582677168</v>
      </c>
      <c r="F894" s="3">
        <f t="shared" si="213"/>
        <v>16.800000000000004</v>
      </c>
      <c r="G894" s="3">
        <f t="shared" si="214"/>
        <v>129.61005000000006</v>
      </c>
      <c r="H894" s="3">
        <f t="shared" si="215"/>
        <v>68</v>
      </c>
      <c r="I894" s="3"/>
      <c r="J894" s="3">
        <f t="shared" si="216"/>
        <v>96.024838582677162</v>
      </c>
      <c r="K894" s="3">
        <f t="shared" si="217"/>
        <v>101.22483858267717</v>
      </c>
      <c r="L894" s="34">
        <f t="shared" si="218"/>
        <v>99.924838582677168</v>
      </c>
      <c r="M894" s="3">
        <f t="shared" si="219"/>
        <v>-147</v>
      </c>
      <c r="N894" s="3">
        <f t="shared" si="220"/>
        <v>43.6</v>
      </c>
      <c r="O894" s="3"/>
      <c r="P894" s="3">
        <f t="shared" si="221"/>
        <v>145.54171968503937</v>
      </c>
      <c r="Q894" s="3">
        <f t="shared" si="222"/>
        <v>156.03387716535434</v>
      </c>
      <c r="R894" s="3">
        <f>vd(DataTable[[#This Row],[Sentido]],DataTable[[#This Row],[Valor]])</f>
        <v>156.04566929133858</v>
      </c>
      <c r="S894" s="3">
        <f>IF(DataTable[[#This Row],[Valor]]&gt;1,1,1)</f>
        <v>1</v>
      </c>
      <c r="T894" s="3">
        <f>IF(DataTable[[#This Row],[Valor]]&gt;1,1,1)</f>
        <v>1</v>
      </c>
      <c r="U894" s="3">
        <f>angr(DataTable[[#This Row],[Sentido]],DataTable[[#This Row],[Valor]])</f>
        <v>22.090551181102363</v>
      </c>
      <c r="V894" s="3">
        <f>ANGI(DataTable[[#This Row],[Sentido]],DataTable[[#This Row],[Valor]])</f>
        <v>23.081102362204724</v>
      </c>
      <c r="W894" s="3">
        <f t="shared" si="223"/>
        <v>3</v>
      </c>
      <c r="X894" s="3">
        <f>IF(DataTable[[#This Row],[Valor]]&gt;1,1,1)</f>
        <v>1</v>
      </c>
      <c r="Y894" s="3">
        <f t="shared" si="224"/>
        <v>3</v>
      </c>
      <c r="Z894" s="3">
        <f>IF(AND(DataTable[[#This Row],[Sentido]]="URUGUAI para BRASIL",DataTable[[#This Row],[Valor]]&gt;350),1,0)</f>
        <v>1</v>
      </c>
      <c r="AA894" s="3">
        <f>IF(DataTable[[#This Row],[Valor]]&gt;1,0,0)</f>
        <v>0</v>
      </c>
    </row>
    <row r="895" spans="1:27" x14ac:dyDescent="0.25">
      <c r="A895" s="2" t="s">
        <v>18</v>
      </c>
      <c r="B895" s="2">
        <v>486</v>
      </c>
      <c r="C895" s="3">
        <f t="shared" si="210"/>
        <v>99.939661417322839</v>
      </c>
      <c r="D895" s="3">
        <f t="shared" si="211"/>
        <v>101.29706299212599</v>
      </c>
      <c r="E895" s="3">
        <f t="shared" si="212"/>
        <v>99.99706299212599</v>
      </c>
      <c r="F895" s="3">
        <f t="shared" si="213"/>
        <v>16.68</v>
      </c>
      <c r="G895" s="3">
        <f t="shared" si="214"/>
        <v>130.40838000000002</v>
      </c>
      <c r="H895" s="3">
        <f t="shared" si="215"/>
        <v>67.8</v>
      </c>
      <c r="I895" s="3"/>
      <c r="J895" s="3">
        <f t="shared" si="216"/>
        <v>96.097062992125984</v>
      </c>
      <c r="K895" s="3">
        <f t="shared" si="217"/>
        <v>101.29706299212599</v>
      </c>
      <c r="L895" s="34">
        <f t="shared" si="218"/>
        <v>99.99706299212599</v>
      </c>
      <c r="M895" s="3">
        <f t="shared" si="219"/>
        <v>-147.19999999999999</v>
      </c>
      <c r="N895" s="3">
        <f t="shared" si="220"/>
        <v>43.36</v>
      </c>
      <c r="O895" s="3"/>
      <c r="P895" s="3">
        <f t="shared" si="221"/>
        <v>145.72143622047244</v>
      </c>
      <c r="Q895" s="3">
        <f t="shared" si="222"/>
        <v>156.13932598425197</v>
      </c>
      <c r="R895" s="3">
        <f>vd(DataTable[[#This Row],[Sentido]],DataTable[[#This Row],[Valor]])</f>
        <v>156.148031496063</v>
      </c>
      <c r="S895" s="3">
        <f>IF(DataTable[[#This Row],[Valor]]&gt;1,1,1)</f>
        <v>1</v>
      </c>
      <c r="T895" s="3">
        <f>IF(DataTable[[#This Row],[Valor]]&gt;1,1,1)</f>
        <v>1</v>
      </c>
      <c r="U895" s="3">
        <f>angr(DataTable[[#This Row],[Sentido]],DataTable[[#This Row],[Valor]])</f>
        <v>22.086614173228348</v>
      </c>
      <c r="V895" s="3">
        <f>ANGI(DataTable[[#This Row],[Sentido]],DataTable[[#This Row],[Valor]])</f>
        <v>23.073228346456695</v>
      </c>
      <c r="W895" s="3">
        <f t="shared" si="223"/>
        <v>3</v>
      </c>
      <c r="X895" s="3">
        <f>IF(DataTable[[#This Row],[Valor]]&gt;1,1,1)</f>
        <v>1</v>
      </c>
      <c r="Y895" s="3">
        <f t="shared" si="224"/>
        <v>3</v>
      </c>
      <c r="Z895" s="3">
        <f>IF(AND(DataTable[[#This Row],[Sentido]]="URUGUAI para BRASIL",DataTable[[#This Row],[Valor]]&gt;350),1,0)</f>
        <v>1</v>
      </c>
      <c r="AA895" s="3">
        <f>IF(DataTable[[#This Row],[Valor]]&gt;1,0,0)</f>
        <v>0</v>
      </c>
    </row>
    <row r="896" spans="1:27" x14ac:dyDescent="0.25">
      <c r="A896" s="2" t="s">
        <v>18</v>
      </c>
      <c r="B896" s="2">
        <v>487</v>
      </c>
      <c r="C896" s="3">
        <f t="shared" si="210"/>
        <v>100.01176771653543</v>
      </c>
      <c r="D896" s="3">
        <f t="shared" si="211"/>
        <v>101.36928740157481</v>
      </c>
      <c r="E896" s="3">
        <f t="shared" si="212"/>
        <v>100.06928740157481</v>
      </c>
      <c r="F896" s="3">
        <f t="shared" si="213"/>
        <v>16.560000000000002</v>
      </c>
      <c r="G896" s="3">
        <f t="shared" si="214"/>
        <v>131.20671000000004</v>
      </c>
      <c r="H896" s="3">
        <f t="shared" si="215"/>
        <v>67.599999999999994</v>
      </c>
      <c r="I896" s="3"/>
      <c r="J896" s="3">
        <f t="shared" si="216"/>
        <v>96.169287401574806</v>
      </c>
      <c r="K896" s="3">
        <f t="shared" si="217"/>
        <v>101.36928740157481</v>
      </c>
      <c r="L896" s="34">
        <f t="shared" si="218"/>
        <v>100.06928740157481</v>
      </c>
      <c r="M896" s="3">
        <f t="shared" si="219"/>
        <v>-147.4</v>
      </c>
      <c r="N896" s="3">
        <f t="shared" si="220"/>
        <v>43.120000000000005</v>
      </c>
      <c r="O896" s="3"/>
      <c r="P896" s="3">
        <f t="shared" si="221"/>
        <v>145.90115275590551</v>
      </c>
      <c r="Q896" s="3">
        <f t="shared" si="222"/>
        <v>156.2447748031496</v>
      </c>
      <c r="R896" s="3">
        <f>vd(DataTable[[#This Row],[Sentido]],DataTable[[#This Row],[Valor]])</f>
        <v>156.25039370078741</v>
      </c>
      <c r="S896" s="3">
        <f>IF(DataTable[[#This Row],[Valor]]&gt;1,1,1)</f>
        <v>1</v>
      </c>
      <c r="T896" s="3">
        <f>IF(DataTable[[#This Row],[Valor]]&gt;1,1,1)</f>
        <v>1</v>
      </c>
      <c r="U896" s="3">
        <f>angr(DataTable[[#This Row],[Sentido]],DataTable[[#This Row],[Valor]])</f>
        <v>22.082677165354333</v>
      </c>
      <c r="V896" s="3">
        <f>ANGI(DataTable[[#This Row],[Sentido]],DataTable[[#This Row],[Valor]])</f>
        <v>23.065354330708661</v>
      </c>
      <c r="W896" s="3">
        <f t="shared" si="223"/>
        <v>3</v>
      </c>
      <c r="X896" s="3">
        <f>IF(DataTable[[#This Row],[Valor]]&gt;1,1,1)</f>
        <v>1</v>
      </c>
      <c r="Y896" s="3">
        <f t="shared" si="224"/>
        <v>3</v>
      </c>
      <c r="Z896" s="3">
        <f>IF(AND(DataTable[[#This Row],[Sentido]]="URUGUAI para BRASIL",DataTable[[#This Row],[Valor]]&gt;350),1,0)</f>
        <v>1</v>
      </c>
      <c r="AA896" s="3">
        <f>IF(DataTable[[#This Row],[Valor]]&gt;1,0,0)</f>
        <v>0</v>
      </c>
    </row>
    <row r="897" spans="1:27" x14ac:dyDescent="0.25">
      <c r="A897" s="2" t="s">
        <v>18</v>
      </c>
      <c r="B897" s="2">
        <v>488</v>
      </c>
      <c r="C897" s="3">
        <f t="shared" si="210"/>
        <v>100.08387401574804</v>
      </c>
      <c r="D897" s="3">
        <f t="shared" si="211"/>
        <v>101.44151181102362</v>
      </c>
      <c r="E897" s="3">
        <f t="shared" si="212"/>
        <v>100.14151181102362</v>
      </c>
      <c r="F897" s="3">
        <f t="shared" si="213"/>
        <v>16.439999999999998</v>
      </c>
      <c r="G897" s="3">
        <f t="shared" si="214"/>
        <v>132.00504000000004</v>
      </c>
      <c r="H897" s="3">
        <f t="shared" si="215"/>
        <v>67.399999999999991</v>
      </c>
      <c r="I897" s="3"/>
      <c r="J897" s="3">
        <f t="shared" si="216"/>
        <v>96.241511811023614</v>
      </c>
      <c r="K897" s="3">
        <f t="shared" si="217"/>
        <v>101.44151181102362</v>
      </c>
      <c r="L897" s="34">
        <f t="shared" si="218"/>
        <v>100.14151181102362</v>
      </c>
      <c r="M897" s="3">
        <f t="shared" si="219"/>
        <v>-147.6</v>
      </c>
      <c r="N897" s="3">
        <f t="shared" si="220"/>
        <v>42.88</v>
      </c>
      <c r="O897" s="3"/>
      <c r="P897" s="3">
        <f t="shared" si="221"/>
        <v>146.08086929133859</v>
      </c>
      <c r="Q897" s="3">
        <f t="shared" si="222"/>
        <v>156.35022362204725</v>
      </c>
      <c r="R897" s="3">
        <f>vd(DataTable[[#This Row],[Sentido]],DataTable[[#This Row],[Valor]])</f>
        <v>156.35275590551183</v>
      </c>
      <c r="S897" s="3">
        <f>IF(DataTable[[#This Row],[Valor]]&gt;1,1,1)</f>
        <v>1</v>
      </c>
      <c r="T897" s="3">
        <f>IF(DataTable[[#This Row],[Valor]]&gt;1,1,1)</f>
        <v>1</v>
      </c>
      <c r="U897" s="3">
        <f>angr(DataTable[[#This Row],[Sentido]],DataTable[[#This Row],[Valor]])</f>
        <v>22.078740157480315</v>
      </c>
      <c r="V897" s="3">
        <f>ANGI(DataTable[[#This Row],[Sentido]],DataTable[[#This Row],[Valor]])</f>
        <v>23.057480314960632</v>
      </c>
      <c r="W897" s="3">
        <f t="shared" si="223"/>
        <v>3</v>
      </c>
      <c r="X897" s="3">
        <f>IF(DataTable[[#This Row],[Valor]]&gt;1,1,1)</f>
        <v>1</v>
      </c>
      <c r="Y897" s="3">
        <f t="shared" si="224"/>
        <v>3</v>
      </c>
      <c r="Z897" s="3">
        <f>IF(AND(DataTable[[#This Row],[Sentido]]="URUGUAI para BRASIL",DataTable[[#This Row],[Valor]]&gt;350),1,0)</f>
        <v>1</v>
      </c>
      <c r="AA897" s="3">
        <f>IF(DataTable[[#This Row],[Valor]]&gt;1,0,0)</f>
        <v>0</v>
      </c>
    </row>
    <row r="898" spans="1:27" x14ac:dyDescent="0.25">
      <c r="A898" s="2" t="s">
        <v>18</v>
      </c>
      <c r="B898" s="2">
        <v>489</v>
      </c>
      <c r="C898" s="3">
        <f t="shared" si="210"/>
        <v>100.15598031496063</v>
      </c>
      <c r="D898" s="3">
        <f t="shared" si="211"/>
        <v>101.51373622047244</v>
      </c>
      <c r="E898" s="3">
        <f t="shared" si="212"/>
        <v>100.21373622047244</v>
      </c>
      <c r="F898" s="3">
        <f t="shared" si="213"/>
        <v>16.32</v>
      </c>
      <c r="G898" s="3">
        <f t="shared" si="214"/>
        <v>132.80337000000003</v>
      </c>
      <c r="H898" s="3">
        <f t="shared" si="215"/>
        <v>67.2</v>
      </c>
      <c r="I898" s="3"/>
      <c r="J898" s="3">
        <f t="shared" si="216"/>
        <v>96.313736220472435</v>
      </c>
      <c r="K898" s="3">
        <f t="shared" si="217"/>
        <v>101.51373622047244</v>
      </c>
      <c r="L898" s="34">
        <f t="shared" si="218"/>
        <v>100.21373622047244</v>
      </c>
      <c r="M898" s="3">
        <f t="shared" si="219"/>
        <v>-147.80000000000001</v>
      </c>
      <c r="N898" s="3">
        <f t="shared" si="220"/>
        <v>42.64</v>
      </c>
      <c r="O898" s="3"/>
      <c r="P898" s="3">
        <f t="shared" si="221"/>
        <v>146.26058582677166</v>
      </c>
      <c r="Q898" s="3">
        <f t="shared" si="222"/>
        <v>156.45567244094488</v>
      </c>
      <c r="R898" s="3">
        <f>vd(DataTable[[#This Row],[Sentido]],DataTable[[#This Row],[Valor]])</f>
        <v>156.45511811023624</v>
      </c>
      <c r="S898" s="3">
        <f>IF(DataTable[[#This Row],[Valor]]&gt;1,1,1)</f>
        <v>1</v>
      </c>
      <c r="T898" s="3">
        <f>IF(DataTable[[#This Row],[Valor]]&gt;1,1,1)</f>
        <v>1</v>
      </c>
      <c r="U898" s="3">
        <f>angr(DataTable[[#This Row],[Sentido]],DataTable[[#This Row],[Valor]])</f>
        <v>22.0748031496063</v>
      </c>
      <c r="V898" s="3">
        <f>ANGI(DataTable[[#This Row],[Sentido]],DataTable[[#This Row],[Valor]])</f>
        <v>23.049606299212599</v>
      </c>
      <c r="W898" s="3">
        <f t="shared" si="223"/>
        <v>3</v>
      </c>
      <c r="X898" s="3">
        <f>IF(DataTable[[#This Row],[Valor]]&gt;1,1,1)</f>
        <v>1</v>
      </c>
      <c r="Y898" s="3">
        <f t="shared" si="224"/>
        <v>3</v>
      </c>
      <c r="Z898" s="3">
        <f>IF(AND(DataTable[[#This Row],[Sentido]]="URUGUAI para BRASIL",DataTable[[#This Row],[Valor]]&gt;350),1,0)</f>
        <v>1</v>
      </c>
      <c r="AA898" s="3">
        <f>IF(DataTable[[#This Row],[Valor]]&gt;1,0,0)</f>
        <v>0</v>
      </c>
    </row>
    <row r="899" spans="1:27" x14ac:dyDescent="0.25">
      <c r="A899" s="2" t="s">
        <v>18</v>
      </c>
      <c r="B899" s="2">
        <v>490</v>
      </c>
      <c r="C899" s="3">
        <f t="shared" si="210"/>
        <v>100.22808661417322</v>
      </c>
      <c r="D899" s="3">
        <f t="shared" si="211"/>
        <v>101.58596062992126</v>
      </c>
      <c r="E899" s="3">
        <f t="shared" si="212"/>
        <v>100.28596062992126</v>
      </c>
      <c r="F899" s="3">
        <f t="shared" si="213"/>
        <v>16.200000000000003</v>
      </c>
      <c r="G899" s="3">
        <f t="shared" si="214"/>
        <v>133.60170000000005</v>
      </c>
      <c r="H899" s="3">
        <f t="shared" si="215"/>
        <v>67</v>
      </c>
      <c r="I899" s="3"/>
      <c r="J899" s="3">
        <f t="shared" si="216"/>
        <v>96.385960629921257</v>
      </c>
      <c r="K899" s="3">
        <f t="shared" si="217"/>
        <v>101.58596062992126</v>
      </c>
      <c r="L899" s="34">
        <f t="shared" si="218"/>
        <v>100.28596062992126</v>
      </c>
      <c r="M899" s="3">
        <f t="shared" si="219"/>
        <v>-148</v>
      </c>
      <c r="N899" s="3">
        <f t="shared" si="220"/>
        <v>42.400000000000006</v>
      </c>
      <c r="O899" s="3"/>
      <c r="P899" s="3">
        <f t="shared" si="221"/>
        <v>146.4403023622047</v>
      </c>
      <c r="Q899" s="3">
        <f t="shared" si="222"/>
        <v>156.56112125984254</v>
      </c>
      <c r="R899" s="3">
        <f>vd(DataTable[[#This Row],[Sentido]],DataTable[[#This Row],[Valor]])</f>
        <v>156.55748031496063</v>
      </c>
      <c r="S899" s="3">
        <f>IF(DataTable[[#This Row],[Valor]]&gt;1,1,1)</f>
        <v>1</v>
      </c>
      <c r="T899" s="3">
        <f>IF(DataTable[[#This Row],[Valor]]&gt;1,1,1)</f>
        <v>1</v>
      </c>
      <c r="U899" s="3">
        <f>angr(DataTable[[#This Row],[Sentido]],DataTable[[#This Row],[Valor]])</f>
        <v>22.070866141732285</v>
      </c>
      <c r="V899" s="3">
        <f>ANGI(DataTable[[#This Row],[Sentido]],DataTable[[#This Row],[Valor]])</f>
        <v>23.041732283464569</v>
      </c>
      <c r="W899" s="3">
        <f t="shared" si="223"/>
        <v>3</v>
      </c>
      <c r="X899" s="3">
        <f>IF(DataTable[[#This Row],[Valor]]&gt;1,1,1)</f>
        <v>1</v>
      </c>
      <c r="Y899" s="3">
        <f t="shared" si="224"/>
        <v>3</v>
      </c>
      <c r="Z899" s="3">
        <f>IF(AND(DataTable[[#This Row],[Sentido]]="URUGUAI para BRASIL",DataTable[[#This Row],[Valor]]&gt;350),1,0)</f>
        <v>1</v>
      </c>
      <c r="AA899" s="3">
        <f>IF(DataTable[[#This Row],[Valor]]&gt;1,0,0)</f>
        <v>0</v>
      </c>
    </row>
    <row r="900" spans="1:27" x14ac:dyDescent="0.25">
      <c r="A900" s="2" t="s">
        <v>18</v>
      </c>
      <c r="B900" s="2">
        <v>491</v>
      </c>
      <c r="C900" s="3">
        <f t="shared" si="210"/>
        <v>100.30019291338583</v>
      </c>
      <c r="D900" s="3">
        <f t="shared" si="211"/>
        <v>101.65818503937007</v>
      </c>
      <c r="E900" s="3">
        <f t="shared" si="212"/>
        <v>100.35818503937007</v>
      </c>
      <c r="F900" s="3">
        <f t="shared" si="213"/>
        <v>16.079999999999998</v>
      </c>
      <c r="G900" s="3">
        <f t="shared" si="214"/>
        <v>134.40003000000004</v>
      </c>
      <c r="H900" s="3">
        <f t="shared" si="215"/>
        <v>66.8</v>
      </c>
      <c r="I900" s="3"/>
      <c r="J900" s="3">
        <f t="shared" si="216"/>
        <v>96.458185039370065</v>
      </c>
      <c r="K900" s="3">
        <f t="shared" si="217"/>
        <v>101.65818503937007</v>
      </c>
      <c r="L900" s="34">
        <f t="shared" si="218"/>
        <v>100.35818503937007</v>
      </c>
      <c r="M900" s="3">
        <f t="shared" si="219"/>
        <v>-148.19999999999999</v>
      </c>
      <c r="N900" s="3">
        <f t="shared" si="220"/>
        <v>42.160000000000004</v>
      </c>
      <c r="O900" s="3"/>
      <c r="P900" s="3">
        <f t="shared" si="221"/>
        <v>146.62001889763778</v>
      </c>
      <c r="Q900" s="3">
        <f t="shared" si="222"/>
        <v>156.66657007874016</v>
      </c>
      <c r="R900" s="3">
        <f>vd(DataTable[[#This Row],[Sentido]],DataTable[[#This Row],[Valor]])</f>
        <v>156.65984251968504</v>
      </c>
      <c r="S900" s="3">
        <f>IF(DataTable[[#This Row],[Valor]]&gt;1,1,1)</f>
        <v>1</v>
      </c>
      <c r="T900" s="3">
        <f>IF(DataTable[[#This Row],[Valor]]&gt;1,1,1)</f>
        <v>1</v>
      </c>
      <c r="U900" s="3">
        <f>angr(DataTable[[#This Row],[Sentido]],DataTable[[#This Row],[Valor]])</f>
        <v>22.06692913385827</v>
      </c>
      <c r="V900" s="3">
        <f>ANGI(DataTable[[#This Row],[Sentido]],DataTable[[#This Row],[Valor]])</f>
        <v>23.033858267716536</v>
      </c>
      <c r="W900" s="3">
        <f t="shared" si="223"/>
        <v>3</v>
      </c>
      <c r="X900" s="3">
        <f>IF(DataTable[[#This Row],[Valor]]&gt;1,1,1)</f>
        <v>1</v>
      </c>
      <c r="Y900" s="3">
        <f t="shared" si="224"/>
        <v>3</v>
      </c>
      <c r="Z900" s="3">
        <f>IF(AND(DataTable[[#This Row],[Sentido]]="URUGUAI para BRASIL",DataTable[[#This Row],[Valor]]&gt;350),1,0)</f>
        <v>1</v>
      </c>
      <c r="AA900" s="3">
        <f>IF(DataTable[[#This Row],[Valor]]&gt;1,0,0)</f>
        <v>0</v>
      </c>
    </row>
    <row r="901" spans="1:27" x14ac:dyDescent="0.25">
      <c r="A901" s="2" t="s">
        <v>18</v>
      </c>
      <c r="B901" s="2">
        <v>492</v>
      </c>
      <c r="C901" s="3">
        <f t="shared" ref="C901:C917" si="225">MiniVWVB(A901,B901,E901)</f>
        <v>100.37229921259843</v>
      </c>
      <c r="D901" s="3">
        <f t="shared" ref="D901:D917" si="226">MaxVWV(A901,B901)</f>
        <v>101.7304094488189</v>
      </c>
      <c r="E901" s="3">
        <f t="shared" ref="E901:E917" si="227">RatedVWV(B901)</f>
        <v>100.43040944881891</v>
      </c>
      <c r="F901" s="3">
        <f t="shared" ref="F901:F917" si="228">MinQB(A901,B901)</f>
        <v>15.96</v>
      </c>
      <c r="G901" s="3">
        <f t="shared" ref="G901:G917" si="229">MaxQB3F(A901,B901)</f>
        <v>135.19836000000004</v>
      </c>
      <c r="H901" s="3">
        <f t="shared" ref="H901:H917" si="230">MaxQB4F(A901,B901)</f>
        <v>66.599999999999994</v>
      </c>
      <c r="I901" s="3"/>
      <c r="J901" s="3">
        <f t="shared" ref="J901:J917" si="231">MiniVWVU(A901,B901,L901)</f>
        <v>96.530409448818901</v>
      </c>
      <c r="K901" s="3">
        <f t="shared" ref="K901:K917" si="232">MaxVWV(A901,B901)</f>
        <v>101.7304094488189</v>
      </c>
      <c r="L901" s="34">
        <f t="shared" ref="L901:L917" si="233">RatedVWV(B901)</f>
        <v>100.43040944881891</v>
      </c>
      <c r="M901" s="3">
        <f t="shared" ref="M901:M917" si="234">MinQU(A901,B901)</f>
        <v>-148.4</v>
      </c>
      <c r="N901" s="3">
        <f t="shared" ref="N901:N917" si="235">MaxQU(A901,B901)</f>
        <v>41.92</v>
      </c>
      <c r="O901" s="3"/>
      <c r="P901" s="3">
        <f t="shared" ref="P901:P917" si="236">MiniUpper(A901,B901)</f>
        <v>146.79973543307088</v>
      </c>
      <c r="Q901" s="3">
        <f t="shared" ref="Q901:Q917" si="237">MaxUpper(A901,B901)</f>
        <v>156.77201889763779</v>
      </c>
      <c r="R901" s="3">
        <f>vd(DataTable[[#This Row],[Sentido]],DataTable[[#This Row],[Valor]])</f>
        <v>156.76220472440946</v>
      </c>
      <c r="S901" s="3">
        <f>IF(DataTable[[#This Row],[Valor]]&gt;1,1,1)</f>
        <v>1</v>
      </c>
      <c r="T901" s="3">
        <f>IF(DataTable[[#This Row],[Valor]]&gt;1,1,1)</f>
        <v>1</v>
      </c>
      <c r="U901" s="3">
        <f>angr(DataTable[[#This Row],[Sentido]],DataTable[[#This Row],[Valor]])</f>
        <v>22.062992125984252</v>
      </c>
      <c r="V901" s="3">
        <f>ANGI(DataTable[[#This Row],[Sentido]],DataTable[[#This Row],[Valor]])</f>
        <v>23.025984251968506</v>
      </c>
      <c r="W901" s="3">
        <f t="shared" ref="W901:W917" si="238">IF(A902="URUGUAI para BRASIL",IF(B901&gt;119,IF(B901&gt;240,3,2),1),IF(B901&gt;120,IF(B901&gt;240,3,2),1))</f>
        <v>3</v>
      </c>
      <c r="X901" s="3">
        <f>IF(DataTable[[#This Row],[Valor]]&gt;1,1,1)</f>
        <v>1</v>
      </c>
      <c r="Y901" s="3">
        <f t="shared" ref="Y901:Y917" si="239">IF(A902="URUGUAI para BRASIL",IF(B901&gt;119,IF(B901&gt;240,3,2),1),IF(B901&gt;120,IF(B901&gt;240,3,2),1))</f>
        <v>3</v>
      </c>
      <c r="Z901" s="3">
        <f>IF(AND(DataTable[[#This Row],[Sentido]]="URUGUAI para BRASIL",DataTable[[#This Row],[Valor]]&gt;350),1,0)</f>
        <v>1</v>
      </c>
      <c r="AA901" s="3">
        <f>IF(DataTable[[#This Row],[Valor]]&gt;1,0,0)</f>
        <v>0</v>
      </c>
    </row>
    <row r="902" spans="1:27" x14ac:dyDescent="0.25">
      <c r="A902" s="2" t="s">
        <v>18</v>
      </c>
      <c r="B902" s="2">
        <v>493</v>
      </c>
      <c r="C902" s="3">
        <f t="shared" si="225"/>
        <v>100.44440551181103</v>
      </c>
      <c r="D902" s="3">
        <f t="shared" si="226"/>
        <v>101.80263385826771</v>
      </c>
      <c r="E902" s="3">
        <f t="shared" si="227"/>
        <v>100.50263385826771</v>
      </c>
      <c r="F902" s="3">
        <f t="shared" si="228"/>
        <v>15.840000000000003</v>
      </c>
      <c r="G902" s="3">
        <f t="shared" si="229"/>
        <v>135.99669000000003</v>
      </c>
      <c r="H902" s="3">
        <f t="shared" si="230"/>
        <v>66.399999999999991</v>
      </c>
      <c r="I902" s="3"/>
      <c r="J902" s="3">
        <f t="shared" si="231"/>
        <v>96.602633858267708</v>
      </c>
      <c r="K902" s="3">
        <f t="shared" si="232"/>
        <v>101.80263385826771</v>
      </c>
      <c r="L902" s="34">
        <f t="shared" si="233"/>
        <v>100.50263385826771</v>
      </c>
      <c r="M902" s="3">
        <f t="shared" si="234"/>
        <v>-148.6</v>
      </c>
      <c r="N902" s="3">
        <f t="shared" si="235"/>
        <v>41.68</v>
      </c>
      <c r="O902" s="3"/>
      <c r="P902" s="3">
        <f t="shared" si="236"/>
        <v>146.97945196850395</v>
      </c>
      <c r="Q902" s="3">
        <f t="shared" si="237"/>
        <v>156.87746771653545</v>
      </c>
      <c r="R902" s="3">
        <f>vd(DataTable[[#This Row],[Sentido]],DataTable[[#This Row],[Valor]])</f>
        <v>156.86456692913387</v>
      </c>
      <c r="S902" s="3">
        <f>IF(DataTable[[#This Row],[Valor]]&gt;1,1,1)</f>
        <v>1</v>
      </c>
      <c r="T902" s="3">
        <f>IF(DataTable[[#This Row],[Valor]]&gt;1,1,1)</f>
        <v>1</v>
      </c>
      <c r="U902" s="3">
        <f>angr(DataTable[[#This Row],[Sentido]],DataTable[[#This Row],[Valor]])</f>
        <v>22.059055118110237</v>
      </c>
      <c r="V902" s="3">
        <f>ANGI(DataTable[[#This Row],[Sentido]],DataTable[[#This Row],[Valor]])</f>
        <v>23.018110236220473</v>
      </c>
      <c r="W902" s="3">
        <f t="shared" si="238"/>
        <v>3</v>
      </c>
      <c r="X902" s="3">
        <f>IF(DataTable[[#This Row],[Valor]]&gt;1,1,1)</f>
        <v>1</v>
      </c>
      <c r="Y902" s="3">
        <f t="shared" si="239"/>
        <v>3</v>
      </c>
      <c r="Z902" s="3">
        <f>IF(AND(DataTable[[#This Row],[Sentido]]="URUGUAI para BRASIL",DataTable[[#This Row],[Valor]]&gt;350),1,0)</f>
        <v>1</v>
      </c>
      <c r="AA902" s="3">
        <f>IF(DataTable[[#This Row],[Valor]]&gt;1,0,0)</f>
        <v>0</v>
      </c>
    </row>
    <row r="903" spans="1:27" x14ac:dyDescent="0.25">
      <c r="A903" s="2" t="s">
        <v>18</v>
      </c>
      <c r="B903" s="2">
        <v>494</v>
      </c>
      <c r="C903" s="3">
        <f t="shared" si="225"/>
        <v>100.51651181102362</v>
      </c>
      <c r="D903" s="3">
        <f t="shared" si="226"/>
        <v>101.87485826771653</v>
      </c>
      <c r="E903" s="3">
        <f t="shared" si="227"/>
        <v>100.57485826771654</v>
      </c>
      <c r="F903" s="3">
        <f t="shared" si="228"/>
        <v>15.719999999999999</v>
      </c>
      <c r="G903" s="3">
        <f t="shared" si="229"/>
        <v>136.79502000000005</v>
      </c>
      <c r="H903" s="3">
        <f t="shared" si="230"/>
        <v>66.2</v>
      </c>
      <c r="I903" s="3"/>
      <c r="J903" s="3">
        <f t="shared" si="231"/>
        <v>96.67485826771653</v>
      </c>
      <c r="K903" s="3">
        <f t="shared" si="232"/>
        <v>101.87485826771653</v>
      </c>
      <c r="L903" s="34">
        <f t="shared" si="233"/>
        <v>100.57485826771654</v>
      </c>
      <c r="M903" s="3">
        <f t="shared" si="234"/>
        <v>-148.80000000000001</v>
      </c>
      <c r="N903" s="3">
        <f t="shared" si="235"/>
        <v>41.440000000000005</v>
      </c>
      <c r="O903" s="3"/>
      <c r="P903" s="3">
        <f t="shared" si="236"/>
        <v>147.159168503937</v>
      </c>
      <c r="Q903" s="3">
        <f t="shared" si="237"/>
        <v>156.98291653543308</v>
      </c>
      <c r="R903" s="3">
        <f>vd(DataTable[[#This Row],[Sentido]],DataTable[[#This Row],[Valor]])</f>
        <v>156.96692913385829</v>
      </c>
      <c r="S903" s="3">
        <f>IF(DataTable[[#This Row],[Valor]]&gt;1,1,1)</f>
        <v>1</v>
      </c>
      <c r="T903" s="3">
        <f>IF(DataTable[[#This Row],[Valor]]&gt;1,1,1)</f>
        <v>1</v>
      </c>
      <c r="U903" s="3">
        <f>angr(DataTable[[#This Row],[Sentido]],DataTable[[#This Row],[Valor]])</f>
        <v>22.055118110236222</v>
      </c>
      <c r="V903" s="3">
        <f>ANGI(DataTable[[#This Row],[Sentido]],DataTable[[#This Row],[Valor]])</f>
        <v>23.010236220472439</v>
      </c>
      <c r="W903" s="3">
        <f t="shared" si="238"/>
        <v>3</v>
      </c>
      <c r="X903" s="3">
        <f>IF(DataTable[[#This Row],[Valor]]&gt;1,1,1)</f>
        <v>1</v>
      </c>
      <c r="Y903" s="3">
        <f t="shared" si="239"/>
        <v>3</v>
      </c>
      <c r="Z903" s="3">
        <f>IF(AND(DataTable[[#This Row],[Sentido]]="URUGUAI para BRASIL",DataTable[[#This Row],[Valor]]&gt;350),1,0)</f>
        <v>1</v>
      </c>
      <c r="AA903" s="3">
        <f>IF(DataTable[[#This Row],[Valor]]&gt;1,0,0)</f>
        <v>0</v>
      </c>
    </row>
    <row r="904" spans="1:27" x14ac:dyDescent="0.25">
      <c r="A904" s="2" t="s">
        <v>18</v>
      </c>
      <c r="B904" s="2">
        <v>495</v>
      </c>
      <c r="C904" s="3">
        <f t="shared" si="225"/>
        <v>100.58861811023623</v>
      </c>
      <c r="D904" s="3">
        <f t="shared" si="226"/>
        <v>101.94708267716535</v>
      </c>
      <c r="E904" s="3">
        <f t="shared" si="227"/>
        <v>100.64708267716536</v>
      </c>
      <c r="F904" s="3">
        <f t="shared" si="228"/>
        <v>15.600000000000001</v>
      </c>
      <c r="G904" s="3">
        <f t="shared" si="229"/>
        <v>137.59335000000004</v>
      </c>
      <c r="H904" s="3">
        <f t="shared" si="230"/>
        <v>66</v>
      </c>
      <c r="I904" s="3"/>
      <c r="J904" s="3">
        <f t="shared" si="231"/>
        <v>96.747082677165352</v>
      </c>
      <c r="K904" s="3">
        <f t="shared" si="232"/>
        <v>101.94708267716535</v>
      </c>
      <c r="L904" s="34">
        <f t="shared" si="233"/>
        <v>100.64708267716536</v>
      </c>
      <c r="M904" s="3">
        <f t="shared" si="234"/>
        <v>-149</v>
      </c>
      <c r="N904" s="3">
        <f t="shared" si="235"/>
        <v>41.2</v>
      </c>
      <c r="O904" s="3"/>
      <c r="P904" s="3">
        <f t="shared" si="236"/>
        <v>147.33888503937007</v>
      </c>
      <c r="Q904" s="3">
        <f t="shared" si="237"/>
        <v>157.0883653543307</v>
      </c>
      <c r="R904" s="3">
        <f>vd(DataTable[[#This Row],[Sentido]],DataTable[[#This Row],[Valor]])</f>
        <v>157.06929133858267</v>
      </c>
      <c r="S904" s="3">
        <f>IF(DataTable[[#This Row],[Valor]]&gt;1,1,1)</f>
        <v>1</v>
      </c>
      <c r="T904" s="3">
        <f>IF(DataTable[[#This Row],[Valor]]&gt;1,1,1)</f>
        <v>1</v>
      </c>
      <c r="U904" s="3">
        <f>angr(DataTable[[#This Row],[Sentido]],DataTable[[#This Row],[Valor]])</f>
        <v>22.051181102362204</v>
      </c>
      <c r="V904" s="3">
        <f>ANGI(DataTable[[#This Row],[Sentido]],DataTable[[#This Row],[Valor]])</f>
        <v>23.00236220472441</v>
      </c>
      <c r="W904" s="3">
        <f t="shared" si="238"/>
        <v>3</v>
      </c>
      <c r="X904" s="3">
        <f>IF(DataTable[[#This Row],[Valor]]&gt;1,1,1)</f>
        <v>1</v>
      </c>
      <c r="Y904" s="3">
        <f t="shared" si="239"/>
        <v>3</v>
      </c>
      <c r="Z904" s="3">
        <f>IF(AND(DataTable[[#This Row],[Sentido]]="URUGUAI para BRASIL",DataTable[[#This Row],[Valor]]&gt;350),1,0)</f>
        <v>1</v>
      </c>
      <c r="AA904" s="3">
        <f>IF(DataTable[[#This Row],[Valor]]&gt;1,0,0)</f>
        <v>0</v>
      </c>
    </row>
    <row r="905" spans="1:27" x14ac:dyDescent="0.25">
      <c r="A905" s="2" t="s">
        <v>18</v>
      </c>
      <c r="B905" s="2">
        <v>496</v>
      </c>
      <c r="C905" s="3">
        <f t="shared" si="225"/>
        <v>100.66072440944882</v>
      </c>
      <c r="D905" s="3">
        <f t="shared" si="226"/>
        <v>102.01930708661418</v>
      </c>
      <c r="E905" s="3">
        <f t="shared" si="227"/>
        <v>100.71930708661418</v>
      </c>
      <c r="F905" s="3">
        <f t="shared" si="228"/>
        <v>15.480000000000004</v>
      </c>
      <c r="G905" s="3">
        <f t="shared" si="229"/>
        <v>138.39168000000004</v>
      </c>
      <c r="H905" s="3">
        <f t="shared" si="230"/>
        <v>65.8</v>
      </c>
      <c r="I905" s="3"/>
      <c r="J905" s="3">
        <f t="shared" si="231"/>
        <v>96.819307086614174</v>
      </c>
      <c r="K905" s="3">
        <f t="shared" si="232"/>
        <v>102.01930708661418</v>
      </c>
      <c r="L905" s="34">
        <f t="shared" si="233"/>
        <v>100.71930708661418</v>
      </c>
      <c r="M905" s="3">
        <f t="shared" si="234"/>
        <v>-149.19999999999999</v>
      </c>
      <c r="N905" s="3">
        <f t="shared" si="235"/>
        <v>40.96</v>
      </c>
      <c r="O905" s="3"/>
      <c r="P905" s="3">
        <f t="shared" si="236"/>
        <v>147.51860157480314</v>
      </c>
      <c r="Q905" s="3">
        <f t="shared" si="237"/>
        <v>157.19381417322833</v>
      </c>
      <c r="R905" s="3">
        <f>vd(DataTable[[#This Row],[Sentido]],DataTable[[#This Row],[Valor]])</f>
        <v>157.17165354330709</v>
      </c>
      <c r="S905" s="3">
        <f>IF(DataTable[[#This Row],[Valor]]&gt;1,1,1)</f>
        <v>1</v>
      </c>
      <c r="T905" s="3">
        <f>IF(DataTable[[#This Row],[Valor]]&gt;1,1,1)</f>
        <v>1</v>
      </c>
      <c r="U905" s="3">
        <f>angr(DataTable[[#This Row],[Sentido]],DataTable[[#This Row],[Valor]])</f>
        <v>22.047244094488189</v>
      </c>
      <c r="V905" s="3">
        <f>ANGI(DataTable[[#This Row],[Sentido]],DataTable[[#This Row],[Valor]])</f>
        <v>22.994488188976376</v>
      </c>
      <c r="W905" s="3">
        <f t="shared" si="238"/>
        <v>3</v>
      </c>
      <c r="X905" s="3">
        <f>IF(DataTable[[#This Row],[Valor]]&gt;1,1,1)</f>
        <v>1</v>
      </c>
      <c r="Y905" s="3">
        <f t="shared" si="239"/>
        <v>3</v>
      </c>
      <c r="Z905" s="3">
        <f>IF(AND(DataTable[[#This Row],[Sentido]]="URUGUAI para BRASIL",DataTable[[#This Row],[Valor]]&gt;350),1,0)</f>
        <v>1</v>
      </c>
      <c r="AA905" s="3">
        <f>IF(DataTable[[#This Row],[Valor]]&gt;1,0,0)</f>
        <v>0</v>
      </c>
    </row>
    <row r="906" spans="1:27" x14ac:dyDescent="0.25">
      <c r="A906" s="2" t="s">
        <v>18</v>
      </c>
      <c r="B906" s="2">
        <v>497</v>
      </c>
      <c r="C906" s="3">
        <f t="shared" si="225"/>
        <v>100.73283070866142</v>
      </c>
      <c r="D906" s="3">
        <f t="shared" si="226"/>
        <v>102.09153149606298</v>
      </c>
      <c r="E906" s="3">
        <f t="shared" si="227"/>
        <v>100.79153149606299</v>
      </c>
      <c r="F906" s="3">
        <f t="shared" si="228"/>
        <v>15.36</v>
      </c>
      <c r="G906" s="3">
        <f t="shared" si="229"/>
        <v>139.19001000000003</v>
      </c>
      <c r="H906" s="3">
        <f t="shared" si="230"/>
        <v>65.599999999999994</v>
      </c>
      <c r="I906" s="3"/>
      <c r="J906" s="3">
        <f t="shared" si="231"/>
        <v>96.891531496062981</v>
      </c>
      <c r="K906" s="3">
        <f t="shared" si="232"/>
        <v>102.09153149606298</v>
      </c>
      <c r="L906" s="34">
        <f t="shared" si="233"/>
        <v>100.79153149606299</v>
      </c>
      <c r="M906" s="3">
        <f t="shared" si="234"/>
        <v>-149.4</v>
      </c>
      <c r="N906" s="3">
        <f t="shared" si="235"/>
        <v>40.72</v>
      </c>
      <c r="O906" s="3"/>
      <c r="P906" s="3">
        <f t="shared" si="236"/>
        <v>147.69831811023622</v>
      </c>
      <c r="Q906" s="3">
        <f t="shared" si="237"/>
        <v>157.29926299212599</v>
      </c>
      <c r="R906" s="3">
        <f>vd(DataTable[[#This Row],[Sentido]],DataTable[[#This Row],[Valor]])</f>
        <v>157.2740157480315</v>
      </c>
      <c r="S906" s="3">
        <f>IF(DataTable[[#This Row],[Valor]]&gt;1,1,1)</f>
        <v>1</v>
      </c>
      <c r="T906" s="3">
        <f>IF(DataTable[[#This Row],[Valor]]&gt;1,1,1)</f>
        <v>1</v>
      </c>
      <c r="U906" s="3">
        <f>angr(DataTable[[#This Row],[Sentido]],DataTable[[#This Row],[Valor]])</f>
        <v>22.043307086614174</v>
      </c>
      <c r="V906" s="3">
        <f>ANGI(DataTable[[#This Row],[Sentido]],DataTable[[#This Row],[Valor]])</f>
        <v>22.986614173228347</v>
      </c>
      <c r="W906" s="3">
        <f t="shared" si="238"/>
        <v>3</v>
      </c>
      <c r="X906" s="3">
        <f>IF(DataTable[[#This Row],[Valor]]&gt;1,1,1)</f>
        <v>1</v>
      </c>
      <c r="Y906" s="3">
        <f t="shared" si="239"/>
        <v>3</v>
      </c>
      <c r="Z906" s="3">
        <f>IF(AND(DataTable[[#This Row],[Sentido]]="URUGUAI para BRASIL",DataTable[[#This Row],[Valor]]&gt;350),1,0)</f>
        <v>1</v>
      </c>
      <c r="AA906" s="3">
        <f>IF(DataTable[[#This Row],[Valor]]&gt;1,0,0)</f>
        <v>0</v>
      </c>
    </row>
    <row r="907" spans="1:27" x14ac:dyDescent="0.25">
      <c r="A907" s="2" t="s">
        <v>18</v>
      </c>
      <c r="B907" s="2">
        <v>498</v>
      </c>
      <c r="C907" s="3">
        <f t="shared" si="225"/>
        <v>100.80493700787402</v>
      </c>
      <c r="D907" s="3">
        <f t="shared" si="226"/>
        <v>102.16375590551181</v>
      </c>
      <c r="E907" s="3">
        <f t="shared" si="227"/>
        <v>100.86375590551181</v>
      </c>
      <c r="F907" s="3">
        <f t="shared" si="228"/>
        <v>15.240000000000002</v>
      </c>
      <c r="G907" s="3">
        <f t="shared" si="229"/>
        <v>139.98834000000005</v>
      </c>
      <c r="H907" s="3">
        <f t="shared" si="230"/>
        <v>65.399999999999991</v>
      </c>
      <c r="I907" s="3"/>
      <c r="J907" s="3">
        <f t="shared" si="231"/>
        <v>96.963755905511803</v>
      </c>
      <c r="K907" s="3">
        <f t="shared" si="232"/>
        <v>102.16375590551181</v>
      </c>
      <c r="L907" s="34">
        <f t="shared" si="233"/>
        <v>100.86375590551181</v>
      </c>
      <c r="M907" s="3">
        <f t="shared" si="234"/>
        <v>-149.6</v>
      </c>
      <c r="N907" s="3">
        <f t="shared" si="235"/>
        <v>40.480000000000004</v>
      </c>
      <c r="O907" s="3"/>
      <c r="P907" s="3">
        <f t="shared" si="236"/>
        <v>147.87803464566929</v>
      </c>
      <c r="Q907" s="3">
        <f t="shared" si="237"/>
        <v>157.40471181102362</v>
      </c>
      <c r="R907" s="3">
        <f>vd(DataTable[[#This Row],[Sentido]],DataTable[[#This Row],[Valor]])</f>
        <v>157.37637795275592</v>
      </c>
      <c r="S907" s="3">
        <f>IF(DataTable[[#This Row],[Valor]]&gt;1,1,1)</f>
        <v>1</v>
      </c>
      <c r="T907" s="3">
        <f>IF(DataTable[[#This Row],[Valor]]&gt;1,1,1)</f>
        <v>1</v>
      </c>
      <c r="U907" s="3">
        <f>angr(DataTable[[#This Row],[Sentido]],DataTable[[#This Row],[Valor]])</f>
        <v>22.039370078740159</v>
      </c>
      <c r="V907" s="3">
        <f>ANGI(DataTable[[#This Row],[Sentido]],DataTable[[#This Row],[Valor]])</f>
        <v>22.978740157480313</v>
      </c>
      <c r="W907" s="3">
        <f t="shared" si="238"/>
        <v>3</v>
      </c>
      <c r="X907" s="3">
        <f>IF(DataTable[[#This Row],[Valor]]&gt;1,1,1)</f>
        <v>1</v>
      </c>
      <c r="Y907" s="3">
        <f t="shared" si="239"/>
        <v>3</v>
      </c>
      <c r="Z907" s="3">
        <f>IF(AND(DataTable[[#This Row],[Sentido]]="URUGUAI para BRASIL",DataTable[[#This Row],[Valor]]&gt;350),1,0)</f>
        <v>1</v>
      </c>
      <c r="AA907" s="3">
        <f>IF(DataTable[[#This Row],[Valor]]&gt;1,0,0)</f>
        <v>0</v>
      </c>
    </row>
    <row r="908" spans="1:27" x14ac:dyDescent="0.25">
      <c r="A908" s="2" t="s">
        <v>18</v>
      </c>
      <c r="B908" s="2">
        <v>499</v>
      </c>
      <c r="C908" s="3">
        <f t="shared" si="225"/>
        <v>100.87704330708662</v>
      </c>
      <c r="D908" s="3">
        <f t="shared" si="226"/>
        <v>102.23598031496063</v>
      </c>
      <c r="E908" s="3">
        <f t="shared" si="227"/>
        <v>100.93598031496063</v>
      </c>
      <c r="F908" s="3">
        <f t="shared" si="228"/>
        <v>15.120000000000005</v>
      </c>
      <c r="G908" s="3">
        <f t="shared" si="229"/>
        <v>140.78667000000004</v>
      </c>
      <c r="H908" s="3">
        <f t="shared" si="230"/>
        <v>65.2</v>
      </c>
      <c r="I908" s="3"/>
      <c r="J908" s="3">
        <f t="shared" si="231"/>
        <v>97.035980314960625</v>
      </c>
      <c r="K908" s="3">
        <f t="shared" si="232"/>
        <v>102.23598031496063</v>
      </c>
      <c r="L908" s="34">
        <f t="shared" si="233"/>
        <v>100.93598031496063</v>
      </c>
      <c r="M908" s="3">
        <f t="shared" si="234"/>
        <v>-149.80000000000001</v>
      </c>
      <c r="N908" s="3">
        <f t="shared" si="235"/>
        <v>40.24</v>
      </c>
      <c r="O908" s="3"/>
      <c r="P908" s="3">
        <f t="shared" si="236"/>
        <v>148.05775118110236</v>
      </c>
      <c r="Q908" s="3">
        <f t="shared" si="237"/>
        <v>157.51016062992124</v>
      </c>
      <c r="R908" s="3">
        <f>vd(DataTable[[#This Row],[Sentido]],DataTable[[#This Row],[Valor]])</f>
        <v>157.47874015748033</v>
      </c>
      <c r="S908" s="3">
        <f>IF(DataTable[[#This Row],[Valor]]&gt;1,1,1)</f>
        <v>1</v>
      </c>
      <c r="T908" s="3">
        <f>IF(DataTable[[#This Row],[Valor]]&gt;1,1,1)</f>
        <v>1</v>
      </c>
      <c r="U908" s="3">
        <f>angr(DataTable[[#This Row],[Sentido]],DataTable[[#This Row],[Valor]])</f>
        <v>22.035433070866141</v>
      </c>
      <c r="V908" s="3">
        <f>ANGI(DataTable[[#This Row],[Sentido]],DataTable[[#This Row],[Valor]])</f>
        <v>22.970866141732284</v>
      </c>
      <c r="W908" s="3">
        <f t="shared" si="238"/>
        <v>3</v>
      </c>
      <c r="X908" s="3">
        <f>IF(DataTable[[#This Row],[Valor]]&gt;1,1,1)</f>
        <v>1</v>
      </c>
      <c r="Y908" s="3">
        <f t="shared" si="239"/>
        <v>3</v>
      </c>
      <c r="Z908" s="3">
        <f>IF(AND(DataTable[[#This Row],[Sentido]]="URUGUAI para BRASIL",DataTable[[#This Row],[Valor]]&gt;350),1,0)</f>
        <v>1</v>
      </c>
      <c r="AA908" s="3">
        <f>IF(DataTable[[#This Row],[Valor]]&gt;1,0,0)</f>
        <v>0</v>
      </c>
    </row>
    <row r="909" spans="1:27" x14ac:dyDescent="0.25">
      <c r="A909" s="2" t="s">
        <v>18</v>
      </c>
      <c r="B909" s="2">
        <v>500</v>
      </c>
      <c r="C909" s="3">
        <f t="shared" si="225"/>
        <v>100.94914960629922</v>
      </c>
      <c r="D909" s="3">
        <f t="shared" si="226"/>
        <v>102.30820472440945</v>
      </c>
      <c r="E909" s="3">
        <f t="shared" si="227"/>
        <v>101.00820472440945</v>
      </c>
      <c r="F909" s="3">
        <f t="shared" si="228"/>
        <v>15</v>
      </c>
      <c r="G909" s="3">
        <f t="shared" si="229"/>
        <v>141.58500000000004</v>
      </c>
      <c r="H909" s="3">
        <f t="shared" si="230"/>
        <v>65</v>
      </c>
      <c r="I909" s="3"/>
      <c r="J909" s="3">
        <f t="shared" si="231"/>
        <v>97.108204724409447</v>
      </c>
      <c r="K909" s="3">
        <f t="shared" si="232"/>
        <v>102.30820472440945</v>
      </c>
      <c r="L909" s="34">
        <f t="shared" si="233"/>
        <v>101.00820472440945</v>
      </c>
      <c r="M909" s="3">
        <f t="shared" si="234"/>
        <v>-150</v>
      </c>
      <c r="N909" s="3">
        <f t="shared" si="235"/>
        <v>40</v>
      </c>
      <c r="O909" s="3"/>
      <c r="P909" s="3">
        <f t="shared" si="236"/>
        <v>148.23746771653543</v>
      </c>
      <c r="Q909" s="3">
        <f t="shared" si="237"/>
        <v>157.6156094488189</v>
      </c>
      <c r="R909" s="3">
        <f>vd(DataTable[[#This Row],[Sentido]],DataTable[[#This Row],[Valor]])</f>
        <v>157.58110236220475</v>
      </c>
      <c r="S909" s="3">
        <f>IF(DataTable[[#This Row],[Valor]]&gt;1,1,1)</f>
        <v>1</v>
      </c>
      <c r="T909" s="3">
        <f>IF(DataTable[[#This Row],[Valor]]&gt;1,1,1)</f>
        <v>1</v>
      </c>
      <c r="U909" s="3">
        <f>angr(DataTable[[#This Row],[Sentido]],DataTable[[#This Row],[Valor]])</f>
        <v>22.031496062992126</v>
      </c>
      <c r="V909" s="3">
        <f>ANGI(DataTable[[#This Row],[Sentido]],DataTable[[#This Row],[Valor]])</f>
        <v>22.96299212598425</v>
      </c>
      <c r="W909" s="3">
        <f t="shared" si="238"/>
        <v>3</v>
      </c>
      <c r="X909" s="3">
        <f>IF(DataTable[[#This Row],[Valor]]&gt;1,1,1)</f>
        <v>1</v>
      </c>
      <c r="Y909" s="3">
        <f t="shared" si="239"/>
        <v>3</v>
      </c>
      <c r="Z909" s="3">
        <f>IF(AND(DataTable[[#This Row],[Sentido]]="URUGUAI para BRASIL",DataTable[[#This Row],[Valor]]&gt;350),1,0)</f>
        <v>1</v>
      </c>
      <c r="AA909" s="3">
        <f>IF(DataTable[[#This Row],[Valor]]&gt;1,0,0)</f>
        <v>0</v>
      </c>
    </row>
    <row r="910" spans="1:27" x14ac:dyDescent="0.25">
      <c r="A910" s="2" t="s">
        <v>18</v>
      </c>
      <c r="B910" s="2">
        <v>501</v>
      </c>
      <c r="C910" s="3">
        <f t="shared" si="225"/>
        <v>101.02125590551181</v>
      </c>
      <c r="D910" s="3">
        <f t="shared" si="226"/>
        <v>102.38042913385827</v>
      </c>
      <c r="E910" s="3">
        <f t="shared" si="227"/>
        <v>101.08042913385827</v>
      </c>
      <c r="F910" s="3">
        <f t="shared" si="228"/>
        <v>14.880000000000003</v>
      </c>
      <c r="G910" s="3">
        <f t="shared" si="229"/>
        <v>142.38333000000006</v>
      </c>
      <c r="H910" s="3">
        <f t="shared" si="230"/>
        <v>64.8</v>
      </c>
      <c r="I910" s="3"/>
      <c r="J910" s="3">
        <f t="shared" si="231"/>
        <v>97.180429133858269</v>
      </c>
      <c r="K910" s="3">
        <f t="shared" si="232"/>
        <v>102.38042913385827</v>
      </c>
      <c r="L910" s="34">
        <f t="shared" si="233"/>
        <v>101.08042913385827</v>
      </c>
      <c r="M910" s="3">
        <f t="shared" si="234"/>
        <v>-150.19999999999999</v>
      </c>
      <c r="N910" s="3">
        <f t="shared" si="235"/>
        <v>39.760000000000005</v>
      </c>
      <c r="O910" s="3"/>
      <c r="P910" s="3">
        <f t="shared" si="236"/>
        <v>148.41718425196851</v>
      </c>
      <c r="Q910" s="3">
        <f t="shared" si="237"/>
        <v>157.72105826771653</v>
      </c>
      <c r="R910" s="3">
        <f>vd(DataTable[[#This Row],[Sentido]],DataTable[[#This Row],[Valor]])</f>
        <v>157.68346456692913</v>
      </c>
      <c r="S910" s="3">
        <f>IF(DataTable[[#This Row],[Valor]]&gt;1,1,1)</f>
        <v>1</v>
      </c>
      <c r="T910" s="3">
        <f>IF(DataTable[[#This Row],[Valor]]&gt;1,1,1)</f>
        <v>1</v>
      </c>
      <c r="U910" s="3">
        <f>angr(DataTable[[#This Row],[Sentido]],DataTable[[#This Row],[Valor]])</f>
        <v>22.027559055118111</v>
      </c>
      <c r="V910" s="3">
        <f>ANGI(DataTable[[#This Row],[Sentido]],DataTable[[#This Row],[Valor]])</f>
        <v>22.955118110236221</v>
      </c>
      <c r="W910" s="3">
        <f t="shared" si="238"/>
        <v>3</v>
      </c>
      <c r="X910" s="3">
        <f>IF(DataTable[[#This Row],[Valor]]&gt;1,1,1)</f>
        <v>1</v>
      </c>
      <c r="Y910" s="3">
        <f t="shared" si="239"/>
        <v>3</v>
      </c>
      <c r="Z910" s="3">
        <f>IF(AND(DataTable[[#This Row],[Sentido]]="URUGUAI para BRASIL",DataTable[[#This Row],[Valor]]&gt;350),1,0)</f>
        <v>1</v>
      </c>
      <c r="AA910" s="3">
        <f>IF(DataTable[[#This Row],[Valor]]&gt;1,0,0)</f>
        <v>0</v>
      </c>
    </row>
    <row r="911" spans="1:27" x14ac:dyDescent="0.25">
      <c r="A911" s="2" t="s">
        <v>18</v>
      </c>
      <c r="B911" s="2">
        <v>502</v>
      </c>
      <c r="C911" s="3">
        <f t="shared" si="225"/>
        <v>101.09336220472441</v>
      </c>
      <c r="D911" s="3">
        <f t="shared" si="226"/>
        <v>102.45265354330708</v>
      </c>
      <c r="E911" s="3">
        <f t="shared" si="227"/>
        <v>101.15265354330708</v>
      </c>
      <c r="F911" s="3">
        <f t="shared" si="228"/>
        <v>14.759999999999998</v>
      </c>
      <c r="G911" s="3">
        <f t="shared" si="229"/>
        <v>143.18166000000002</v>
      </c>
      <c r="H911" s="3">
        <f t="shared" si="230"/>
        <v>64.599999999999994</v>
      </c>
      <c r="I911" s="3"/>
      <c r="J911" s="3">
        <f t="shared" si="231"/>
        <v>97.252653543307076</v>
      </c>
      <c r="K911" s="3">
        <f t="shared" si="232"/>
        <v>102.45265354330708</v>
      </c>
      <c r="L911" s="34">
        <f t="shared" si="233"/>
        <v>101.15265354330708</v>
      </c>
      <c r="M911" s="3">
        <f t="shared" si="234"/>
        <v>-150.4</v>
      </c>
      <c r="N911" s="3">
        <f t="shared" si="235"/>
        <v>39.520000000000003</v>
      </c>
      <c r="O911" s="3"/>
      <c r="P911" s="3">
        <f t="shared" si="236"/>
        <v>148.59690078740158</v>
      </c>
      <c r="Q911" s="3">
        <f t="shared" si="237"/>
        <v>157.82650708661419</v>
      </c>
      <c r="R911" s="3">
        <f>vd(DataTable[[#This Row],[Sentido]],DataTable[[#This Row],[Valor]])</f>
        <v>157.78582677165355</v>
      </c>
      <c r="S911" s="3">
        <f>IF(DataTable[[#This Row],[Valor]]&gt;1,1,1)</f>
        <v>1</v>
      </c>
      <c r="T911" s="3">
        <f>IF(DataTable[[#This Row],[Valor]]&gt;1,1,1)</f>
        <v>1</v>
      </c>
      <c r="U911" s="3">
        <f>angr(DataTable[[#This Row],[Sentido]],DataTable[[#This Row],[Valor]])</f>
        <v>22.023622047244096</v>
      </c>
      <c r="V911" s="3">
        <f>ANGI(DataTable[[#This Row],[Sentido]],DataTable[[#This Row],[Valor]])</f>
        <v>22.947244094488187</v>
      </c>
      <c r="W911" s="3">
        <f t="shared" si="238"/>
        <v>3</v>
      </c>
      <c r="X911" s="3">
        <f>IF(DataTable[[#This Row],[Valor]]&gt;1,1,1)</f>
        <v>1</v>
      </c>
      <c r="Y911" s="3">
        <f t="shared" si="239"/>
        <v>3</v>
      </c>
      <c r="Z911" s="3">
        <f>IF(AND(DataTable[[#This Row],[Sentido]]="URUGUAI para BRASIL",DataTable[[#This Row],[Valor]]&gt;350),1,0)</f>
        <v>1</v>
      </c>
      <c r="AA911" s="3">
        <f>IF(DataTable[[#This Row],[Valor]]&gt;1,0,0)</f>
        <v>0</v>
      </c>
    </row>
    <row r="912" spans="1:27" x14ac:dyDescent="0.25">
      <c r="A912" s="2" t="s">
        <v>18</v>
      </c>
      <c r="B912" s="2">
        <v>503</v>
      </c>
      <c r="C912" s="3">
        <f t="shared" si="225"/>
        <v>101.16546850393701</v>
      </c>
      <c r="D912" s="3">
        <f t="shared" si="226"/>
        <v>102.5248779527559</v>
      </c>
      <c r="E912" s="3">
        <f t="shared" si="227"/>
        <v>101.2248779527559</v>
      </c>
      <c r="F912" s="3">
        <f t="shared" si="228"/>
        <v>14.64</v>
      </c>
      <c r="G912" s="3">
        <f t="shared" si="229"/>
        <v>143.97999000000004</v>
      </c>
      <c r="H912" s="3">
        <f t="shared" si="230"/>
        <v>64.399999999999991</v>
      </c>
      <c r="I912" s="3"/>
      <c r="J912" s="3">
        <f t="shared" si="231"/>
        <v>97.324877952755898</v>
      </c>
      <c r="K912" s="3">
        <f t="shared" si="232"/>
        <v>102.5248779527559</v>
      </c>
      <c r="L912" s="34">
        <f t="shared" si="233"/>
        <v>101.2248779527559</v>
      </c>
      <c r="M912" s="3">
        <f t="shared" si="234"/>
        <v>-150.6</v>
      </c>
      <c r="N912" s="3">
        <f t="shared" si="235"/>
        <v>39.28</v>
      </c>
      <c r="O912" s="3"/>
      <c r="P912" s="3">
        <f t="shared" si="236"/>
        <v>148.77661732283462</v>
      </c>
      <c r="Q912" s="3">
        <f t="shared" si="237"/>
        <v>157.93195590551181</v>
      </c>
      <c r="R912" s="3">
        <f>vd(DataTable[[#This Row],[Sentido]],DataTable[[#This Row],[Valor]])</f>
        <v>157.88818897637796</v>
      </c>
      <c r="S912" s="3">
        <f>IF(DataTable[[#This Row],[Valor]]&gt;1,1,1)</f>
        <v>1</v>
      </c>
      <c r="T912" s="3">
        <f>IF(DataTable[[#This Row],[Valor]]&gt;1,1,1)</f>
        <v>1</v>
      </c>
      <c r="U912" s="3">
        <f>angr(DataTable[[#This Row],[Sentido]],DataTable[[#This Row],[Valor]])</f>
        <v>22.019685039370078</v>
      </c>
      <c r="V912" s="3">
        <f>ANGI(DataTable[[#This Row],[Sentido]],DataTable[[#This Row],[Valor]])</f>
        <v>22.939370078740158</v>
      </c>
      <c r="W912" s="3">
        <f t="shared" si="238"/>
        <v>3</v>
      </c>
      <c r="X912" s="3">
        <f>IF(DataTable[[#This Row],[Valor]]&gt;1,1,1)</f>
        <v>1</v>
      </c>
      <c r="Y912" s="3">
        <f t="shared" si="239"/>
        <v>3</v>
      </c>
      <c r="Z912" s="3">
        <f>IF(AND(DataTable[[#This Row],[Sentido]]="URUGUAI para BRASIL",DataTable[[#This Row],[Valor]]&gt;350),1,0)</f>
        <v>1</v>
      </c>
      <c r="AA912" s="3">
        <f>IF(DataTable[[#This Row],[Valor]]&gt;1,0,0)</f>
        <v>0</v>
      </c>
    </row>
    <row r="913" spans="1:27" x14ac:dyDescent="0.25">
      <c r="A913" s="2" t="s">
        <v>18</v>
      </c>
      <c r="B913" s="2">
        <v>504</v>
      </c>
      <c r="C913" s="3">
        <f t="shared" si="225"/>
        <v>101.23757480314961</v>
      </c>
      <c r="D913" s="3">
        <f t="shared" si="226"/>
        <v>102.59710236220472</v>
      </c>
      <c r="E913" s="3">
        <f t="shared" si="227"/>
        <v>101.29710236220473</v>
      </c>
      <c r="F913" s="3">
        <f t="shared" si="228"/>
        <v>14.520000000000003</v>
      </c>
      <c r="G913" s="3">
        <f t="shared" si="229"/>
        <v>144.77832000000006</v>
      </c>
      <c r="H913" s="3">
        <f t="shared" si="230"/>
        <v>64.2</v>
      </c>
      <c r="I913" s="3"/>
      <c r="J913" s="3">
        <f t="shared" si="231"/>
        <v>97.39710236220472</v>
      </c>
      <c r="K913" s="3">
        <f t="shared" si="232"/>
        <v>102.59710236220472</v>
      </c>
      <c r="L913" s="34">
        <f t="shared" si="233"/>
        <v>101.29710236220473</v>
      </c>
      <c r="M913" s="3">
        <f t="shared" si="234"/>
        <v>-150.80000000000001</v>
      </c>
      <c r="N913" s="3">
        <f t="shared" si="235"/>
        <v>39.04</v>
      </c>
      <c r="O913" s="3"/>
      <c r="P913" s="3">
        <f t="shared" si="236"/>
        <v>148.9563338582677</v>
      </c>
      <c r="Q913" s="3">
        <f t="shared" si="237"/>
        <v>158.03740472440944</v>
      </c>
      <c r="R913" s="3">
        <f>vd(DataTable[[#This Row],[Sentido]],DataTable[[#This Row],[Valor]])</f>
        <v>157.99055118110238</v>
      </c>
      <c r="S913" s="3">
        <f>IF(DataTable[[#This Row],[Valor]]&gt;1,1,1)</f>
        <v>1</v>
      </c>
      <c r="T913" s="3">
        <f>IF(DataTable[[#This Row],[Valor]]&gt;1,1,1)</f>
        <v>1</v>
      </c>
      <c r="U913" s="3">
        <f>angr(DataTable[[#This Row],[Sentido]],DataTable[[#This Row],[Valor]])</f>
        <v>22.015748031496063</v>
      </c>
      <c r="V913" s="3">
        <f>ANGI(DataTable[[#This Row],[Sentido]],DataTable[[#This Row],[Valor]])</f>
        <v>22.931496062992125</v>
      </c>
      <c r="W913" s="3">
        <f t="shared" si="238"/>
        <v>3</v>
      </c>
      <c r="X913" s="3">
        <f>IF(DataTable[[#This Row],[Valor]]&gt;1,1,1)</f>
        <v>1</v>
      </c>
      <c r="Y913" s="3">
        <f t="shared" si="239"/>
        <v>3</v>
      </c>
      <c r="Z913" s="3">
        <f>IF(AND(DataTable[[#This Row],[Sentido]]="URUGUAI para BRASIL",DataTable[[#This Row],[Valor]]&gt;350),1,0)</f>
        <v>1</v>
      </c>
      <c r="AA913" s="3">
        <f>IF(DataTable[[#This Row],[Valor]]&gt;1,0,0)</f>
        <v>0</v>
      </c>
    </row>
    <row r="914" spans="1:27" x14ac:dyDescent="0.25">
      <c r="A914" s="2" t="s">
        <v>18</v>
      </c>
      <c r="B914" s="2">
        <v>505</v>
      </c>
      <c r="C914" s="3">
        <f t="shared" si="225"/>
        <v>101.30968110236221</v>
      </c>
      <c r="D914" s="3">
        <f t="shared" si="226"/>
        <v>102.66932677165354</v>
      </c>
      <c r="E914" s="3">
        <f t="shared" si="227"/>
        <v>101.36932677165355</v>
      </c>
      <c r="F914" s="3">
        <f t="shared" si="228"/>
        <v>14.399999999999999</v>
      </c>
      <c r="G914" s="3">
        <f t="shared" si="229"/>
        <v>145.57665000000003</v>
      </c>
      <c r="H914" s="3">
        <f t="shared" si="230"/>
        <v>64</v>
      </c>
      <c r="I914" s="3"/>
      <c r="J914" s="3">
        <f t="shared" si="231"/>
        <v>97.469326771653542</v>
      </c>
      <c r="K914" s="3">
        <f t="shared" si="232"/>
        <v>102.66932677165354</v>
      </c>
      <c r="L914" s="34">
        <f t="shared" si="233"/>
        <v>101.36932677165355</v>
      </c>
      <c r="M914" s="3">
        <f t="shared" si="234"/>
        <v>-151</v>
      </c>
      <c r="N914" s="3">
        <f t="shared" si="235"/>
        <v>38.800000000000004</v>
      </c>
      <c r="O914" s="3"/>
      <c r="P914" s="3">
        <f t="shared" si="236"/>
        <v>149.1360503937008</v>
      </c>
      <c r="Q914" s="3">
        <f t="shared" si="237"/>
        <v>158.1428535433071</v>
      </c>
      <c r="R914" s="3">
        <f>vd(DataTable[[#This Row],[Sentido]],DataTable[[#This Row],[Valor]])</f>
        <v>158.09291338582679</v>
      </c>
      <c r="S914" s="3">
        <f>IF(DataTable[[#This Row],[Valor]]&gt;1,1,1)</f>
        <v>1</v>
      </c>
      <c r="T914" s="3">
        <f>IF(DataTable[[#This Row],[Valor]]&gt;1,1,1)</f>
        <v>1</v>
      </c>
      <c r="U914" s="3">
        <f>angr(DataTable[[#This Row],[Sentido]],DataTable[[#This Row],[Valor]])</f>
        <v>22.011811023622048</v>
      </c>
      <c r="V914" s="3">
        <f>ANGI(DataTable[[#This Row],[Sentido]],DataTable[[#This Row],[Valor]])</f>
        <v>22.923622047244095</v>
      </c>
      <c r="W914" s="3">
        <f t="shared" si="238"/>
        <v>3</v>
      </c>
      <c r="X914" s="3">
        <f>IF(DataTable[[#This Row],[Valor]]&gt;1,1,1)</f>
        <v>1</v>
      </c>
      <c r="Y914" s="3">
        <f t="shared" si="239"/>
        <v>3</v>
      </c>
      <c r="Z914" s="3">
        <f>IF(AND(DataTable[[#This Row],[Sentido]]="URUGUAI para BRASIL",DataTable[[#This Row],[Valor]]&gt;350),1,0)</f>
        <v>1</v>
      </c>
      <c r="AA914" s="3">
        <f>IF(DataTable[[#This Row],[Valor]]&gt;1,0,0)</f>
        <v>0</v>
      </c>
    </row>
    <row r="915" spans="1:27" x14ac:dyDescent="0.25">
      <c r="A915" s="2" t="s">
        <v>18</v>
      </c>
      <c r="B915" s="2">
        <v>506</v>
      </c>
      <c r="C915" s="3">
        <f t="shared" si="225"/>
        <v>101.38178740157481</v>
      </c>
      <c r="D915" s="3">
        <f t="shared" si="226"/>
        <v>102.74155118110237</v>
      </c>
      <c r="E915" s="3">
        <f t="shared" si="227"/>
        <v>101.44155118110237</v>
      </c>
      <c r="F915" s="3">
        <f t="shared" si="228"/>
        <v>14.280000000000001</v>
      </c>
      <c r="G915" s="3">
        <f t="shared" si="229"/>
        <v>146.37498000000005</v>
      </c>
      <c r="H915" s="3">
        <f t="shared" si="230"/>
        <v>63.8</v>
      </c>
      <c r="I915" s="3"/>
      <c r="J915" s="3">
        <f t="shared" si="231"/>
        <v>97.541551181102363</v>
      </c>
      <c r="K915" s="3">
        <f t="shared" si="232"/>
        <v>102.74155118110237</v>
      </c>
      <c r="L915" s="34">
        <f t="shared" si="233"/>
        <v>101.44155118110237</v>
      </c>
      <c r="M915" s="3">
        <f t="shared" si="234"/>
        <v>-151.19999999999999</v>
      </c>
      <c r="N915" s="3">
        <f t="shared" si="235"/>
        <v>38.56</v>
      </c>
      <c r="O915" s="3"/>
      <c r="P915" s="3">
        <f t="shared" si="236"/>
        <v>149.31576692913387</v>
      </c>
      <c r="Q915" s="3">
        <f t="shared" si="237"/>
        <v>158.24830236220473</v>
      </c>
      <c r="R915" s="3">
        <f>vd(DataTable[[#This Row],[Sentido]],DataTable[[#This Row],[Valor]])</f>
        <v>158.19527559055118</v>
      </c>
      <c r="S915" s="3">
        <f>IF(DataTable[[#This Row],[Valor]]&gt;1,1,1)</f>
        <v>1</v>
      </c>
      <c r="T915" s="3">
        <f>IF(DataTable[[#This Row],[Valor]]&gt;1,1,1)</f>
        <v>1</v>
      </c>
      <c r="U915" s="3">
        <f>angr(DataTable[[#This Row],[Sentido]],DataTable[[#This Row],[Valor]])</f>
        <v>22.007874015748033</v>
      </c>
      <c r="V915" s="3">
        <f>ANGI(DataTable[[#This Row],[Sentido]],DataTable[[#This Row],[Valor]])</f>
        <v>22.915748031496062</v>
      </c>
      <c r="W915" s="3">
        <f t="shared" si="238"/>
        <v>3</v>
      </c>
      <c r="X915" s="3">
        <f>IF(DataTable[[#This Row],[Valor]]&gt;1,1,1)</f>
        <v>1</v>
      </c>
      <c r="Y915" s="3">
        <f t="shared" si="239"/>
        <v>3</v>
      </c>
      <c r="Z915" s="3">
        <f>IF(AND(DataTable[[#This Row],[Sentido]]="URUGUAI para BRASIL",DataTable[[#This Row],[Valor]]&gt;350),1,0)</f>
        <v>1</v>
      </c>
      <c r="AA915" s="3">
        <f>IF(DataTable[[#This Row],[Valor]]&gt;1,0,0)</f>
        <v>0</v>
      </c>
    </row>
    <row r="916" spans="1:27" x14ac:dyDescent="0.25">
      <c r="A916" s="2" t="s">
        <v>18</v>
      </c>
      <c r="B916" s="2">
        <v>507</v>
      </c>
      <c r="C916" s="3">
        <f t="shared" si="225"/>
        <v>101.4538937007874</v>
      </c>
      <c r="D916" s="3">
        <f t="shared" si="226"/>
        <v>102.81377559055117</v>
      </c>
      <c r="E916" s="3">
        <f t="shared" si="227"/>
        <v>101.51377559055118</v>
      </c>
      <c r="F916" s="3">
        <f t="shared" si="228"/>
        <v>14.160000000000004</v>
      </c>
      <c r="G916" s="3">
        <f t="shared" si="229"/>
        <v>147.17331000000001</v>
      </c>
      <c r="H916" s="3">
        <f t="shared" si="230"/>
        <v>63.599999999999994</v>
      </c>
      <c r="I916" s="3"/>
      <c r="J916" s="3">
        <f t="shared" si="231"/>
        <v>97.613775590551171</v>
      </c>
      <c r="K916" s="3">
        <f t="shared" si="232"/>
        <v>102.81377559055117</v>
      </c>
      <c r="L916" s="34">
        <f t="shared" si="233"/>
        <v>101.51377559055118</v>
      </c>
      <c r="M916" s="3">
        <f t="shared" si="234"/>
        <v>-151.4</v>
      </c>
      <c r="N916" s="3">
        <f t="shared" si="235"/>
        <v>38.32</v>
      </c>
      <c r="O916" s="3"/>
      <c r="P916" s="3">
        <f t="shared" si="236"/>
        <v>149.49548346456692</v>
      </c>
      <c r="Q916" s="3">
        <f t="shared" si="237"/>
        <v>158.35375118110238</v>
      </c>
      <c r="R916" s="3">
        <f>vd(DataTable[[#This Row],[Sentido]],DataTable[[#This Row],[Valor]])</f>
        <v>158.29763779527559</v>
      </c>
      <c r="S916" s="3">
        <f>IF(DataTable[[#This Row],[Valor]]&gt;1,1,1)</f>
        <v>1</v>
      </c>
      <c r="T916" s="3">
        <f>IF(DataTable[[#This Row],[Valor]]&gt;1,1,1)</f>
        <v>1</v>
      </c>
      <c r="U916" s="3">
        <f>angr(DataTable[[#This Row],[Sentido]],DataTable[[#This Row],[Valor]])</f>
        <v>22.003937007874015</v>
      </c>
      <c r="V916" s="3">
        <f>ANGI(DataTable[[#This Row],[Sentido]],DataTable[[#This Row],[Valor]])</f>
        <v>22.907874015748032</v>
      </c>
      <c r="W916" s="3">
        <f t="shared" si="238"/>
        <v>3</v>
      </c>
      <c r="X916" s="3">
        <f>IF(DataTable[[#This Row],[Valor]]&gt;1,1,1)</f>
        <v>1</v>
      </c>
      <c r="Y916" s="3">
        <f t="shared" si="239"/>
        <v>3</v>
      </c>
      <c r="Z916" s="3">
        <f>IF(AND(DataTable[[#This Row],[Sentido]]="URUGUAI para BRASIL",DataTable[[#This Row],[Valor]]&gt;350),1,0)</f>
        <v>1</v>
      </c>
      <c r="AA916" s="3">
        <f>IF(DataTable[[#This Row],[Valor]]&gt;1,0,0)</f>
        <v>0</v>
      </c>
    </row>
    <row r="917" spans="1:27" x14ac:dyDescent="0.25">
      <c r="A917" s="2" t="s">
        <v>18</v>
      </c>
      <c r="B917" s="2">
        <v>508</v>
      </c>
      <c r="C917" s="3">
        <f t="shared" si="225"/>
        <v>101.526</v>
      </c>
      <c r="D917" s="3">
        <f t="shared" si="226"/>
        <v>102.886</v>
      </c>
      <c r="E917" s="3">
        <f t="shared" si="227"/>
        <v>101.586</v>
      </c>
      <c r="F917" s="3">
        <f t="shared" si="228"/>
        <v>14.04</v>
      </c>
      <c r="G917" s="3">
        <f t="shared" si="229"/>
        <v>147.97164000000004</v>
      </c>
      <c r="H917" s="3">
        <f t="shared" si="230"/>
        <v>63.4</v>
      </c>
      <c r="I917" s="3"/>
      <c r="J917" s="3">
        <f t="shared" si="231"/>
        <v>97.685999999999993</v>
      </c>
      <c r="K917" s="3">
        <f t="shared" si="232"/>
        <v>102.886</v>
      </c>
      <c r="L917" s="34">
        <f t="shared" si="233"/>
        <v>101.586</v>
      </c>
      <c r="M917" s="3">
        <f t="shared" si="234"/>
        <v>-151.6</v>
      </c>
      <c r="N917" s="3">
        <f t="shared" si="235"/>
        <v>38.080000000000005</v>
      </c>
      <c r="O917" s="3"/>
      <c r="P917" s="3">
        <f t="shared" si="236"/>
        <v>149.67519999999999</v>
      </c>
      <c r="Q917" s="3">
        <f t="shared" si="237"/>
        <v>158.45471839999999</v>
      </c>
      <c r="R917" s="3">
        <f>vd(DataTable[[#This Row],[Sentido]],DataTable[[#This Row],[Valor]])</f>
        <v>158.4</v>
      </c>
      <c r="S917" s="3">
        <f>IF(DataTable[[#This Row],[Valor]]&gt;1,1,1)</f>
        <v>1</v>
      </c>
      <c r="T917" s="3">
        <f>IF(DataTable[[#This Row],[Valor]]&gt;1,1,1)</f>
        <v>1</v>
      </c>
      <c r="U917" s="3">
        <f>angr(DataTable[[#This Row],[Sentido]],DataTable[[#This Row],[Valor]])</f>
        <v>22</v>
      </c>
      <c r="V917" s="3">
        <f>ANGI(DataTable[[#This Row],[Sentido]],DataTable[[#This Row],[Valor]])</f>
        <v>22.9</v>
      </c>
      <c r="W917" s="3">
        <f t="shared" si="238"/>
        <v>3</v>
      </c>
      <c r="X917" s="3">
        <f>IF(DataTable[[#This Row],[Valor]]&gt;1,1,1)</f>
        <v>1</v>
      </c>
      <c r="Y917" s="3">
        <f t="shared" si="239"/>
        <v>3</v>
      </c>
      <c r="Z917" s="3">
        <f>IF(AND(DataTable[[#This Row],[Sentido]]="URUGUAI para BRASIL",DataTable[[#This Row],[Valor]]&gt;350),1,0)</f>
        <v>1</v>
      </c>
      <c r="AA917" s="3">
        <f>IF(DataTable[[#This Row],[Valor]]&gt;1,0,0)</f>
        <v>0</v>
      </c>
    </row>
  </sheetData>
  <mergeCells count="12">
    <mergeCell ref="P2:R2"/>
    <mergeCell ref="U1:V1"/>
    <mergeCell ref="W1:X1"/>
    <mergeCell ref="Z1:AA1"/>
    <mergeCell ref="J1:O1"/>
    <mergeCell ref="P1:R1"/>
    <mergeCell ref="A1:B2"/>
    <mergeCell ref="C2:E2"/>
    <mergeCell ref="J2:L2"/>
    <mergeCell ref="M2:O2"/>
    <mergeCell ref="C1:I1"/>
    <mergeCell ref="F2:I2"/>
  </mergeCells>
  <dataValidations count="1">
    <dataValidation type="list" allowBlank="1" showInputMessage="1" showErrorMessage="1" sqref="A4:A917" xr:uid="{00000000-0002-0000-0300-000000000000}">
      <formula1>"URUGUAI para BRASIL,BRASIL para URUGUAI"</formula1>
    </dataValidation>
  </dataValidations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otsSheet"/>
  <dimension ref="B1:GKI7"/>
  <sheetViews>
    <sheetView topLeftCell="QO1" zoomScale="85" zoomScaleNormal="85" workbookViewId="0">
      <selection activeCell="QP4" sqref="QP4"/>
    </sheetView>
  </sheetViews>
  <sheetFormatPr defaultRowHeight="15" x14ac:dyDescent="0.25"/>
  <cols>
    <col min="1" max="1" width="0.85546875" style="11" customWidth="1"/>
    <col min="2" max="2" width="15.85546875" style="11" bestFit="1" customWidth="1"/>
    <col min="3" max="3" width="49.7109375" style="11" bestFit="1" customWidth="1"/>
    <col min="4" max="11" width="14.5703125" style="11" bestFit="1" customWidth="1"/>
    <col min="12" max="13" width="16.85546875" style="11" bestFit="1" customWidth="1"/>
    <col min="14" max="50" width="14.5703125" style="11" bestFit="1" customWidth="1"/>
    <col min="51" max="502" width="15.5703125" style="11" bestFit="1" customWidth="1"/>
    <col min="503" max="16384" width="9.140625" style="11"/>
  </cols>
  <sheetData>
    <row r="1" spans="2:5027" ht="5.0999999999999996" customHeight="1" thickBot="1" x14ac:dyDescent="0.3"/>
    <row r="2" spans="2:5027" ht="15" customHeight="1" thickBot="1" x14ac:dyDescent="0.3">
      <c r="B2" s="19" t="s">
        <v>49</v>
      </c>
      <c r="C2" s="32" t="s">
        <v>981</v>
      </c>
      <c r="D2" s="11" t="s">
        <v>48</v>
      </c>
      <c r="E2" s="29">
        <v>457</v>
      </c>
      <c r="L2" s="28">
        <v>43195.756215277775</v>
      </c>
      <c r="M2" s="28">
        <v>43195.760717592595</v>
      </c>
      <c r="N2" s="30">
        <f>M2-L2</f>
        <v>4.5023148195468821E-3</v>
      </c>
    </row>
    <row r="3" spans="2:5027" x14ac:dyDescent="0.25">
      <c r="C3" s="31">
        <f>MAX($C$6:$C$7) - MIN( $C$6:$C$7)</f>
        <v>0</v>
      </c>
      <c r="D3" s="31">
        <f>MAX($D$6:$D$7) - MIN( $D$6:$D$7)</f>
        <v>0</v>
      </c>
      <c r="E3" s="31">
        <f>MAX($E$6:$E$7) - MIN( $E$6:$E$7)</f>
        <v>0</v>
      </c>
      <c r="F3" s="31">
        <f>MAX($F$6:$F$7) - MIN( $F$6:$F$7)</f>
        <v>0</v>
      </c>
      <c r="G3" s="31">
        <f>MAX($G$6:$G$7) - MIN( $G$6:$G$7)</f>
        <v>0</v>
      </c>
      <c r="H3" s="31">
        <f>MAX($H$6:$H$7) - MIN( $H$6:$H$7)</f>
        <v>0</v>
      </c>
      <c r="I3" s="31">
        <f>MAX($I$6:$I$7) - MIN( $I$6:$I$7)</f>
        <v>0</v>
      </c>
      <c r="J3" s="31">
        <f>MAX($J$6:$J$7) - MIN( $J$6:$J$7)</f>
        <v>0</v>
      </c>
      <c r="K3" s="31">
        <f>MAX($K$6:$K$7) - MIN( $K$6:$K$7)</f>
        <v>0</v>
      </c>
      <c r="L3" s="31">
        <f>MAX($L$6:$L$7) - MIN( $L$6:$L$7)</f>
        <v>0</v>
      </c>
      <c r="M3" s="31">
        <f>MAX($M$6:$M$7) - MIN( $M$6:$M$7)</f>
        <v>0</v>
      </c>
      <c r="N3" s="31">
        <f>MAX($N$6:$N$7) - MIN( $N$6:$N$7)</f>
        <v>0</v>
      </c>
      <c r="O3" s="31">
        <f>MAX($O$6:$O$7) - MIN( $O$6:$O$7)</f>
        <v>0</v>
      </c>
      <c r="P3" s="31">
        <f>MAX($P$6:$P$7) - MIN( $P$6:$P$7)</f>
        <v>0</v>
      </c>
      <c r="Q3" s="31">
        <f>MAX($Q$6:$Q$7) - MIN( $Q$6:$Q$7)</f>
        <v>0</v>
      </c>
      <c r="R3" s="31">
        <f>MAX($R$6:$R$7) - MIN( $R$6:$R$7)</f>
        <v>0</v>
      </c>
      <c r="S3" s="31">
        <f>MAX($S$6:$S$7) - MIN( $S$6:$S$7)</f>
        <v>0</v>
      </c>
      <c r="T3" s="31">
        <f>MAX($T$6:$T$7) - MIN( $T$6:$T$7)</f>
        <v>0</v>
      </c>
      <c r="U3" s="31">
        <f>MAX($U$6:$U$7) - MIN( $U$6:$U$7)</f>
        <v>0</v>
      </c>
      <c r="V3" s="31">
        <f>MAX($V$6:$V$7) - MIN( $V$6:$V$7)</f>
        <v>0</v>
      </c>
      <c r="W3" s="31">
        <f>MAX($W$6:$W$7) - MIN( $W$6:$W$7)</f>
        <v>0</v>
      </c>
      <c r="X3" s="31">
        <f>MAX($X$6:$X$7) - MIN( $X$6:$X$7)</f>
        <v>0</v>
      </c>
      <c r="Y3" s="31">
        <f>MAX($Y$6:$Y$7) - MIN( $Y$6:$Y$7)</f>
        <v>0</v>
      </c>
      <c r="Z3" s="31">
        <f>MAX($Z$6:$Z$7) - MIN( $Z$6:$Z$7)</f>
        <v>0</v>
      </c>
      <c r="AA3" s="31">
        <f>MAX($AA$6:$AA$7) - MIN( $AA$6:$AA$7)</f>
        <v>0</v>
      </c>
      <c r="AB3" s="31">
        <f>MAX($AB$6:$AB$7) - MIN( $AB$6:$AB$7)</f>
        <v>0</v>
      </c>
      <c r="AC3" s="31">
        <f>MAX($AC$6:$AC$7) - MIN( $AC$6:$AC$7)</f>
        <v>0</v>
      </c>
      <c r="AD3" s="31">
        <f>MAX($AD$6:$AD$7) - MIN( $AD$6:$AD$7)</f>
        <v>0</v>
      </c>
      <c r="AE3" s="31">
        <f>MAX($AE$6:$AE$7) - MIN( $AE$6:$AE$7)</f>
        <v>0</v>
      </c>
      <c r="AF3" s="31">
        <f>MAX($AF$6:$AF$7) - MIN( $AF$6:$AF$7)</f>
        <v>0</v>
      </c>
      <c r="AG3" s="31">
        <f>MAX($AG$6:$AG$7) - MIN( $AG$6:$AG$7)</f>
        <v>0</v>
      </c>
      <c r="AH3" s="31">
        <f>MAX($AH$6:$AH$7) - MIN( $AH$6:$AH$7)</f>
        <v>0</v>
      </c>
      <c r="AI3" s="31">
        <f>MAX($AI$6:$AI$7) - MIN( $AI$6:$AI$7)</f>
        <v>0</v>
      </c>
      <c r="AJ3" s="31">
        <f>MAX($AJ$6:$AJ$7) - MIN( $AJ$6:$AJ$7)</f>
        <v>0</v>
      </c>
      <c r="AK3" s="31">
        <f>MAX($AK$6:$AK$7) - MIN( $AK$6:$AK$7)</f>
        <v>0</v>
      </c>
      <c r="AL3" s="31">
        <f>MAX($AL$6:$AL$7) - MIN( $AL$6:$AL$7)</f>
        <v>0</v>
      </c>
      <c r="AM3" s="31">
        <f>MAX($AM$6:$AM$7) - MIN( $AM$6:$AM$7)</f>
        <v>0</v>
      </c>
      <c r="AN3" s="31">
        <f>MAX($AN$6:$AN$7) - MIN( $AN$6:$AN$7)</f>
        <v>0</v>
      </c>
      <c r="AO3" s="31">
        <f>MAX($AO$6:$AO$7) - MIN( $AO$6:$AO$7)</f>
        <v>0</v>
      </c>
      <c r="AP3" s="31">
        <f>MAX($AP$6:$AP$7) - MIN( $AP$6:$AP$7)</f>
        <v>0</v>
      </c>
      <c r="AQ3" s="31">
        <f>MAX($AQ$6:$AQ$7) - MIN( $AQ$6:$AQ$7)</f>
        <v>0</v>
      </c>
      <c r="AR3" s="31">
        <f>MAX($AR$6:$AR$7) - MIN( $AR$6:$AR$7)</f>
        <v>0</v>
      </c>
      <c r="AS3" s="31">
        <f>MAX($AS$6:$AS$7) - MIN( $AS$6:$AS$7)</f>
        <v>0</v>
      </c>
      <c r="AT3" s="31">
        <f>MAX($AT$6:$AT$7) - MIN( $AT$6:$AT$7)</f>
        <v>0</v>
      </c>
      <c r="AU3" s="31">
        <f>MAX($AU$6:$AU$7) - MIN( $AU$6:$AU$7)</f>
        <v>0</v>
      </c>
      <c r="AV3" s="31">
        <f>MAX($AV$6:$AV$7) - MIN( $AV$6:$AV$7)</f>
        <v>0</v>
      </c>
      <c r="AW3" s="31">
        <f>MAX($AW$6:$AW$7) - MIN( $AW$6:$AW$7)</f>
        <v>0</v>
      </c>
      <c r="AX3" s="31">
        <f>MAX($AX$6:$AX$7) - MIN( $AX$6:$AX$7)</f>
        <v>0</v>
      </c>
      <c r="AY3" s="31">
        <f>MAX($AY$6:$AY$7) - MIN( $AY$6:$AY$7)</f>
        <v>0</v>
      </c>
      <c r="AZ3" s="31">
        <f>MAX($AZ$6:$AZ$7) - MIN( $AZ$6:$AZ$7)</f>
        <v>0</v>
      </c>
      <c r="BA3" s="31">
        <f>MAX($BA$6:$BA$7) - MIN( $BA$6:$BA$7)</f>
        <v>0</v>
      </c>
      <c r="BB3" s="31">
        <f>MAX($BB$6:$BB$7) - MIN( $BB$6:$BB$7)</f>
        <v>0</v>
      </c>
      <c r="BC3" s="31">
        <f>MAX($BC$6:$BC$7) - MIN( $BC$6:$BC$7)</f>
        <v>0</v>
      </c>
      <c r="BD3" s="31">
        <f>MAX($BD$6:$BD$7) - MIN( $BD$6:$BD$7)</f>
        <v>0</v>
      </c>
      <c r="BE3" s="31">
        <f>MAX($BE$6:$BE$7) - MIN( $BE$6:$BE$7)</f>
        <v>0</v>
      </c>
      <c r="BF3" s="31">
        <f>MAX($BF$6:$BF$7) - MIN( $BF$6:$BF$7)</f>
        <v>0</v>
      </c>
      <c r="BG3" s="31">
        <f>MAX($BG$6:$BG$7) - MIN( $BG$6:$BG$7)</f>
        <v>0</v>
      </c>
      <c r="BH3" s="31">
        <f>MAX($BH$6:$BH$7) - MIN( $BH$6:$BH$7)</f>
        <v>0</v>
      </c>
      <c r="BI3" s="31">
        <f>MAX($BI$6:$BI$7) - MIN( $BI$6:$BI$7)</f>
        <v>0</v>
      </c>
      <c r="BJ3" s="31">
        <f>MAX($BJ$6:$BJ$7) - MIN( $BJ$6:$BJ$7)</f>
        <v>0</v>
      </c>
      <c r="BK3" s="31">
        <f>MAX($BK$6:$BK$7) - MIN( $BK$6:$BK$7)</f>
        <v>0</v>
      </c>
      <c r="BL3" s="31">
        <f>MAX($BL$6:$BL$7) - MIN( $BL$6:$BL$7)</f>
        <v>0</v>
      </c>
      <c r="BM3" s="31">
        <f>MAX($BM$6:$BM$7) - MIN( $BM$6:$BM$7)</f>
        <v>0</v>
      </c>
      <c r="BN3" s="31">
        <f>MAX($BN$6:$BN$7) - MIN( $BN$6:$BN$7)</f>
        <v>0</v>
      </c>
      <c r="BO3" s="31">
        <f>MAX($BO$6:$BO$7) - MIN( $BO$6:$BO$7)</f>
        <v>0</v>
      </c>
      <c r="BP3" s="31">
        <f>MAX($BP$6:$BP$7) - MIN( $BP$6:$BP$7)</f>
        <v>0</v>
      </c>
      <c r="BQ3" s="31">
        <f>MAX($BQ$6:$BQ$7) - MIN( $BQ$6:$BQ$7)</f>
        <v>0</v>
      </c>
      <c r="BR3" s="31">
        <f>MAX($BR$6:$BR$7) - MIN( $BR$6:$BR$7)</f>
        <v>0</v>
      </c>
      <c r="BS3" s="31">
        <f>MAX($BS$6:$BS$7) - MIN( $BS$6:$BS$7)</f>
        <v>0</v>
      </c>
      <c r="BT3" s="31">
        <f>MAX($BT$6:$BT$7) - MIN( $BT$6:$BT$7)</f>
        <v>0</v>
      </c>
      <c r="BU3" s="31">
        <f>MAX($BU$6:$BU$7) - MIN( $BU$6:$BU$7)</f>
        <v>0</v>
      </c>
      <c r="BV3" s="31">
        <f>MAX($BV$6:$BV$7) - MIN( $BV$6:$BV$7)</f>
        <v>0</v>
      </c>
      <c r="BW3" s="31">
        <f>MAX($BW$6:$BW$7) - MIN( $BW$6:$BW$7)</f>
        <v>0</v>
      </c>
      <c r="BX3" s="31">
        <f>MAX($BX$6:$BX$7) - MIN( $BX$6:$BX$7)</f>
        <v>0</v>
      </c>
      <c r="BY3" s="31">
        <f>MAX($BY$6:$BY$7) - MIN( $BY$6:$BY$7)</f>
        <v>0</v>
      </c>
      <c r="BZ3" s="31">
        <f>MAX($BZ$6:$BZ$7) - MIN( $BZ$6:$BZ$7)</f>
        <v>0</v>
      </c>
      <c r="CA3" s="31">
        <f>MAX($CA$6:$CA$7) - MIN( $CA$6:$CA$7)</f>
        <v>0</v>
      </c>
      <c r="CB3" s="31">
        <f>MAX($CB$6:$CB$7) - MIN( $CB$6:$CB$7)</f>
        <v>0</v>
      </c>
      <c r="CC3" s="31">
        <f>MAX($CC$6:$CC$7) - MIN( $CC$6:$CC$7)</f>
        <v>0</v>
      </c>
      <c r="CD3" s="31">
        <f>MAX($CD$6:$CD$7) - MIN( $CD$6:$CD$7)</f>
        <v>0</v>
      </c>
      <c r="CE3" s="31">
        <f>MAX($CE$6:$CE$7) - MIN( $CE$6:$CE$7)</f>
        <v>0</v>
      </c>
      <c r="CF3" s="31">
        <f>MAX($CF$6:$CF$7) - MIN( $CF$6:$CF$7)</f>
        <v>0</v>
      </c>
      <c r="CG3" s="31">
        <f>MAX($CG$6:$CG$7) - MIN( $CG$6:$CG$7)</f>
        <v>0</v>
      </c>
      <c r="CH3" s="31">
        <f>MAX($CH$6:$CH$7) - MIN( $CH$6:$CH$7)</f>
        <v>0</v>
      </c>
      <c r="CI3" s="31">
        <f>MAX($CI$6:$CI$7) - MIN( $CI$6:$CI$7)</f>
        <v>0</v>
      </c>
      <c r="CJ3" s="31">
        <f>MAX($CJ$6:$CJ$7) - MIN( $CJ$6:$CJ$7)</f>
        <v>0</v>
      </c>
      <c r="CK3" s="31">
        <f>MAX($CK$6:$CK$7) - MIN( $CK$6:$CK$7)</f>
        <v>0</v>
      </c>
      <c r="CL3" s="31">
        <f>MAX($CL$6:$CL$7) - MIN( $CL$6:$CL$7)</f>
        <v>0</v>
      </c>
      <c r="CM3" s="31">
        <f>MAX($CM$6:$CM$7) - MIN( $CM$6:$CM$7)</f>
        <v>0</v>
      </c>
      <c r="CN3" s="31">
        <f>MAX($CN$6:$CN$7) - MIN( $CN$6:$CN$7)</f>
        <v>0</v>
      </c>
      <c r="CO3" s="31">
        <f>MAX($CO$6:$CO$7) - MIN( $CO$6:$CO$7)</f>
        <v>0</v>
      </c>
      <c r="CP3" s="31">
        <f>MAX($CP$6:$CP$7) - MIN( $CP$6:$CP$7)</f>
        <v>0</v>
      </c>
      <c r="CQ3" s="31">
        <f>MAX($CQ$6:$CQ$7) - MIN( $CQ$6:$CQ$7)</f>
        <v>0</v>
      </c>
      <c r="CR3" s="31">
        <f>MAX($CR$6:$CR$7) - MIN( $CR$6:$CR$7)</f>
        <v>0</v>
      </c>
      <c r="CS3" s="31">
        <f>MAX($CS$6:$CS$7) - MIN( $CS$6:$CS$7)</f>
        <v>0</v>
      </c>
      <c r="CT3" s="31">
        <f>MAX($CT$6:$CT$7) - MIN( $CT$6:$CT$7)</f>
        <v>0</v>
      </c>
      <c r="CU3" s="31">
        <f>MAX($CU$6:$CU$7) - MIN( $CU$6:$CU$7)</f>
        <v>0</v>
      </c>
      <c r="CV3" s="31">
        <f>MAX($CV$6:$CV$7) - MIN( $CV$6:$CV$7)</f>
        <v>0</v>
      </c>
      <c r="CW3" s="31">
        <f>MAX($CW$6:$CW$7) - MIN( $CW$6:$CW$7)</f>
        <v>0</v>
      </c>
      <c r="CX3" s="31">
        <f>MAX($CX$6:$CX$7) - MIN( $CX$6:$CX$7)</f>
        <v>0</v>
      </c>
      <c r="CY3" s="31">
        <f>MAX($CY$6:$CY$7) - MIN( $CY$6:$CY$7)</f>
        <v>0</v>
      </c>
      <c r="CZ3" s="31">
        <f>MAX($CZ$6:$CZ$7) - MIN( $CZ$6:$CZ$7)</f>
        <v>0</v>
      </c>
      <c r="DA3" s="31">
        <f>MAX($DA$6:$DA$7) - MIN( $DA$6:$DA$7)</f>
        <v>0</v>
      </c>
      <c r="DB3" s="31">
        <f>MAX($DB$6:$DB$7) - MIN( $DB$6:$DB$7)</f>
        <v>0</v>
      </c>
      <c r="DC3" s="31">
        <f>MAX($DC$6:$DC$7) - MIN( $DC$6:$DC$7)</f>
        <v>0</v>
      </c>
      <c r="DD3" s="31">
        <f>MAX($DD$6:$DD$7) - MIN( $DD$6:$DD$7)</f>
        <v>0</v>
      </c>
      <c r="DE3" s="31">
        <f>MAX($DE$6:$DE$7) - MIN( $DE$6:$DE$7)</f>
        <v>0</v>
      </c>
      <c r="DF3" s="31">
        <f>MAX($DF$6:$DF$7) - MIN( $DF$6:$DF$7)</f>
        <v>0</v>
      </c>
      <c r="DG3" s="31">
        <f>MAX($DG$6:$DG$7) - MIN( $DG$6:$DG$7)</f>
        <v>0</v>
      </c>
      <c r="DH3" s="31">
        <f>MAX($DH$6:$DH$7) - MIN( $DH$6:$DH$7)</f>
        <v>0</v>
      </c>
      <c r="DI3" s="31">
        <f>MAX($DI$6:$DI$7) - MIN( $DI$6:$DI$7)</f>
        <v>0</v>
      </c>
      <c r="DJ3" s="31">
        <f>MAX($DJ$6:$DJ$7) - MIN( $DJ$6:$DJ$7)</f>
        <v>0</v>
      </c>
      <c r="DK3" s="31">
        <f>MAX($DK$6:$DK$7) - MIN( $DK$6:$DK$7)</f>
        <v>0</v>
      </c>
      <c r="DL3" s="31">
        <f>MAX($DL$6:$DL$7) - MIN( $DL$6:$DL$7)</f>
        <v>0</v>
      </c>
      <c r="DM3" s="31">
        <f>MAX($DM$6:$DM$7) - MIN( $DM$6:$DM$7)</f>
        <v>0</v>
      </c>
      <c r="DN3" s="31">
        <f>MAX($DN$6:$DN$7) - MIN( $DN$6:$DN$7)</f>
        <v>0</v>
      </c>
      <c r="DO3" s="31">
        <f>MAX($DO$6:$DO$7) - MIN( $DO$6:$DO$7)</f>
        <v>0</v>
      </c>
      <c r="DP3" s="31">
        <f>MAX($DP$6:$DP$7) - MIN( $DP$6:$DP$7)</f>
        <v>0</v>
      </c>
      <c r="DQ3" s="31">
        <f>MAX($DQ$6:$DQ$7) - MIN( $DQ$6:$DQ$7)</f>
        <v>0</v>
      </c>
      <c r="DR3" s="31">
        <f>MAX($DR$6:$DR$7) - MIN( $DR$6:$DR$7)</f>
        <v>0</v>
      </c>
      <c r="DS3" s="31">
        <f>MAX($DS$6:$DS$7) - MIN( $DS$6:$DS$7)</f>
        <v>0</v>
      </c>
      <c r="DT3" s="31">
        <f>MAX($DT$6:$DT$7) - MIN( $DT$6:$DT$7)</f>
        <v>0</v>
      </c>
      <c r="DU3" s="31">
        <f>MAX($DU$6:$DU$7) - MIN( $DU$6:$DU$7)</f>
        <v>0</v>
      </c>
      <c r="DV3" s="31">
        <f>MAX($DV$6:$DV$7) - MIN( $DV$6:$DV$7)</f>
        <v>0</v>
      </c>
      <c r="DW3" s="31">
        <f>MAX($DW$6:$DW$7) - MIN( $DW$6:$DW$7)</f>
        <v>0</v>
      </c>
      <c r="DX3" s="31">
        <f>MAX($DX$6:$DX$7) - MIN( $DX$6:$DX$7)</f>
        <v>0</v>
      </c>
      <c r="DY3" s="31">
        <f>MAX($DY$6:$DY$7) - MIN( $DY$6:$DY$7)</f>
        <v>0</v>
      </c>
      <c r="DZ3" s="31">
        <f>MAX($DZ$6:$DZ$7) - MIN( $DZ$6:$DZ$7)</f>
        <v>0</v>
      </c>
      <c r="EA3" s="31">
        <f>MAX($EA$6:$EA$7) - MIN( $EA$6:$EA$7)</f>
        <v>0</v>
      </c>
      <c r="EB3" s="31">
        <f>MAX($EB$6:$EB$7) - MIN( $EB$6:$EB$7)</f>
        <v>0</v>
      </c>
      <c r="EC3" s="31">
        <f>MAX($EC$6:$EC$7) - MIN( $EC$6:$EC$7)</f>
        <v>0</v>
      </c>
      <c r="ED3" s="31">
        <f>MAX($ED$6:$ED$7) - MIN( $ED$6:$ED$7)</f>
        <v>0</v>
      </c>
      <c r="EE3" s="31">
        <f>MAX($EE$6:$EE$7) - MIN( $EE$6:$EE$7)</f>
        <v>0</v>
      </c>
      <c r="EF3" s="31">
        <f>MAX($EF$6:$EF$7) - MIN( $EF$6:$EF$7)</f>
        <v>0</v>
      </c>
      <c r="EG3" s="31">
        <f>MAX($EG$6:$EG$7) - MIN( $EG$6:$EG$7)</f>
        <v>0</v>
      </c>
      <c r="EH3" s="31">
        <f>MAX($EH$6:$EH$7) - MIN( $EH$6:$EH$7)</f>
        <v>0</v>
      </c>
      <c r="EI3" s="31">
        <f>MAX($EI$6:$EI$7) - MIN( $EI$6:$EI$7)</f>
        <v>0</v>
      </c>
      <c r="EJ3" s="31">
        <f>MAX($EJ$6:$EJ$7) - MIN( $EJ$6:$EJ$7)</f>
        <v>0</v>
      </c>
      <c r="EK3" s="31">
        <f>MAX($EK$6:$EK$7) - MIN( $EK$6:$EK$7)</f>
        <v>0</v>
      </c>
      <c r="EL3" s="31">
        <f>MAX($EL$6:$EL$7) - MIN( $EL$6:$EL$7)</f>
        <v>0</v>
      </c>
      <c r="EM3" s="31">
        <f>MAX($EM$6:$EM$7) - MIN( $EM$6:$EM$7)</f>
        <v>0</v>
      </c>
      <c r="EN3" s="31">
        <f>MAX($EN$6:$EN$7) - MIN( $EN$6:$EN$7)</f>
        <v>0</v>
      </c>
      <c r="EO3" s="31">
        <f>MAX($EO$6:$EO$7) - MIN( $EO$6:$EO$7)</f>
        <v>0</v>
      </c>
      <c r="EP3" s="31">
        <f>MAX($EP$6:$EP$7) - MIN( $EP$6:$EP$7)</f>
        <v>0</v>
      </c>
      <c r="EQ3" s="31">
        <f>MAX($EQ$6:$EQ$7) - MIN( $EQ$6:$EQ$7)</f>
        <v>0</v>
      </c>
      <c r="ER3" s="31">
        <f>MAX($ER$6:$ER$7) - MIN( $ER$6:$ER$7)</f>
        <v>0</v>
      </c>
      <c r="ES3" s="31">
        <f>MAX($ES$6:$ES$7) - MIN( $ES$6:$ES$7)</f>
        <v>0</v>
      </c>
      <c r="ET3" s="31">
        <f>MAX($ET$6:$ET$7) - MIN( $ET$6:$ET$7)</f>
        <v>0</v>
      </c>
      <c r="EU3" s="31">
        <f>MAX($EU$6:$EU$7) - MIN( $EU$6:$EU$7)</f>
        <v>0</v>
      </c>
      <c r="EV3" s="31">
        <f>MAX($EV$6:$EV$7) - MIN( $EV$6:$EV$7)</f>
        <v>0</v>
      </c>
      <c r="EW3" s="31">
        <f>MAX($EW$6:$EW$7) - MIN( $EW$6:$EW$7)</f>
        <v>0</v>
      </c>
      <c r="EX3" s="31">
        <f>MAX($EX$6:$EX$7) - MIN( $EX$6:$EX$7)</f>
        <v>0</v>
      </c>
      <c r="EY3" s="31">
        <f>MAX($EY$6:$EY$7) - MIN( $EY$6:$EY$7)</f>
        <v>0</v>
      </c>
      <c r="EZ3" s="31">
        <f>MAX($EZ$6:$EZ$7) - MIN( $EZ$6:$EZ$7)</f>
        <v>0</v>
      </c>
      <c r="FA3" s="31">
        <f>MAX($FA$6:$FA$7) - MIN( $FA$6:$FA$7)</f>
        <v>0</v>
      </c>
      <c r="FB3" s="31">
        <f>MAX($FB$6:$FB$7) - MIN( $FB$6:$FB$7)</f>
        <v>0</v>
      </c>
      <c r="FC3" s="31">
        <f>MAX($FC$6:$FC$7) - MIN( $FC$6:$FC$7)</f>
        <v>0</v>
      </c>
      <c r="FD3" s="31">
        <f>MAX($FD$6:$FD$7) - MIN( $FD$6:$FD$7)</f>
        <v>0</v>
      </c>
      <c r="FE3" s="31">
        <f>MAX($FE$6:$FE$7) - MIN( $FE$6:$FE$7)</f>
        <v>0</v>
      </c>
      <c r="FF3" s="31">
        <f>MAX($FF$6:$FF$7) - MIN( $FF$6:$FF$7)</f>
        <v>0</v>
      </c>
      <c r="FG3" s="31">
        <f>MAX($FG$6:$FG$7) - MIN( $FG$6:$FG$7)</f>
        <v>0</v>
      </c>
      <c r="FH3" s="31">
        <f>MAX($FH$6:$FH$7) - MIN( $FH$6:$FH$7)</f>
        <v>0</v>
      </c>
      <c r="FI3" s="31">
        <f>MAX($FI$6:$FI$7) - MIN( $FI$6:$FI$7)</f>
        <v>0</v>
      </c>
      <c r="FJ3" s="31">
        <f>MAX($FJ$6:$FJ$7) - MIN( $FJ$6:$FJ$7)</f>
        <v>0</v>
      </c>
      <c r="FK3" s="31">
        <f>MAX($FK$6:$FK$7) - MIN( $FK$6:$FK$7)</f>
        <v>0</v>
      </c>
      <c r="FL3" s="31">
        <f>MAX($FL$6:$FL$7) - MIN( $FL$6:$FL$7)</f>
        <v>0</v>
      </c>
      <c r="FM3" s="31">
        <f>MAX($FM$6:$FM$7) - MIN( $FM$6:$FM$7)</f>
        <v>0</v>
      </c>
      <c r="FN3" s="31">
        <f>MAX($FN$6:$FN$7) - MIN( $FN$6:$FN$7)</f>
        <v>0</v>
      </c>
      <c r="FO3" s="31">
        <f>MAX($FO$6:$FO$7) - MIN( $FO$6:$FO$7)</f>
        <v>0</v>
      </c>
      <c r="FP3" s="31">
        <f>MAX($FP$6:$FP$7) - MIN( $FP$6:$FP$7)</f>
        <v>0</v>
      </c>
      <c r="FQ3" s="31">
        <f>MAX($FQ$6:$FQ$7) - MIN( $FQ$6:$FQ$7)</f>
        <v>0</v>
      </c>
      <c r="FR3" s="31">
        <f>MAX($FR$6:$FR$7) - MIN( $FR$6:$FR$7)</f>
        <v>0</v>
      </c>
      <c r="FS3" s="31">
        <f>MAX($FS$6:$FS$7) - MIN( $FS$6:$FS$7)</f>
        <v>0</v>
      </c>
      <c r="FT3" s="31">
        <f>MAX($FT$6:$FT$7) - MIN( $FT$6:$FT$7)</f>
        <v>0</v>
      </c>
      <c r="FU3" s="31">
        <f>MAX($FU$6:$FU$7) - MIN( $FU$6:$FU$7)</f>
        <v>0</v>
      </c>
      <c r="FV3" s="31">
        <f>MAX($FV$6:$FV$7) - MIN( $FV$6:$FV$7)</f>
        <v>0</v>
      </c>
      <c r="FW3" s="31">
        <f>MAX($FW$6:$FW$7) - MIN( $FW$6:$FW$7)</f>
        <v>0</v>
      </c>
      <c r="FX3" s="31">
        <f>MAX($FX$6:$FX$7) - MIN( $FX$6:$FX$7)</f>
        <v>0</v>
      </c>
      <c r="FY3" s="31">
        <f>MAX($FY$6:$FY$7) - MIN( $FY$6:$FY$7)</f>
        <v>0</v>
      </c>
      <c r="FZ3" s="31">
        <f>MAX($FZ$6:$FZ$7) - MIN( $FZ$6:$FZ$7)</f>
        <v>0</v>
      </c>
      <c r="GA3" s="31">
        <f>MAX($GA$6:$GA$7) - MIN( $GA$6:$GA$7)</f>
        <v>0</v>
      </c>
      <c r="GB3" s="31">
        <f>MAX($GB$6:$GB$7) - MIN( $GB$6:$GB$7)</f>
        <v>0</v>
      </c>
      <c r="GC3" s="31">
        <f>MAX($GC$6:$GC$7) - MIN( $GC$6:$GC$7)</f>
        <v>0</v>
      </c>
      <c r="GD3" s="31">
        <f>MAX($GD$6:$GD$7) - MIN( $GD$6:$GD$7)</f>
        <v>0</v>
      </c>
      <c r="GE3" s="31">
        <f>MAX($GE$6:$GE$7) - MIN( $GE$6:$GE$7)</f>
        <v>0</v>
      </c>
      <c r="GF3" s="31">
        <f>MAX($GF$6:$GF$7) - MIN( $GF$6:$GF$7)</f>
        <v>0</v>
      </c>
      <c r="GG3" s="31">
        <f>MAX($GG$6:$GG$7) - MIN( $GG$6:$GG$7)</f>
        <v>0</v>
      </c>
      <c r="GH3" s="31">
        <f>MAX($GH$6:$GH$7) - MIN( $GH$6:$GH$7)</f>
        <v>0</v>
      </c>
      <c r="GI3" s="31">
        <f>MAX($GI$6:$GI$7) - MIN( $GI$6:$GI$7)</f>
        <v>0</v>
      </c>
      <c r="GJ3" s="31">
        <f>MAX($GJ$6:$GJ$7) - MIN( $GJ$6:$GJ$7)</f>
        <v>0</v>
      </c>
      <c r="GK3" s="31">
        <f>MAX($GK$6:$GK$7) - MIN( $GK$6:$GK$7)</f>
        <v>0</v>
      </c>
      <c r="GL3" s="31">
        <f>MAX($GL$6:$GL$7) - MIN( $GL$6:$GL$7)</f>
        <v>0</v>
      </c>
      <c r="GM3" s="31">
        <f>MAX($GM$6:$GM$7) - MIN( $GM$6:$GM$7)</f>
        <v>0</v>
      </c>
      <c r="GN3" s="31">
        <f>MAX($GN$6:$GN$7) - MIN( $GN$6:$GN$7)</f>
        <v>0</v>
      </c>
      <c r="GO3" s="31">
        <f>MAX($GO$6:$GO$7) - MIN( $GO$6:$GO$7)</f>
        <v>0</v>
      </c>
      <c r="GP3" s="31">
        <f>MAX($GP$6:$GP$7) - MIN( $GP$6:$GP$7)</f>
        <v>0</v>
      </c>
      <c r="GQ3" s="31">
        <f>MAX($GQ$6:$GQ$7) - MIN( $GQ$6:$GQ$7)</f>
        <v>0</v>
      </c>
      <c r="GR3" s="31">
        <f>MAX($GR$6:$GR$7) - MIN( $GR$6:$GR$7)</f>
        <v>0</v>
      </c>
      <c r="GS3" s="31">
        <f>MAX($GS$6:$GS$7) - MIN( $GS$6:$GS$7)</f>
        <v>0</v>
      </c>
      <c r="GT3" s="31">
        <f>MAX($GT$6:$GT$7) - MIN( $GT$6:$GT$7)</f>
        <v>0</v>
      </c>
      <c r="GU3" s="31">
        <f>MAX($GU$6:$GU$7) - MIN( $GU$6:$GU$7)</f>
        <v>0</v>
      </c>
      <c r="GV3" s="31">
        <f>MAX($GV$6:$GV$7) - MIN( $GV$6:$GV$7)</f>
        <v>0</v>
      </c>
      <c r="GW3" s="31">
        <f>MAX($GW$6:$GW$7) - MIN( $GW$6:$GW$7)</f>
        <v>0</v>
      </c>
      <c r="GX3" s="31">
        <f>MAX($GX$6:$GX$7) - MIN( $GX$6:$GX$7)</f>
        <v>0</v>
      </c>
      <c r="GY3" s="31">
        <f>MAX($GY$6:$GY$7) - MIN( $GY$6:$GY$7)</f>
        <v>0</v>
      </c>
      <c r="GZ3" s="31">
        <f>MAX($GZ$6:$GZ$7) - MIN( $GZ$6:$GZ$7)</f>
        <v>0</v>
      </c>
      <c r="HA3" s="31">
        <f>MAX($HA$6:$HA$7) - MIN( $HA$6:$HA$7)</f>
        <v>0</v>
      </c>
      <c r="HB3" s="31">
        <f>MAX($HB$6:$HB$7) - MIN( $HB$6:$HB$7)</f>
        <v>0</v>
      </c>
      <c r="HC3" s="31">
        <f>MAX($HC$6:$HC$7) - MIN( $HC$6:$HC$7)</f>
        <v>0</v>
      </c>
      <c r="HD3" s="31">
        <f>MAX($HD$6:$HD$7) - MIN( $HD$6:$HD$7)</f>
        <v>0</v>
      </c>
      <c r="HE3" s="31">
        <f>MAX($HE$6:$HE$7) - MIN( $HE$6:$HE$7)</f>
        <v>0</v>
      </c>
      <c r="HF3" s="31">
        <f>MAX($HF$6:$HF$7) - MIN( $HF$6:$HF$7)</f>
        <v>0</v>
      </c>
      <c r="HG3" s="31">
        <f>MAX($HG$6:$HG$7) - MIN( $HG$6:$HG$7)</f>
        <v>0</v>
      </c>
      <c r="HH3" s="31">
        <f>MAX($HH$6:$HH$7) - MIN( $HH$6:$HH$7)</f>
        <v>0</v>
      </c>
      <c r="HI3" s="31">
        <f>MAX($HI$6:$HI$7) - MIN( $HI$6:$HI$7)</f>
        <v>0</v>
      </c>
      <c r="HJ3" s="31">
        <f>MAX($HJ$6:$HJ$7) - MIN( $HJ$6:$HJ$7)</f>
        <v>0</v>
      </c>
      <c r="HK3" s="31">
        <f>MAX($HK$6:$HK$7) - MIN( $HK$6:$HK$7)</f>
        <v>0</v>
      </c>
      <c r="HL3" s="31">
        <f>MAX($HL$6:$HL$7) - MIN( $HL$6:$HL$7)</f>
        <v>0</v>
      </c>
      <c r="HM3" s="31">
        <f>MAX($HM$6:$HM$7) - MIN( $HM$6:$HM$7)</f>
        <v>0</v>
      </c>
      <c r="HN3" s="31">
        <f>MAX($HN$6:$HN$7) - MIN( $HN$6:$HN$7)</f>
        <v>0</v>
      </c>
      <c r="HO3" s="31">
        <f>MAX($HO$6:$HO$7) - MIN( $HO$6:$HO$7)</f>
        <v>0</v>
      </c>
      <c r="HP3" s="31">
        <f>MAX($HP$6:$HP$7) - MIN( $HP$6:$HP$7)</f>
        <v>0</v>
      </c>
      <c r="HQ3" s="31">
        <f>MAX($HQ$6:$HQ$7) - MIN( $HQ$6:$HQ$7)</f>
        <v>0</v>
      </c>
      <c r="HR3" s="31">
        <f>MAX($HR$6:$HR$7) - MIN( $HR$6:$HR$7)</f>
        <v>0</v>
      </c>
      <c r="HS3" s="31">
        <f>MAX($HS$6:$HS$7) - MIN( $HS$6:$HS$7)</f>
        <v>0</v>
      </c>
      <c r="HT3" s="31">
        <f>MAX($HT$6:$HT$7) - MIN( $HT$6:$HT$7)</f>
        <v>0</v>
      </c>
      <c r="HU3" s="31">
        <f>MAX($HU$6:$HU$7) - MIN( $HU$6:$HU$7)</f>
        <v>0</v>
      </c>
      <c r="HV3" s="31">
        <f>MAX($HV$6:$HV$7) - MIN( $HV$6:$HV$7)</f>
        <v>0</v>
      </c>
      <c r="HW3" s="31">
        <f>MAX($HW$6:$HW$7) - MIN( $HW$6:$HW$7)</f>
        <v>0</v>
      </c>
      <c r="HX3" s="31">
        <f>MAX($HX$6:$HX$7) - MIN( $HX$6:$HX$7)</f>
        <v>0</v>
      </c>
      <c r="HY3" s="31">
        <f>MAX($HY$6:$HY$7) - MIN( $HY$6:$HY$7)</f>
        <v>0</v>
      </c>
      <c r="HZ3" s="31">
        <f>MAX($HZ$6:$HZ$7) - MIN( $HZ$6:$HZ$7)</f>
        <v>0</v>
      </c>
      <c r="IA3" s="31">
        <f>MAX($IA$6:$IA$7) - MIN( $IA$6:$IA$7)</f>
        <v>0</v>
      </c>
      <c r="IB3" s="31">
        <f>MAX($IB$6:$IB$7) - MIN( $IB$6:$IB$7)</f>
        <v>0</v>
      </c>
      <c r="IC3" s="31">
        <f>MAX($IC$6:$IC$7) - MIN( $IC$6:$IC$7)</f>
        <v>0</v>
      </c>
      <c r="ID3" s="31">
        <f>MAX($ID$6:$ID$7) - MIN( $ID$6:$ID$7)</f>
        <v>0</v>
      </c>
      <c r="IE3" s="31">
        <f>MAX($IE$6:$IE$7) - MIN( $IE$6:$IE$7)</f>
        <v>0</v>
      </c>
      <c r="IF3" s="31">
        <f>MAX($IF$6:$IF$7) - MIN( $IF$6:$IF$7)</f>
        <v>0</v>
      </c>
      <c r="IG3" s="31">
        <f>MAX($IG$6:$IG$7) - MIN( $IG$6:$IG$7)</f>
        <v>0</v>
      </c>
      <c r="IH3" s="31">
        <f>MAX($IH$6:$IH$7) - MIN( $IH$6:$IH$7)</f>
        <v>0</v>
      </c>
      <c r="II3" s="31">
        <f>MAX($II$6:$II$7) - MIN( $II$6:$II$7)</f>
        <v>0</v>
      </c>
      <c r="IJ3" s="31">
        <f>MAX($IJ$6:$IJ$7) - MIN( $IJ$6:$IJ$7)</f>
        <v>0</v>
      </c>
      <c r="IK3" s="31">
        <f>MAX($IK$6:$IK$7) - MIN( $IK$6:$IK$7)</f>
        <v>0</v>
      </c>
      <c r="IL3" s="31">
        <f>MAX($IL$6:$IL$7) - MIN( $IL$6:$IL$7)</f>
        <v>0</v>
      </c>
      <c r="IM3" s="31">
        <f>MAX($IM$6:$IM$7) - MIN( $IM$6:$IM$7)</f>
        <v>0</v>
      </c>
      <c r="IN3" s="31">
        <f>MAX($IN$6:$IN$7) - MIN( $IN$6:$IN$7)</f>
        <v>0</v>
      </c>
      <c r="IO3" s="31">
        <f>MAX($IO$6:$IO$7) - MIN( $IO$6:$IO$7)</f>
        <v>0</v>
      </c>
      <c r="IP3" s="31">
        <f>MAX($IP$6:$IP$7) - MIN( $IP$6:$IP$7)</f>
        <v>0</v>
      </c>
      <c r="IQ3" s="31">
        <f>MAX($IQ$6:$IQ$7) - MIN( $IQ$6:$IQ$7)</f>
        <v>0</v>
      </c>
      <c r="IR3" s="31">
        <f>MAX($IR$6:$IR$7) - MIN( $IR$6:$IR$7)</f>
        <v>0</v>
      </c>
      <c r="IS3" s="31">
        <f>MAX($IS$6:$IS$7) - MIN( $IS$6:$IS$7)</f>
        <v>0</v>
      </c>
      <c r="IT3" s="31">
        <f>MAX($IT$6:$IT$7) - MIN( $IT$6:$IT$7)</f>
        <v>0</v>
      </c>
      <c r="IU3" s="31">
        <f>MAX($IU$6:$IU$7) - MIN( $IU$6:$IU$7)</f>
        <v>0</v>
      </c>
      <c r="IV3" s="31">
        <f>MAX($IV$6:$IV$7) - MIN( $IV$6:$IV$7)</f>
        <v>0</v>
      </c>
      <c r="IW3" s="31">
        <f>MAX($IW$6:$IW$7) - MIN( $IW$6:$IW$7)</f>
        <v>0</v>
      </c>
      <c r="IX3" s="31">
        <f>MAX($IX$6:$IX$7) - MIN( $IX$6:$IX$7)</f>
        <v>0</v>
      </c>
      <c r="IY3" s="31">
        <f>MAX($IY$6:$IY$7) - MIN( $IY$6:$IY$7)</f>
        <v>0</v>
      </c>
      <c r="IZ3" s="31">
        <f>MAX($IZ$6:$IZ$7) - MIN( $IZ$6:$IZ$7)</f>
        <v>0</v>
      </c>
      <c r="JA3" s="31">
        <f>MAX($JA$6:$JA$7) - MIN( $JA$6:$JA$7)</f>
        <v>0</v>
      </c>
      <c r="JB3" s="31">
        <f>MAX($JB$6:$JB$7) - MIN( $JB$6:$JB$7)</f>
        <v>0</v>
      </c>
      <c r="JC3" s="31">
        <f>MAX($JC$6:$JC$7) - MIN( $JC$6:$JC$7)</f>
        <v>0</v>
      </c>
      <c r="JD3" s="31">
        <f>MAX($JD$6:$JD$7) - MIN( $JD$6:$JD$7)</f>
        <v>0</v>
      </c>
      <c r="JE3" s="31">
        <f>MAX($JE$6:$JE$7) - MIN( $JE$6:$JE$7)</f>
        <v>0</v>
      </c>
      <c r="JF3" s="31">
        <f>MAX($JF$6:$JF$7) - MIN( $JF$6:$JF$7)</f>
        <v>0</v>
      </c>
      <c r="JG3" s="31">
        <f>MAX($JG$6:$JG$7) - MIN( $JG$6:$JG$7)</f>
        <v>0</v>
      </c>
      <c r="JH3" s="31">
        <f>MAX($JH$6:$JH$7) - MIN( $JH$6:$JH$7)</f>
        <v>0</v>
      </c>
      <c r="JI3" s="31">
        <f>MAX($JI$6:$JI$7) - MIN( $JI$6:$JI$7)</f>
        <v>0</v>
      </c>
      <c r="JJ3" s="31">
        <f>MAX($JJ$6:$JJ$7) - MIN( $JJ$6:$JJ$7)</f>
        <v>0</v>
      </c>
      <c r="JK3" s="31">
        <f>MAX($JK$6:$JK$7) - MIN( $JK$6:$JK$7)</f>
        <v>0</v>
      </c>
      <c r="JL3" s="31">
        <f>MAX($JL$6:$JL$7) - MIN( $JL$6:$JL$7)</f>
        <v>0</v>
      </c>
      <c r="JM3" s="31">
        <f>MAX($JM$6:$JM$7) - MIN( $JM$6:$JM$7)</f>
        <v>0</v>
      </c>
      <c r="JN3" s="31">
        <f>MAX($JN$6:$JN$7) - MIN( $JN$6:$JN$7)</f>
        <v>0</v>
      </c>
      <c r="JO3" s="31">
        <f>MAX($JO$6:$JO$7) - MIN( $JO$6:$JO$7)</f>
        <v>0</v>
      </c>
      <c r="JP3" s="31">
        <f>MAX($JP$6:$JP$7) - MIN( $JP$6:$JP$7)</f>
        <v>0</v>
      </c>
      <c r="JQ3" s="31">
        <f>MAX($JQ$6:$JQ$7) - MIN( $JQ$6:$JQ$7)</f>
        <v>0</v>
      </c>
      <c r="JR3" s="31">
        <f>MAX($JR$6:$JR$7) - MIN( $JR$6:$JR$7)</f>
        <v>0</v>
      </c>
      <c r="JS3" s="31">
        <f>MAX($JS$6:$JS$7) - MIN( $JS$6:$JS$7)</f>
        <v>0</v>
      </c>
      <c r="JT3" s="31">
        <f>MAX($JT$6:$JT$7) - MIN( $JT$6:$JT$7)</f>
        <v>0</v>
      </c>
      <c r="JU3" s="31">
        <f>MAX($JU$6:$JU$7) - MIN( $JU$6:$JU$7)</f>
        <v>0</v>
      </c>
      <c r="JV3" s="31">
        <f>MAX($JV$6:$JV$7) - MIN( $JV$6:$JV$7)</f>
        <v>0</v>
      </c>
      <c r="JW3" s="31">
        <f>MAX($JW$6:$JW$7) - MIN( $JW$6:$JW$7)</f>
        <v>0</v>
      </c>
      <c r="JX3" s="31">
        <f>MAX($JX$6:$JX$7) - MIN( $JX$6:$JX$7)</f>
        <v>0</v>
      </c>
      <c r="JY3" s="31">
        <f>MAX($JY$6:$JY$7) - MIN( $JY$6:$JY$7)</f>
        <v>0</v>
      </c>
      <c r="JZ3" s="31">
        <f>MAX($JZ$6:$JZ$7) - MIN( $JZ$6:$JZ$7)</f>
        <v>0</v>
      </c>
      <c r="KA3" s="31">
        <f>MAX($KA$6:$KA$7) - MIN( $KA$6:$KA$7)</f>
        <v>0</v>
      </c>
      <c r="KB3" s="31">
        <f>MAX($KB$6:$KB$7) - MIN( $KB$6:$KB$7)</f>
        <v>0</v>
      </c>
      <c r="KC3" s="31">
        <f>MAX($KC$6:$KC$7) - MIN( $KC$6:$KC$7)</f>
        <v>0</v>
      </c>
      <c r="KD3" s="31">
        <f>MAX($KD$6:$KD$7) - MIN( $KD$6:$KD$7)</f>
        <v>0</v>
      </c>
      <c r="KE3" s="31">
        <f>MAX($KE$6:$KE$7) - MIN( $KE$6:$KE$7)</f>
        <v>0</v>
      </c>
      <c r="KF3" s="31">
        <f>MAX($KF$6:$KF$7) - MIN( $KF$6:$KF$7)</f>
        <v>0</v>
      </c>
      <c r="KG3" s="31">
        <f>MAX($KG$6:$KG$7) - MIN( $KG$6:$KG$7)</f>
        <v>0</v>
      </c>
      <c r="KH3" s="31">
        <f>MAX($KH$6:$KH$7) - MIN( $KH$6:$KH$7)</f>
        <v>0</v>
      </c>
      <c r="KI3" s="31">
        <f>MAX($KI$6:$KI$7) - MIN( $KI$6:$KI$7)</f>
        <v>0</v>
      </c>
      <c r="KJ3" s="31">
        <f>MAX($KJ$6:$KJ$7) - MIN( $KJ$6:$KJ$7)</f>
        <v>0</v>
      </c>
      <c r="KK3" s="31">
        <f>MAX($KK$6:$KK$7) - MIN( $KK$6:$KK$7)</f>
        <v>0</v>
      </c>
      <c r="KL3" s="31">
        <f>MAX($KL$6:$KL$7) - MIN( $KL$6:$KL$7)</f>
        <v>0</v>
      </c>
      <c r="KM3" s="31">
        <f>MAX($KM$6:$KM$7) - MIN( $KM$6:$KM$7)</f>
        <v>0</v>
      </c>
      <c r="KN3" s="31">
        <f>MAX($KN$6:$KN$7) - MIN( $KN$6:$KN$7)</f>
        <v>0</v>
      </c>
      <c r="KO3" s="31">
        <f>MAX($KO$6:$KO$7) - MIN( $KO$6:$KO$7)</f>
        <v>0</v>
      </c>
      <c r="KP3" s="31">
        <f>MAX($KP$6:$KP$7) - MIN( $KP$6:$KP$7)</f>
        <v>0</v>
      </c>
      <c r="KQ3" s="31">
        <f>MAX($KQ$6:$KQ$7) - MIN( $KQ$6:$KQ$7)</f>
        <v>0</v>
      </c>
      <c r="KR3" s="31">
        <f>MAX($KR$6:$KR$7) - MIN( $KR$6:$KR$7)</f>
        <v>0</v>
      </c>
      <c r="KS3" s="31">
        <f>MAX($KS$6:$KS$7) - MIN( $KS$6:$KS$7)</f>
        <v>0</v>
      </c>
      <c r="KT3" s="31">
        <f>MAX($KT$6:$KT$7) - MIN( $KT$6:$KT$7)</f>
        <v>0</v>
      </c>
      <c r="KU3" s="31">
        <f>MAX($KU$6:$KU$7) - MIN( $KU$6:$KU$7)</f>
        <v>0</v>
      </c>
      <c r="KV3" s="31">
        <f>MAX($KV$6:$KV$7) - MIN( $KV$6:$KV$7)</f>
        <v>0</v>
      </c>
      <c r="KW3" s="31">
        <f>MAX($KW$6:$KW$7) - MIN( $KW$6:$KW$7)</f>
        <v>0</v>
      </c>
      <c r="KX3" s="31">
        <f>MAX($KX$6:$KX$7) - MIN( $KX$6:$KX$7)</f>
        <v>0</v>
      </c>
      <c r="KY3" s="31">
        <f>MAX($KY$6:$KY$7) - MIN( $KY$6:$KY$7)</f>
        <v>0</v>
      </c>
      <c r="KZ3" s="31">
        <f>MAX($KZ$6:$KZ$7) - MIN( $KZ$6:$KZ$7)</f>
        <v>0</v>
      </c>
      <c r="LA3" s="31">
        <f>MAX($LA$6:$LA$7) - MIN( $LA$6:$LA$7)</f>
        <v>0</v>
      </c>
      <c r="LB3" s="31">
        <f>MAX($LB$6:$LB$7) - MIN( $LB$6:$LB$7)</f>
        <v>0</v>
      </c>
      <c r="LC3" s="31">
        <f>MAX($LC$6:$LC$7) - MIN( $LC$6:$LC$7)</f>
        <v>0</v>
      </c>
      <c r="LD3" s="31">
        <f>MAX($LD$6:$LD$7) - MIN( $LD$6:$LD$7)</f>
        <v>0</v>
      </c>
      <c r="LE3" s="31">
        <f>MAX($LE$6:$LE$7) - MIN( $LE$6:$LE$7)</f>
        <v>0</v>
      </c>
      <c r="LF3" s="31">
        <f>MAX($LF$6:$LF$7) - MIN( $LF$6:$LF$7)</f>
        <v>0</v>
      </c>
      <c r="LG3" s="31">
        <f>MAX($LG$6:$LG$7) - MIN( $LG$6:$LG$7)</f>
        <v>0</v>
      </c>
      <c r="LH3" s="31">
        <f>MAX($LH$6:$LH$7) - MIN( $LH$6:$LH$7)</f>
        <v>0</v>
      </c>
      <c r="LI3" s="31">
        <f>MAX($LI$6:$LI$7) - MIN( $LI$6:$LI$7)</f>
        <v>0</v>
      </c>
      <c r="LJ3" s="31">
        <f>MAX($LJ$6:$LJ$7) - MIN( $LJ$6:$LJ$7)</f>
        <v>0</v>
      </c>
      <c r="LK3" s="31">
        <f>MAX($LK$6:$LK$7) - MIN( $LK$6:$LK$7)</f>
        <v>0</v>
      </c>
      <c r="LL3" s="31">
        <f>MAX($LL$6:$LL$7) - MIN( $LL$6:$LL$7)</f>
        <v>0</v>
      </c>
      <c r="LM3" s="31">
        <f>MAX($LM$6:$LM$7) - MIN( $LM$6:$LM$7)</f>
        <v>0</v>
      </c>
      <c r="LN3" s="31">
        <f>MAX($LN$6:$LN$7) - MIN( $LN$6:$LN$7)</f>
        <v>0</v>
      </c>
      <c r="LO3" s="31">
        <f>MAX($LO$6:$LO$7) - MIN( $LO$6:$LO$7)</f>
        <v>0</v>
      </c>
      <c r="LP3" s="31">
        <f>MAX($LP$6:$LP$7) - MIN( $LP$6:$LP$7)</f>
        <v>0</v>
      </c>
      <c r="LQ3" s="31">
        <f>MAX($LQ$6:$LQ$7) - MIN( $LQ$6:$LQ$7)</f>
        <v>0</v>
      </c>
      <c r="LR3" s="31">
        <f>MAX($LR$6:$LR$7) - MIN( $LR$6:$LR$7)</f>
        <v>0</v>
      </c>
      <c r="LS3" s="31">
        <f>MAX($LS$6:$LS$7) - MIN( $LS$6:$LS$7)</f>
        <v>0</v>
      </c>
      <c r="LT3" s="31">
        <f>MAX($LT$6:$LT$7) - MIN( $LT$6:$LT$7)</f>
        <v>0</v>
      </c>
      <c r="LU3" s="31">
        <f>MAX($LU$6:$LU$7) - MIN( $LU$6:$LU$7)</f>
        <v>0</v>
      </c>
      <c r="LV3" s="31">
        <f>MAX($LV$6:$LV$7) - MIN( $LV$6:$LV$7)</f>
        <v>0</v>
      </c>
      <c r="LW3" s="31">
        <f>MAX($LW$6:$LW$7) - MIN( $LW$6:$LW$7)</f>
        <v>0</v>
      </c>
      <c r="LX3" s="31">
        <f>MAX($LX$6:$LX$7) - MIN( $LX$6:$LX$7)</f>
        <v>0</v>
      </c>
      <c r="LY3" s="31">
        <f>MAX($LY$6:$LY$7) - MIN( $LY$6:$LY$7)</f>
        <v>0</v>
      </c>
      <c r="LZ3" s="31">
        <f>MAX($LZ$6:$LZ$7) - MIN( $LZ$6:$LZ$7)</f>
        <v>0</v>
      </c>
      <c r="MA3" s="31">
        <f>MAX($MA$6:$MA$7) - MIN( $MA$6:$MA$7)</f>
        <v>0</v>
      </c>
      <c r="MB3" s="31">
        <f>MAX($MB$6:$MB$7) - MIN( $MB$6:$MB$7)</f>
        <v>0</v>
      </c>
      <c r="MC3" s="31">
        <f>MAX($MC$6:$MC$7) - MIN( $MC$6:$MC$7)</f>
        <v>0</v>
      </c>
      <c r="MD3" s="31">
        <f>MAX($MD$6:$MD$7) - MIN( $MD$6:$MD$7)</f>
        <v>0</v>
      </c>
      <c r="ME3" s="31">
        <f>MAX($ME$6:$ME$7) - MIN( $ME$6:$ME$7)</f>
        <v>0</v>
      </c>
      <c r="MF3" s="31">
        <f>MAX($MF$6:$MF$7) - MIN( $MF$6:$MF$7)</f>
        <v>0</v>
      </c>
      <c r="MG3" s="31">
        <f>MAX($MG$6:$MG$7) - MIN( $MG$6:$MG$7)</f>
        <v>0</v>
      </c>
      <c r="MH3" s="31">
        <f>MAX($MH$6:$MH$7) - MIN( $MH$6:$MH$7)</f>
        <v>0</v>
      </c>
      <c r="MI3" s="31">
        <f>MAX($MI$6:$MI$7) - MIN( $MI$6:$MI$7)</f>
        <v>0</v>
      </c>
      <c r="MJ3" s="31">
        <f>MAX($MJ$6:$MJ$7) - MIN( $MJ$6:$MJ$7)</f>
        <v>0</v>
      </c>
      <c r="MK3" s="31">
        <f>MAX($MK$6:$MK$7) - MIN( $MK$6:$MK$7)</f>
        <v>0</v>
      </c>
      <c r="ML3" s="31">
        <f>MAX($ML$6:$ML$7) - MIN( $ML$6:$ML$7)</f>
        <v>0</v>
      </c>
      <c r="MM3" s="31">
        <f>MAX($MM$6:$MM$7) - MIN( $MM$6:$MM$7)</f>
        <v>0</v>
      </c>
      <c r="MN3" s="31">
        <f>MAX($MN$6:$MN$7) - MIN( $MN$6:$MN$7)</f>
        <v>0</v>
      </c>
      <c r="MO3" s="31">
        <f>MAX($MO$6:$MO$7) - MIN( $MO$6:$MO$7)</f>
        <v>0</v>
      </c>
      <c r="MP3" s="31">
        <f>MAX($MP$6:$MP$7) - MIN( $MP$6:$MP$7)</f>
        <v>0</v>
      </c>
      <c r="MQ3" s="31">
        <f>MAX($MQ$6:$MQ$7) - MIN( $MQ$6:$MQ$7)</f>
        <v>0</v>
      </c>
      <c r="MR3" s="31">
        <f>MAX($MR$6:$MR$7) - MIN( $MR$6:$MR$7)</f>
        <v>0</v>
      </c>
      <c r="MS3" s="31">
        <f>MAX($MS$6:$MS$7) - MIN( $MS$6:$MS$7)</f>
        <v>0</v>
      </c>
      <c r="MT3" s="31">
        <f>MAX($MT$6:$MT$7) - MIN( $MT$6:$MT$7)</f>
        <v>0</v>
      </c>
      <c r="MU3" s="31">
        <f>MAX($MU$6:$MU$7) - MIN( $MU$6:$MU$7)</f>
        <v>0</v>
      </c>
      <c r="MV3" s="31">
        <f>MAX($MV$6:$MV$7) - MIN( $MV$6:$MV$7)</f>
        <v>0</v>
      </c>
      <c r="MW3" s="31">
        <f>MAX($MW$6:$MW$7) - MIN( $MW$6:$MW$7)</f>
        <v>0</v>
      </c>
      <c r="MX3" s="31">
        <f>MAX($MX$6:$MX$7) - MIN( $MX$6:$MX$7)</f>
        <v>0</v>
      </c>
      <c r="MY3" s="31">
        <f>MAX($MY$6:$MY$7) - MIN( $MY$6:$MY$7)</f>
        <v>0</v>
      </c>
      <c r="MZ3" s="31">
        <f>MAX($MZ$6:$MZ$7) - MIN( $MZ$6:$MZ$7)</f>
        <v>0</v>
      </c>
      <c r="NA3" s="31">
        <f>MAX($NA$6:$NA$7) - MIN( $NA$6:$NA$7)</f>
        <v>0</v>
      </c>
      <c r="NB3" s="31">
        <f>MAX($NB$6:$NB$7) - MIN( $NB$6:$NB$7)</f>
        <v>0</v>
      </c>
      <c r="NC3" s="31">
        <f>MAX($NC$6:$NC$7) - MIN( $NC$6:$NC$7)</f>
        <v>0</v>
      </c>
      <c r="ND3" s="31">
        <f>MAX($ND$6:$ND$7) - MIN( $ND$6:$ND$7)</f>
        <v>0</v>
      </c>
      <c r="NE3" s="31">
        <f>MAX($NE$6:$NE$7) - MIN( $NE$6:$NE$7)</f>
        <v>0</v>
      </c>
      <c r="NF3" s="31">
        <f>MAX($NF$6:$NF$7) - MIN( $NF$6:$NF$7)</f>
        <v>0</v>
      </c>
      <c r="NG3" s="31">
        <f>MAX($NG$6:$NG$7) - MIN( $NG$6:$NG$7)</f>
        <v>0</v>
      </c>
      <c r="NH3" s="31">
        <f>MAX($NH$6:$NH$7) - MIN( $NH$6:$NH$7)</f>
        <v>0</v>
      </c>
      <c r="NI3" s="31">
        <f>MAX($NI$6:$NI$7) - MIN( $NI$6:$NI$7)</f>
        <v>0</v>
      </c>
      <c r="NJ3" s="31">
        <f>MAX($NJ$6:$NJ$7) - MIN( $NJ$6:$NJ$7)</f>
        <v>0</v>
      </c>
      <c r="NK3" s="31">
        <f>MAX($NK$6:$NK$7) - MIN( $NK$6:$NK$7)</f>
        <v>0</v>
      </c>
      <c r="NL3" s="31">
        <f>MAX($NL$6:$NL$7) - MIN( $NL$6:$NL$7)</f>
        <v>0</v>
      </c>
      <c r="NM3" s="31">
        <f>MAX($NM$6:$NM$7) - MIN( $NM$6:$NM$7)</f>
        <v>0</v>
      </c>
      <c r="NN3" s="31">
        <f>MAX($NN$6:$NN$7) - MIN( $NN$6:$NN$7)</f>
        <v>0</v>
      </c>
      <c r="NO3" s="31">
        <f>MAX($NO$6:$NO$7) - MIN( $NO$6:$NO$7)</f>
        <v>0</v>
      </c>
      <c r="NP3" s="31">
        <f>MAX($NP$6:$NP$7) - MIN( $NP$6:$NP$7)</f>
        <v>0</v>
      </c>
      <c r="NQ3" s="31">
        <f>MAX($NQ$6:$NQ$7) - MIN( $NQ$6:$NQ$7)</f>
        <v>0</v>
      </c>
      <c r="NR3" s="31">
        <f>MAX($NR$6:$NR$7) - MIN( $NR$6:$NR$7)</f>
        <v>0</v>
      </c>
      <c r="NS3" s="31">
        <f>MAX($NS$6:$NS$7) - MIN( $NS$6:$NS$7)</f>
        <v>0</v>
      </c>
      <c r="NT3" s="31">
        <f>MAX($NT$6:$NT$7) - MIN( $NT$6:$NT$7)</f>
        <v>0</v>
      </c>
      <c r="NU3" s="31">
        <f>MAX($NU$6:$NU$7) - MIN( $NU$6:$NU$7)</f>
        <v>0</v>
      </c>
      <c r="NV3" s="31">
        <f>MAX($NV$6:$NV$7) - MIN( $NV$6:$NV$7)</f>
        <v>0</v>
      </c>
      <c r="NW3" s="31">
        <f>MAX($NW$6:$NW$7) - MIN( $NW$6:$NW$7)</f>
        <v>0</v>
      </c>
      <c r="NX3" s="31">
        <f>MAX($NX$6:$NX$7) - MIN( $NX$6:$NX$7)</f>
        <v>0</v>
      </c>
      <c r="NY3" s="31">
        <f>MAX($NY$6:$NY$7) - MIN( $NY$6:$NY$7)</f>
        <v>0</v>
      </c>
      <c r="NZ3" s="31">
        <f>MAX($NZ$6:$NZ$7) - MIN( $NZ$6:$NZ$7)</f>
        <v>0</v>
      </c>
      <c r="OA3" s="31">
        <f>MAX($OA$6:$OA$7) - MIN( $OA$6:$OA$7)</f>
        <v>0</v>
      </c>
      <c r="OB3" s="31">
        <f>MAX($OB$6:$OB$7) - MIN( $OB$6:$OB$7)</f>
        <v>0</v>
      </c>
      <c r="OC3" s="31">
        <f>MAX($OC$6:$OC$7) - MIN( $OC$6:$OC$7)</f>
        <v>0</v>
      </c>
      <c r="OD3" s="31">
        <f>MAX($OD$6:$OD$7) - MIN( $OD$6:$OD$7)</f>
        <v>0</v>
      </c>
      <c r="OE3" s="31">
        <f>MAX($OE$6:$OE$7) - MIN( $OE$6:$OE$7)</f>
        <v>0</v>
      </c>
      <c r="OF3" s="31">
        <f>MAX($OF$6:$OF$7) - MIN( $OF$6:$OF$7)</f>
        <v>0</v>
      </c>
      <c r="OG3" s="31">
        <f>MAX($OG$6:$OG$7) - MIN( $OG$6:$OG$7)</f>
        <v>0</v>
      </c>
      <c r="OH3" s="31">
        <f>MAX($OH$6:$OH$7) - MIN( $OH$6:$OH$7)</f>
        <v>0</v>
      </c>
      <c r="OI3" s="31">
        <f>MAX($OI$6:$OI$7) - MIN( $OI$6:$OI$7)</f>
        <v>0</v>
      </c>
      <c r="OJ3" s="31">
        <f>MAX($OJ$6:$OJ$7) - MIN( $OJ$6:$OJ$7)</f>
        <v>0</v>
      </c>
      <c r="OK3" s="31">
        <f>MAX($OK$6:$OK$7) - MIN( $OK$6:$OK$7)</f>
        <v>0</v>
      </c>
      <c r="OL3" s="31">
        <f>MAX($OL$6:$OL$7) - MIN( $OL$6:$OL$7)</f>
        <v>0</v>
      </c>
      <c r="OM3" s="31">
        <f>MAX($OM$6:$OM$7) - MIN( $OM$6:$OM$7)</f>
        <v>0</v>
      </c>
      <c r="ON3" s="31">
        <f>MAX($ON$6:$ON$7) - MIN( $ON$6:$ON$7)</f>
        <v>0</v>
      </c>
      <c r="OO3" s="31">
        <f>MAX($OO$6:$OO$7) - MIN( $OO$6:$OO$7)</f>
        <v>0</v>
      </c>
      <c r="OP3" s="31">
        <f>MAX($OP$6:$OP$7) - MIN( $OP$6:$OP$7)</f>
        <v>0</v>
      </c>
      <c r="OQ3" s="31">
        <f>MAX($OQ$6:$OQ$7) - MIN( $OQ$6:$OQ$7)</f>
        <v>0</v>
      </c>
      <c r="OR3" s="31">
        <f>MAX($OR$6:$OR$7) - MIN( $OR$6:$OR$7)</f>
        <v>0</v>
      </c>
      <c r="OS3" s="31">
        <f>MAX($OS$6:$OS$7) - MIN( $OS$6:$OS$7)</f>
        <v>0</v>
      </c>
      <c r="OT3" s="31">
        <f>MAX($OT$6:$OT$7) - MIN( $OT$6:$OT$7)</f>
        <v>0</v>
      </c>
      <c r="OU3" s="31">
        <f>MAX($OU$6:$OU$7) - MIN( $OU$6:$OU$7)</f>
        <v>0</v>
      </c>
      <c r="OV3" s="31">
        <f>MAX($OV$6:$OV$7) - MIN( $OV$6:$OV$7)</f>
        <v>0</v>
      </c>
      <c r="OW3" s="31">
        <f>MAX($OW$6:$OW$7) - MIN( $OW$6:$OW$7)</f>
        <v>0</v>
      </c>
      <c r="OX3" s="31">
        <f>MAX($OX$6:$OX$7) - MIN( $OX$6:$OX$7)</f>
        <v>0</v>
      </c>
      <c r="OY3" s="31">
        <f>MAX($OY$6:$OY$7) - MIN( $OY$6:$OY$7)</f>
        <v>0</v>
      </c>
      <c r="OZ3" s="31">
        <f>MAX($OZ$6:$OZ$7) - MIN( $OZ$6:$OZ$7)</f>
        <v>0</v>
      </c>
      <c r="PA3" s="31">
        <f>MAX($PA$6:$PA$7) - MIN( $PA$6:$PA$7)</f>
        <v>0</v>
      </c>
      <c r="PB3" s="31">
        <f>MAX($PB$6:$PB$7) - MIN( $PB$6:$PB$7)</f>
        <v>0</v>
      </c>
      <c r="PC3" s="31">
        <f>MAX($PC$6:$PC$7) - MIN( $PC$6:$PC$7)</f>
        <v>0</v>
      </c>
      <c r="PD3" s="31">
        <f>MAX($PD$6:$PD$7) - MIN( $PD$6:$PD$7)</f>
        <v>0</v>
      </c>
      <c r="PE3" s="31">
        <f>MAX($PE$6:$PE$7) - MIN( $PE$6:$PE$7)</f>
        <v>0</v>
      </c>
      <c r="PF3" s="31">
        <f>MAX($PF$6:$PF$7) - MIN( $PF$6:$PF$7)</f>
        <v>0</v>
      </c>
      <c r="PG3" s="31">
        <f>MAX($PG$6:$PG$7) - MIN( $PG$6:$PG$7)</f>
        <v>0</v>
      </c>
      <c r="PH3" s="31">
        <f>MAX($PH$6:$PH$7) - MIN( $PH$6:$PH$7)</f>
        <v>0</v>
      </c>
      <c r="PI3" s="31">
        <f>MAX($PI$6:$PI$7) - MIN( $PI$6:$PI$7)</f>
        <v>0</v>
      </c>
      <c r="PJ3" s="31">
        <f>MAX($PJ$6:$PJ$7) - MIN( $PJ$6:$PJ$7)</f>
        <v>0</v>
      </c>
      <c r="PK3" s="31">
        <f>MAX($PK$6:$PK$7) - MIN( $PK$6:$PK$7)</f>
        <v>0</v>
      </c>
      <c r="PL3" s="31">
        <f>MAX($PL$6:$PL$7) - MIN( $PL$6:$PL$7)</f>
        <v>0</v>
      </c>
      <c r="PM3" s="31">
        <f>MAX($PM$6:$PM$7) - MIN( $PM$6:$PM$7)</f>
        <v>0</v>
      </c>
      <c r="PN3" s="31">
        <f>MAX($PN$6:$PN$7) - MIN( $PN$6:$PN$7)</f>
        <v>0</v>
      </c>
      <c r="PO3" s="31">
        <f>MAX($PO$6:$PO$7) - MIN( $PO$6:$PO$7)</f>
        <v>0</v>
      </c>
      <c r="PP3" s="31">
        <f>MAX($PP$6:$PP$7) - MIN( $PP$6:$PP$7)</f>
        <v>0</v>
      </c>
      <c r="PQ3" s="31">
        <f>MAX($PQ$6:$PQ$7) - MIN( $PQ$6:$PQ$7)</f>
        <v>0</v>
      </c>
      <c r="PR3" s="31">
        <f>MAX($PR$6:$PR$7) - MIN( $PR$6:$PR$7)</f>
        <v>0</v>
      </c>
      <c r="PS3" s="31">
        <f>MAX($PS$6:$PS$7) - MIN( $PS$6:$PS$7)</f>
        <v>0</v>
      </c>
      <c r="PT3" s="31">
        <f>MAX($PT$6:$PT$7) - MIN( $PT$6:$PT$7)</f>
        <v>0</v>
      </c>
      <c r="PU3" s="31">
        <f>MAX($PU$6:$PU$7) - MIN( $PU$6:$PU$7)</f>
        <v>0</v>
      </c>
      <c r="PV3" s="31">
        <f>MAX($PV$6:$PV$7) - MIN( $PV$6:$PV$7)</f>
        <v>0</v>
      </c>
      <c r="PW3" s="31">
        <f>MAX($PW$6:$PW$7) - MIN( $PW$6:$PW$7)</f>
        <v>0</v>
      </c>
      <c r="PX3" s="31">
        <f>MAX($PX$6:$PX$7) - MIN( $PX$6:$PX$7)</f>
        <v>0</v>
      </c>
      <c r="PY3" s="31">
        <f>MAX($PY$6:$PY$7) - MIN( $PY$6:$PY$7)</f>
        <v>0</v>
      </c>
      <c r="PZ3" s="31">
        <f>MAX($PZ$6:$PZ$7) - MIN( $PZ$6:$PZ$7)</f>
        <v>0</v>
      </c>
      <c r="QA3" s="31">
        <f>MAX($QA$6:$QA$7) - MIN( $QA$6:$QA$7)</f>
        <v>0</v>
      </c>
      <c r="QB3" s="31">
        <f>MAX($QB$6:$QB$7) - MIN( $QB$6:$QB$7)</f>
        <v>0</v>
      </c>
      <c r="QC3" s="31">
        <f>MAX($QC$6:$QC$7) - MIN( $QC$6:$QC$7)</f>
        <v>0</v>
      </c>
      <c r="QD3" s="31">
        <f>MAX($QD$6:$QD$7) - MIN( $QD$6:$QD$7)</f>
        <v>0</v>
      </c>
      <c r="QE3" s="31">
        <f>MAX($QE$6:$QE$7) - MIN( $QE$6:$QE$7)</f>
        <v>0</v>
      </c>
      <c r="QF3" s="31">
        <f>MAX($QF$6:$QF$7) - MIN( $QF$6:$QF$7)</f>
        <v>0</v>
      </c>
      <c r="QG3" s="31">
        <f>MAX($QG$6:$QG$7) - MIN( $QG$6:$QG$7)</f>
        <v>0</v>
      </c>
      <c r="QH3" s="31">
        <f>MAX($QH$6:$QH$7) - MIN( $QH$6:$QH$7)</f>
        <v>0</v>
      </c>
      <c r="QI3" s="31">
        <f>MAX($QI$6:$QI$7) - MIN( $QI$6:$QI$7)</f>
        <v>0</v>
      </c>
      <c r="QJ3" s="31">
        <f>MAX($QJ$6:$QJ$7) - MIN( $QJ$6:$QJ$7)</f>
        <v>0</v>
      </c>
      <c r="QK3" s="31">
        <f>MAX($QK$6:$QK$7) - MIN( $QK$6:$QK$7)</f>
        <v>0</v>
      </c>
      <c r="QL3" s="31">
        <f>MAX($QL$6:$QL$7) - MIN( $QL$6:$QL$7)</f>
        <v>0</v>
      </c>
      <c r="QM3" s="31">
        <f>MAX($QM$6:$QM$7) - MIN( $QM$6:$QM$7)</f>
        <v>0</v>
      </c>
      <c r="QN3" s="31">
        <f>MAX($QN$6:$QN$7) - MIN( $QN$6:$QN$7)</f>
        <v>0</v>
      </c>
      <c r="QO3" s="31">
        <f>MAX($QO$6:$QO$7) - MIN( $QO$6:$QO$7)</f>
        <v>0</v>
      </c>
      <c r="QP3" s="31">
        <f>MAX($QP$6:$QP$7) - MIN( $QP$6:$QP$7)</f>
        <v>0</v>
      </c>
      <c r="QQ3" s="31">
        <f>MAX($QQ$6:$QQ$7) - MIN( $QQ$6:$QQ$7)</f>
        <v>0</v>
      </c>
      <c r="QR3" s="31"/>
      <c r="QS3" s="31"/>
      <c r="QT3" s="31"/>
      <c r="QU3" s="31"/>
      <c r="QV3" s="31"/>
      <c r="QW3" s="31"/>
      <c r="QX3" s="31"/>
      <c r="QY3" s="31"/>
      <c r="QZ3" s="31"/>
      <c r="RA3" s="31"/>
      <c r="RB3" s="31"/>
      <c r="RC3" s="31"/>
      <c r="RD3" s="31"/>
      <c r="RE3" s="31"/>
      <c r="RF3" s="31"/>
      <c r="RG3" s="31"/>
      <c r="RH3" s="31"/>
      <c r="RI3" s="31"/>
      <c r="RJ3" s="31"/>
      <c r="RK3" s="31"/>
      <c r="RL3" s="31"/>
      <c r="RM3" s="31"/>
      <c r="RN3" s="31"/>
      <c r="RO3" s="31"/>
      <c r="RP3" s="31"/>
      <c r="RQ3" s="31"/>
      <c r="RR3" s="31"/>
      <c r="RS3" s="31"/>
      <c r="RT3" s="31"/>
      <c r="RU3" s="31"/>
      <c r="RV3" s="31"/>
      <c r="RW3" s="31"/>
      <c r="RX3" s="31"/>
      <c r="RY3" s="31"/>
      <c r="RZ3" s="31"/>
      <c r="SA3" s="31"/>
      <c r="SB3" s="31"/>
      <c r="SC3" s="31"/>
      <c r="SD3" s="31"/>
      <c r="SE3" s="31"/>
      <c r="SF3" s="31"/>
      <c r="SG3" s="31"/>
      <c r="SH3" s="31"/>
    </row>
    <row r="4" spans="2:5027" x14ac:dyDescent="0.25">
      <c r="C4" s="11" t="s">
        <v>55</v>
      </c>
      <c r="D4" s="11" t="s">
        <v>56</v>
      </c>
      <c r="E4" s="11" t="s">
        <v>57</v>
      </c>
      <c r="F4" s="11" t="s">
        <v>58</v>
      </c>
      <c r="G4" s="11" t="s">
        <v>59</v>
      </c>
      <c r="H4" s="11" t="s">
        <v>60</v>
      </c>
      <c r="I4" s="11" t="s">
        <v>61</v>
      </c>
      <c r="J4" s="11" t="s">
        <v>62</v>
      </c>
      <c r="K4" s="11" t="s">
        <v>63</v>
      </c>
      <c r="L4" s="11" t="s">
        <v>64</v>
      </c>
      <c r="M4" s="11" t="s">
        <v>65</v>
      </c>
      <c r="N4" s="11" t="s">
        <v>66</v>
      </c>
      <c r="O4" s="11" t="s">
        <v>67</v>
      </c>
      <c r="P4" s="11" t="s">
        <v>68</v>
      </c>
      <c r="Q4" s="11" t="s">
        <v>69</v>
      </c>
      <c r="R4" s="11" t="s">
        <v>70</v>
      </c>
      <c r="S4" s="11" t="s">
        <v>71</v>
      </c>
      <c r="T4" s="11" t="s">
        <v>72</v>
      </c>
      <c r="U4" s="11" t="s">
        <v>73</v>
      </c>
      <c r="V4" s="11" t="s">
        <v>74</v>
      </c>
      <c r="W4" s="11" t="s">
        <v>75</v>
      </c>
      <c r="X4" s="11" t="s">
        <v>76</v>
      </c>
      <c r="Y4" s="11" t="s">
        <v>77</v>
      </c>
      <c r="Z4" s="11" t="s">
        <v>78</v>
      </c>
      <c r="AA4" s="11" t="s">
        <v>79</v>
      </c>
      <c r="AB4" s="11" t="s">
        <v>80</v>
      </c>
      <c r="AC4" s="11" t="s">
        <v>81</v>
      </c>
      <c r="AD4" s="11" t="s">
        <v>82</v>
      </c>
      <c r="AE4" s="11" t="s">
        <v>83</v>
      </c>
      <c r="AF4" s="11" t="s">
        <v>84</v>
      </c>
      <c r="AG4" s="11" t="s">
        <v>85</v>
      </c>
      <c r="AH4" s="11" t="s">
        <v>86</v>
      </c>
      <c r="AI4" s="11" t="s">
        <v>87</v>
      </c>
      <c r="AJ4" s="11" t="s">
        <v>88</v>
      </c>
      <c r="AK4" s="11" t="s">
        <v>89</v>
      </c>
      <c r="AL4" s="11" t="s">
        <v>90</v>
      </c>
      <c r="AM4" s="11" t="s">
        <v>91</v>
      </c>
      <c r="AN4" s="11" t="s">
        <v>92</v>
      </c>
      <c r="AO4" s="11" t="s">
        <v>93</v>
      </c>
      <c r="AP4" s="11" t="s">
        <v>94</v>
      </c>
      <c r="AQ4" s="11" t="s">
        <v>95</v>
      </c>
      <c r="AR4" s="11" t="s">
        <v>96</v>
      </c>
      <c r="AS4" s="11" t="s">
        <v>97</v>
      </c>
      <c r="AT4" s="11" t="s">
        <v>98</v>
      </c>
      <c r="AU4" s="11" t="s">
        <v>99</v>
      </c>
      <c r="AV4" s="11" t="s">
        <v>100</v>
      </c>
      <c r="AW4" s="11" t="s">
        <v>101</v>
      </c>
      <c r="AX4" s="11" t="s">
        <v>102</v>
      </c>
      <c r="AY4" s="11" t="s">
        <v>103</v>
      </c>
      <c r="AZ4" s="11" t="s">
        <v>104</v>
      </c>
      <c r="BA4" s="11" t="s">
        <v>105</v>
      </c>
      <c r="BB4" s="11" t="s">
        <v>106</v>
      </c>
      <c r="BC4" s="11" t="s">
        <v>107</v>
      </c>
      <c r="BD4" s="11" t="s">
        <v>108</v>
      </c>
      <c r="BE4" s="11" t="s">
        <v>109</v>
      </c>
      <c r="BF4" s="11" t="s">
        <v>110</v>
      </c>
      <c r="BG4" s="11" t="s">
        <v>111</v>
      </c>
      <c r="BH4" s="11" t="s">
        <v>112</v>
      </c>
      <c r="BI4" s="11" t="s">
        <v>113</v>
      </c>
      <c r="BJ4" s="11" t="s">
        <v>114</v>
      </c>
      <c r="BK4" s="11" t="s">
        <v>115</v>
      </c>
      <c r="BL4" s="11" t="s">
        <v>116</v>
      </c>
      <c r="BM4" s="11" t="s">
        <v>117</v>
      </c>
      <c r="BN4" s="11" t="s">
        <v>118</v>
      </c>
      <c r="BO4" s="11" t="s">
        <v>119</v>
      </c>
      <c r="BP4" s="11" t="s">
        <v>120</v>
      </c>
      <c r="BQ4" s="11" t="s">
        <v>121</v>
      </c>
      <c r="BR4" s="11" t="s">
        <v>122</v>
      </c>
      <c r="BS4" s="11" t="s">
        <v>123</v>
      </c>
      <c r="BT4" s="11" t="s">
        <v>124</v>
      </c>
      <c r="BU4" s="11" t="s">
        <v>125</v>
      </c>
      <c r="BV4" s="11" t="s">
        <v>126</v>
      </c>
      <c r="BW4" s="11" t="s">
        <v>127</v>
      </c>
      <c r="BX4" s="11" t="s">
        <v>128</v>
      </c>
      <c r="BY4" s="11" t="s">
        <v>129</v>
      </c>
      <c r="BZ4" s="11" t="s">
        <v>130</v>
      </c>
      <c r="CA4" s="11" t="s">
        <v>131</v>
      </c>
      <c r="CB4" s="11" t="s">
        <v>132</v>
      </c>
      <c r="CC4" s="11" t="s">
        <v>133</v>
      </c>
      <c r="CD4" s="11" t="s">
        <v>134</v>
      </c>
      <c r="CE4" s="11" t="s">
        <v>135</v>
      </c>
      <c r="CF4" s="11" t="s">
        <v>136</v>
      </c>
      <c r="CG4" s="11" t="s">
        <v>137</v>
      </c>
      <c r="CH4" s="11" t="s">
        <v>138</v>
      </c>
      <c r="CI4" s="11" t="s">
        <v>139</v>
      </c>
      <c r="CJ4" s="11" t="s">
        <v>140</v>
      </c>
      <c r="CK4" s="11" t="s">
        <v>141</v>
      </c>
      <c r="CL4" s="11" t="s">
        <v>142</v>
      </c>
      <c r="CM4" s="11" t="s">
        <v>143</v>
      </c>
      <c r="CN4" s="11" t="s">
        <v>144</v>
      </c>
      <c r="CO4" s="11" t="s">
        <v>145</v>
      </c>
      <c r="CP4" s="11" t="s">
        <v>146</v>
      </c>
      <c r="CQ4" s="11" t="s">
        <v>147</v>
      </c>
      <c r="CR4" s="11" t="s">
        <v>148</v>
      </c>
      <c r="CS4" s="11" t="s">
        <v>149</v>
      </c>
      <c r="CT4" s="11" t="s">
        <v>150</v>
      </c>
      <c r="CU4" s="11" t="s">
        <v>151</v>
      </c>
      <c r="CV4" s="11" t="s">
        <v>152</v>
      </c>
      <c r="CW4" s="11" t="s">
        <v>153</v>
      </c>
      <c r="CX4" s="11" t="s">
        <v>154</v>
      </c>
      <c r="CY4" s="11" t="s">
        <v>155</v>
      </c>
      <c r="CZ4" s="11" t="s">
        <v>156</v>
      </c>
      <c r="DA4" s="11" t="s">
        <v>157</v>
      </c>
      <c r="DB4" s="11" t="s">
        <v>158</v>
      </c>
      <c r="DC4" s="11" t="s">
        <v>159</v>
      </c>
      <c r="DD4" s="11" t="s">
        <v>160</v>
      </c>
      <c r="DE4" s="11" t="s">
        <v>161</v>
      </c>
      <c r="DF4" s="11" t="s">
        <v>162</v>
      </c>
      <c r="DG4" s="11" t="s">
        <v>163</v>
      </c>
      <c r="DH4" s="11" t="s">
        <v>164</v>
      </c>
      <c r="DI4" s="11" t="s">
        <v>165</v>
      </c>
      <c r="DJ4" s="11" t="s">
        <v>166</v>
      </c>
      <c r="DK4" s="11" t="s">
        <v>167</v>
      </c>
      <c r="DL4" s="11" t="s">
        <v>168</v>
      </c>
      <c r="DM4" s="11" t="s">
        <v>169</v>
      </c>
      <c r="DN4" s="11" t="s">
        <v>170</v>
      </c>
      <c r="DO4" s="11" t="s">
        <v>171</v>
      </c>
      <c r="DP4" s="11" t="s">
        <v>172</v>
      </c>
      <c r="DQ4" s="11" t="s">
        <v>173</v>
      </c>
      <c r="DR4" s="11" t="s">
        <v>174</v>
      </c>
      <c r="DS4" s="11" t="s">
        <v>175</v>
      </c>
      <c r="DT4" s="11" t="s">
        <v>176</v>
      </c>
      <c r="DU4" s="11" t="s">
        <v>177</v>
      </c>
      <c r="DV4" s="11" t="s">
        <v>178</v>
      </c>
      <c r="DW4" s="11" t="s">
        <v>179</v>
      </c>
      <c r="DX4" s="11" t="s">
        <v>180</v>
      </c>
      <c r="DY4" s="11" t="s">
        <v>181</v>
      </c>
      <c r="DZ4" s="11" t="s">
        <v>182</v>
      </c>
      <c r="EA4" s="11" t="s">
        <v>183</v>
      </c>
      <c r="EB4" s="11" t="s">
        <v>184</v>
      </c>
      <c r="EC4" s="11" t="s">
        <v>185</v>
      </c>
      <c r="ED4" s="11" t="s">
        <v>186</v>
      </c>
      <c r="EE4" s="11" t="s">
        <v>187</v>
      </c>
      <c r="EF4" s="11" t="s">
        <v>188</v>
      </c>
      <c r="EG4" s="11" t="s">
        <v>189</v>
      </c>
      <c r="EH4" s="11" t="s">
        <v>190</v>
      </c>
      <c r="EI4" s="11" t="s">
        <v>191</v>
      </c>
      <c r="EJ4" s="11" t="s">
        <v>192</v>
      </c>
      <c r="EK4" s="11" t="s">
        <v>193</v>
      </c>
      <c r="EL4" s="11" t="s">
        <v>194</v>
      </c>
      <c r="EM4" s="11" t="s">
        <v>195</v>
      </c>
      <c r="EN4" s="11" t="s">
        <v>196</v>
      </c>
      <c r="EO4" s="11" t="s">
        <v>197</v>
      </c>
      <c r="EP4" s="11" t="s">
        <v>198</v>
      </c>
      <c r="EQ4" s="11" t="s">
        <v>199</v>
      </c>
      <c r="ER4" s="11" t="s">
        <v>200</v>
      </c>
      <c r="ES4" s="11" t="s">
        <v>201</v>
      </c>
      <c r="ET4" s="11" t="s">
        <v>202</v>
      </c>
      <c r="EU4" s="11" t="s">
        <v>203</v>
      </c>
      <c r="EV4" s="11" t="s">
        <v>204</v>
      </c>
      <c r="EW4" s="11" t="s">
        <v>205</v>
      </c>
      <c r="EX4" s="11" t="s">
        <v>206</v>
      </c>
      <c r="EY4" s="11" t="s">
        <v>207</v>
      </c>
      <c r="EZ4" s="11" t="s">
        <v>208</v>
      </c>
      <c r="FA4" s="11" t="s">
        <v>209</v>
      </c>
      <c r="FB4" s="11" t="s">
        <v>210</v>
      </c>
      <c r="FC4" s="11" t="s">
        <v>211</v>
      </c>
      <c r="FD4" s="11" t="s">
        <v>212</v>
      </c>
      <c r="FE4" s="11" t="s">
        <v>213</v>
      </c>
      <c r="FF4" s="11" t="s">
        <v>214</v>
      </c>
      <c r="FG4" s="11" t="s">
        <v>215</v>
      </c>
      <c r="FH4" s="11" t="s">
        <v>216</v>
      </c>
      <c r="FI4" s="11" t="s">
        <v>217</v>
      </c>
      <c r="FJ4" s="11" t="s">
        <v>218</v>
      </c>
      <c r="FK4" s="11" t="s">
        <v>219</v>
      </c>
      <c r="FL4" s="11" t="s">
        <v>220</v>
      </c>
      <c r="FM4" s="11" t="s">
        <v>221</v>
      </c>
      <c r="FN4" s="11" t="s">
        <v>222</v>
      </c>
      <c r="FO4" s="11" t="s">
        <v>223</v>
      </c>
      <c r="FP4" s="11" t="s">
        <v>224</v>
      </c>
      <c r="FQ4" s="11" t="s">
        <v>225</v>
      </c>
      <c r="FR4" s="11" t="s">
        <v>226</v>
      </c>
      <c r="FS4" s="11" t="s">
        <v>227</v>
      </c>
      <c r="FT4" s="11" t="s">
        <v>228</v>
      </c>
      <c r="FU4" s="11" t="s">
        <v>229</v>
      </c>
      <c r="FV4" s="11" t="s">
        <v>230</v>
      </c>
      <c r="FW4" s="11" t="s">
        <v>231</v>
      </c>
      <c r="FX4" s="11" t="s">
        <v>232</v>
      </c>
      <c r="FY4" s="11" t="s">
        <v>233</v>
      </c>
      <c r="FZ4" s="11" t="s">
        <v>234</v>
      </c>
      <c r="GA4" s="11" t="s">
        <v>235</v>
      </c>
      <c r="GB4" s="11" t="s">
        <v>236</v>
      </c>
      <c r="GC4" s="11" t="s">
        <v>237</v>
      </c>
      <c r="GD4" s="11" t="s">
        <v>238</v>
      </c>
      <c r="GE4" s="11" t="s">
        <v>239</v>
      </c>
      <c r="GF4" s="11" t="s">
        <v>240</v>
      </c>
      <c r="GG4" s="11" t="s">
        <v>241</v>
      </c>
      <c r="GH4" s="11" t="s">
        <v>242</v>
      </c>
      <c r="GI4" s="11" t="s">
        <v>243</v>
      </c>
      <c r="GJ4" s="11" t="s">
        <v>244</v>
      </c>
      <c r="GK4" s="11" t="s">
        <v>245</v>
      </c>
      <c r="GL4" s="11" t="s">
        <v>246</v>
      </c>
      <c r="GM4" s="11" t="s">
        <v>247</v>
      </c>
      <c r="GN4" s="11" t="s">
        <v>248</v>
      </c>
      <c r="GO4" s="11" t="s">
        <v>249</v>
      </c>
      <c r="GP4" s="11" t="s">
        <v>250</v>
      </c>
      <c r="GQ4" s="11" t="s">
        <v>251</v>
      </c>
      <c r="GR4" s="11" t="s">
        <v>252</v>
      </c>
      <c r="GS4" s="11" t="s">
        <v>253</v>
      </c>
      <c r="GT4" s="11" t="s">
        <v>254</v>
      </c>
      <c r="GU4" s="11" t="s">
        <v>255</v>
      </c>
      <c r="GV4" s="11" t="s">
        <v>256</v>
      </c>
      <c r="GW4" s="11" t="s">
        <v>257</v>
      </c>
      <c r="GX4" s="11" t="s">
        <v>258</v>
      </c>
      <c r="GY4" s="11" t="s">
        <v>259</v>
      </c>
      <c r="GZ4" s="11" t="s">
        <v>260</v>
      </c>
      <c r="HA4" s="11" t="s">
        <v>261</v>
      </c>
      <c r="HB4" s="11" t="s">
        <v>262</v>
      </c>
      <c r="HC4" s="11" t="s">
        <v>263</v>
      </c>
      <c r="HD4" s="11" t="s">
        <v>264</v>
      </c>
      <c r="HE4" s="11" t="s">
        <v>265</v>
      </c>
      <c r="HF4" s="11" t="s">
        <v>266</v>
      </c>
      <c r="HG4" s="11" t="s">
        <v>267</v>
      </c>
      <c r="HH4" s="11" t="s">
        <v>268</v>
      </c>
      <c r="HI4" s="11" t="s">
        <v>269</v>
      </c>
      <c r="HJ4" s="11" t="s">
        <v>270</v>
      </c>
      <c r="HK4" s="11" t="s">
        <v>271</v>
      </c>
      <c r="HL4" s="11" t="s">
        <v>272</v>
      </c>
      <c r="HM4" s="11" t="s">
        <v>273</v>
      </c>
      <c r="HN4" s="11" t="s">
        <v>274</v>
      </c>
      <c r="HO4" s="11" t="s">
        <v>275</v>
      </c>
      <c r="HP4" s="11" t="s">
        <v>276</v>
      </c>
      <c r="HQ4" s="11" t="s">
        <v>277</v>
      </c>
      <c r="HR4" s="11" t="s">
        <v>278</v>
      </c>
      <c r="HS4" s="11" t="s">
        <v>279</v>
      </c>
      <c r="HT4" s="11" t="s">
        <v>280</v>
      </c>
      <c r="HU4" s="11" t="s">
        <v>281</v>
      </c>
      <c r="HV4" s="11" t="s">
        <v>282</v>
      </c>
      <c r="HW4" s="11" t="s">
        <v>283</v>
      </c>
      <c r="HX4" s="11" t="s">
        <v>284</v>
      </c>
      <c r="HY4" s="11" t="s">
        <v>285</v>
      </c>
      <c r="HZ4" s="11" t="s">
        <v>286</v>
      </c>
      <c r="IA4" s="11" t="s">
        <v>287</v>
      </c>
      <c r="IB4" s="11" t="s">
        <v>288</v>
      </c>
      <c r="IC4" s="11" t="s">
        <v>289</v>
      </c>
      <c r="ID4" s="11" t="s">
        <v>290</v>
      </c>
      <c r="IE4" s="11" t="s">
        <v>291</v>
      </c>
      <c r="IF4" s="11" t="s">
        <v>292</v>
      </c>
      <c r="IG4" s="11" t="s">
        <v>293</v>
      </c>
      <c r="IH4" s="11" t="s">
        <v>294</v>
      </c>
      <c r="II4" s="11" t="s">
        <v>295</v>
      </c>
      <c r="IJ4" s="11" t="s">
        <v>296</v>
      </c>
      <c r="IK4" s="11" t="s">
        <v>297</v>
      </c>
      <c r="IL4" s="11" t="s">
        <v>298</v>
      </c>
      <c r="IM4" s="11" t="s">
        <v>299</v>
      </c>
      <c r="IN4" s="11" t="s">
        <v>300</v>
      </c>
      <c r="IO4" s="11" t="s">
        <v>301</v>
      </c>
      <c r="IP4" s="11" t="s">
        <v>302</v>
      </c>
      <c r="IQ4" s="11" t="s">
        <v>303</v>
      </c>
      <c r="IR4" s="11" t="s">
        <v>304</v>
      </c>
      <c r="IS4" s="11" t="s">
        <v>305</v>
      </c>
      <c r="IT4" s="11" t="s">
        <v>306</v>
      </c>
      <c r="IU4" s="11" t="s">
        <v>307</v>
      </c>
      <c r="IV4" s="11" t="s">
        <v>308</v>
      </c>
      <c r="IW4" s="11" t="s">
        <v>309</v>
      </c>
      <c r="IX4" s="11" t="s">
        <v>310</v>
      </c>
      <c r="IY4" s="11" t="s">
        <v>311</v>
      </c>
      <c r="IZ4" s="11" t="s">
        <v>312</v>
      </c>
      <c r="JA4" s="11" t="s">
        <v>313</v>
      </c>
      <c r="JB4" s="11" t="s">
        <v>314</v>
      </c>
      <c r="JC4" s="11" t="s">
        <v>315</v>
      </c>
      <c r="JD4" s="11" t="s">
        <v>316</v>
      </c>
      <c r="JE4" s="11" t="s">
        <v>317</v>
      </c>
      <c r="JF4" s="11" t="s">
        <v>318</v>
      </c>
      <c r="JG4" s="11" t="s">
        <v>319</v>
      </c>
      <c r="JH4" s="11" t="s">
        <v>320</v>
      </c>
      <c r="JI4" s="11" t="s">
        <v>321</v>
      </c>
      <c r="JJ4" s="11" t="s">
        <v>322</v>
      </c>
      <c r="JK4" s="11" t="s">
        <v>323</v>
      </c>
      <c r="JL4" s="11" t="s">
        <v>324</v>
      </c>
      <c r="JM4" s="11" t="s">
        <v>325</v>
      </c>
      <c r="JN4" s="11" t="s">
        <v>326</v>
      </c>
      <c r="JO4" s="11" t="s">
        <v>327</v>
      </c>
      <c r="JP4" s="11" t="s">
        <v>328</v>
      </c>
      <c r="JQ4" s="11" t="s">
        <v>329</v>
      </c>
      <c r="JR4" s="11" t="s">
        <v>330</v>
      </c>
      <c r="JS4" s="11" t="s">
        <v>331</v>
      </c>
      <c r="JT4" s="11" t="s">
        <v>332</v>
      </c>
      <c r="JU4" s="11" t="s">
        <v>333</v>
      </c>
      <c r="JV4" s="11" t="s">
        <v>334</v>
      </c>
      <c r="JW4" s="11" t="s">
        <v>335</v>
      </c>
      <c r="JX4" s="11" t="s">
        <v>336</v>
      </c>
      <c r="JY4" s="11" t="s">
        <v>337</v>
      </c>
      <c r="JZ4" s="11" t="s">
        <v>338</v>
      </c>
      <c r="KA4" s="11" t="s">
        <v>339</v>
      </c>
      <c r="KB4" s="11" t="s">
        <v>340</v>
      </c>
      <c r="KC4" s="11" t="s">
        <v>341</v>
      </c>
      <c r="KD4" s="11" t="s">
        <v>342</v>
      </c>
      <c r="KE4" s="11" t="s">
        <v>343</v>
      </c>
      <c r="KF4" s="11" t="s">
        <v>344</v>
      </c>
      <c r="KG4" s="11" t="s">
        <v>345</v>
      </c>
      <c r="KH4" s="11" t="s">
        <v>346</v>
      </c>
      <c r="KI4" s="11" t="s">
        <v>347</v>
      </c>
      <c r="KJ4" s="11" t="s">
        <v>348</v>
      </c>
      <c r="KK4" s="11" t="s">
        <v>349</v>
      </c>
      <c r="KL4" s="11" t="s">
        <v>350</v>
      </c>
      <c r="KM4" s="11" t="s">
        <v>351</v>
      </c>
      <c r="KN4" s="11" t="s">
        <v>352</v>
      </c>
      <c r="KO4" s="11" t="s">
        <v>353</v>
      </c>
      <c r="KP4" s="11" t="s">
        <v>354</v>
      </c>
      <c r="KQ4" s="11" t="s">
        <v>355</v>
      </c>
      <c r="KR4" s="11" t="s">
        <v>356</v>
      </c>
      <c r="KS4" s="11" t="s">
        <v>357</v>
      </c>
      <c r="KT4" s="11" t="s">
        <v>358</v>
      </c>
      <c r="KU4" s="11" t="s">
        <v>359</v>
      </c>
      <c r="KV4" s="11" t="s">
        <v>360</v>
      </c>
      <c r="KW4" s="11" t="s">
        <v>361</v>
      </c>
      <c r="KX4" s="11" t="s">
        <v>362</v>
      </c>
      <c r="KY4" s="11" t="s">
        <v>363</v>
      </c>
      <c r="KZ4" s="11" t="s">
        <v>364</v>
      </c>
      <c r="LA4" s="11" t="s">
        <v>365</v>
      </c>
      <c r="LB4" s="11" t="s">
        <v>366</v>
      </c>
      <c r="LC4" s="11" t="s">
        <v>367</v>
      </c>
      <c r="LD4" s="11" t="s">
        <v>368</v>
      </c>
      <c r="LE4" s="11" t="s">
        <v>369</v>
      </c>
      <c r="LF4" s="11" t="s">
        <v>370</v>
      </c>
      <c r="LG4" s="11" t="s">
        <v>371</v>
      </c>
      <c r="LH4" s="11" t="s">
        <v>372</v>
      </c>
      <c r="LI4" s="11" t="s">
        <v>373</v>
      </c>
      <c r="LJ4" s="11" t="s">
        <v>374</v>
      </c>
      <c r="LK4" s="11" t="s">
        <v>375</v>
      </c>
      <c r="LL4" s="11" t="s">
        <v>376</v>
      </c>
      <c r="LM4" s="11" t="s">
        <v>377</v>
      </c>
      <c r="LN4" s="11" t="s">
        <v>378</v>
      </c>
      <c r="LO4" s="11" t="s">
        <v>379</v>
      </c>
      <c r="LP4" s="11" t="s">
        <v>380</v>
      </c>
      <c r="LQ4" s="11" t="s">
        <v>381</v>
      </c>
      <c r="LR4" s="11" t="s">
        <v>382</v>
      </c>
      <c r="LS4" s="11" t="s">
        <v>383</v>
      </c>
      <c r="LT4" s="11" t="s">
        <v>384</v>
      </c>
      <c r="LU4" s="11" t="s">
        <v>385</v>
      </c>
      <c r="LV4" s="11" t="s">
        <v>386</v>
      </c>
      <c r="LW4" s="11" t="s">
        <v>387</v>
      </c>
      <c r="LX4" s="11" t="s">
        <v>388</v>
      </c>
      <c r="LY4" s="11" t="s">
        <v>389</v>
      </c>
      <c r="LZ4" s="11" t="s">
        <v>390</v>
      </c>
      <c r="MA4" s="11" t="s">
        <v>391</v>
      </c>
      <c r="MB4" s="11" t="s">
        <v>392</v>
      </c>
      <c r="MC4" s="11" t="s">
        <v>393</v>
      </c>
      <c r="MD4" s="11" t="s">
        <v>394</v>
      </c>
      <c r="ME4" s="11" t="s">
        <v>395</v>
      </c>
      <c r="MF4" s="11" t="s">
        <v>396</v>
      </c>
      <c r="MG4" s="11" t="s">
        <v>397</v>
      </c>
      <c r="MH4" s="11" t="s">
        <v>398</v>
      </c>
      <c r="MI4" s="11" t="s">
        <v>399</v>
      </c>
      <c r="MJ4" s="11" t="s">
        <v>400</v>
      </c>
      <c r="MK4" s="11" t="s">
        <v>401</v>
      </c>
      <c r="ML4" s="11" t="s">
        <v>402</v>
      </c>
      <c r="MM4" s="11" t="s">
        <v>403</v>
      </c>
      <c r="MN4" s="11" t="s">
        <v>404</v>
      </c>
      <c r="MO4" s="11" t="s">
        <v>405</v>
      </c>
      <c r="MP4" s="11" t="s">
        <v>406</v>
      </c>
      <c r="MQ4" s="11" t="s">
        <v>407</v>
      </c>
      <c r="MR4" s="11" t="s">
        <v>408</v>
      </c>
      <c r="MS4" s="11" t="s">
        <v>409</v>
      </c>
      <c r="MT4" s="11" t="s">
        <v>410</v>
      </c>
      <c r="MU4" s="11" t="s">
        <v>411</v>
      </c>
      <c r="MV4" s="11" t="s">
        <v>412</v>
      </c>
      <c r="MW4" s="11" t="s">
        <v>413</v>
      </c>
      <c r="MX4" s="11" t="s">
        <v>414</v>
      </c>
      <c r="MY4" s="11" t="s">
        <v>415</v>
      </c>
      <c r="MZ4" s="11" t="s">
        <v>416</v>
      </c>
      <c r="NA4" s="11" t="s">
        <v>417</v>
      </c>
      <c r="NB4" s="11" t="s">
        <v>418</v>
      </c>
      <c r="NC4" s="11" t="s">
        <v>419</v>
      </c>
      <c r="ND4" s="11" t="s">
        <v>420</v>
      </c>
      <c r="NE4" s="11" t="s">
        <v>421</v>
      </c>
      <c r="NF4" s="11" t="s">
        <v>422</v>
      </c>
      <c r="NG4" s="11" t="s">
        <v>423</v>
      </c>
      <c r="NH4" s="11" t="s">
        <v>424</v>
      </c>
      <c r="NI4" s="11" t="s">
        <v>425</v>
      </c>
      <c r="NJ4" s="11" t="s">
        <v>426</v>
      </c>
      <c r="NK4" s="11" t="s">
        <v>427</v>
      </c>
      <c r="NL4" s="11" t="s">
        <v>428</v>
      </c>
      <c r="NM4" s="11" t="s">
        <v>429</v>
      </c>
      <c r="NN4" s="11" t="s">
        <v>430</v>
      </c>
      <c r="NO4" s="11" t="s">
        <v>431</v>
      </c>
      <c r="NP4" s="11" t="s">
        <v>432</v>
      </c>
      <c r="NQ4" s="11" t="s">
        <v>433</v>
      </c>
      <c r="NR4" s="11" t="s">
        <v>434</v>
      </c>
      <c r="NS4" s="11" t="s">
        <v>435</v>
      </c>
      <c r="NT4" s="11" t="s">
        <v>436</v>
      </c>
      <c r="NU4" s="11" t="s">
        <v>437</v>
      </c>
      <c r="NV4" s="11" t="s">
        <v>438</v>
      </c>
      <c r="NW4" s="11" t="s">
        <v>439</v>
      </c>
      <c r="NX4" s="11" t="s">
        <v>440</v>
      </c>
      <c r="NY4" s="11" t="s">
        <v>441</v>
      </c>
      <c r="NZ4" s="11" t="s">
        <v>442</v>
      </c>
      <c r="OA4" s="11" t="s">
        <v>443</v>
      </c>
      <c r="OB4" s="11" t="s">
        <v>444</v>
      </c>
      <c r="OC4" s="11" t="s">
        <v>445</v>
      </c>
      <c r="OD4" s="11" t="s">
        <v>446</v>
      </c>
      <c r="OE4" s="11" t="s">
        <v>447</v>
      </c>
      <c r="OF4" s="11" t="s">
        <v>448</v>
      </c>
      <c r="OG4" s="11" t="s">
        <v>449</v>
      </c>
      <c r="OH4" s="11" t="s">
        <v>450</v>
      </c>
      <c r="OI4" s="11" t="s">
        <v>451</v>
      </c>
      <c r="OJ4" s="11" t="s">
        <v>452</v>
      </c>
      <c r="OK4" s="11" t="s">
        <v>453</v>
      </c>
      <c r="OL4" s="11" t="s">
        <v>454</v>
      </c>
      <c r="OM4" s="11" t="s">
        <v>455</v>
      </c>
      <c r="ON4" s="11" t="s">
        <v>456</v>
      </c>
      <c r="OO4" s="11" t="s">
        <v>457</v>
      </c>
      <c r="OP4" s="11" t="s">
        <v>458</v>
      </c>
      <c r="OQ4" s="11" t="s">
        <v>459</v>
      </c>
      <c r="OR4" s="11" t="s">
        <v>460</v>
      </c>
      <c r="OS4" s="11" t="s">
        <v>461</v>
      </c>
      <c r="OT4" s="11" t="s">
        <v>462</v>
      </c>
      <c r="OU4" s="11" t="s">
        <v>463</v>
      </c>
      <c r="OV4" s="11" t="s">
        <v>464</v>
      </c>
      <c r="OW4" s="11" t="s">
        <v>465</v>
      </c>
      <c r="OX4" s="11" t="s">
        <v>466</v>
      </c>
      <c r="OY4" s="11" t="s">
        <v>467</v>
      </c>
      <c r="OZ4" s="11" t="s">
        <v>468</v>
      </c>
      <c r="PA4" s="11" t="s">
        <v>469</v>
      </c>
      <c r="PB4" s="11" t="s">
        <v>470</v>
      </c>
      <c r="PC4" s="11" t="s">
        <v>471</v>
      </c>
      <c r="PD4" s="11" t="s">
        <v>472</v>
      </c>
      <c r="PE4" s="11" t="s">
        <v>473</v>
      </c>
      <c r="PF4" s="11" t="s">
        <v>474</v>
      </c>
      <c r="PG4" s="11" t="s">
        <v>475</v>
      </c>
      <c r="PH4" s="11" t="s">
        <v>476</v>
      </c>
      <c r="PI4" s="11" t="s">
        <v>477</v>
      </c>
      <c r="PJ4" s="11" t="s">
        <v>478</v>
      </c>
      <c r="PK4" s="11" t="s">
        <v>479</v>
      </c>
      <c r="PL4" s="11" t="s">
        <v>480</v>
      </c>
      <c r="PM4" s="11" t="s">
        <v>481</v>
      </c>
      <c r="PN4" s="11" t="s">
        <v>482</v>
      </c>
      <c r="PO4" s="11" t="s">
        <v>483</v>
      </c>
      <c r="PP4" s="11" t="s">
        <v>484</v>
      </c>
      <c r="PQ4" s="11" t="s">
        <v>485</v>
      </c>
      <c r="PR4" s="11" t="s">
        <v>486</v>
      </c>
      <c r="PS4" s="11" t="s">
        <v>487</v>
      </c>
      <c r="PT4" s="11" t="s">
        <v>488</v>
      </c>
      <c r="PU4" s="11" t="s">
        <v>489</v>
      </c>
      <c r="PV4" s="11" t="s">
        <v>490</v>
      </c>
      <c r="PW4" s="11" t="s">
        <v>491</v>
      </c>
      <c r="PX4" s="11" t="s">
        <v>492</v>
      </c>
      <c r="PY4" s="11" t="s">
        <v>493</v>
      </c>
      <c r="PZ4" s="11" t="s">
        <v>494</v>
      </c>
      <c r="QA4" s="11" t="s">
        <v>495</v>
      </c>
      <c r="QB4" s="11" t="s">
        <v>496</v>
      </c>
      <c r="QC4" s="11" t="s">
        <v>497</v>
      </c>
      <c r="QD4" s="11" t="s">
        <v>498</v>
      </c>
      <c r="QE4" s="11" t="s">
        <v>499</v>
      </c>
      <c r="QF4" s="11" t="s">
        <v>500</v>
      </c>
      <c r="QG4" s="11" t="s">
        <v>501</v>
      </c>
      <c r="QH4" s="11" t="s">
        <v>502</v>
      </c>
      <c r="QI4" s="11" t="s">
        <v>503</v>
      </c>
      <c r="QJ4" s="11" t="s">
        <v>504</v>
      </c>
      <c r="QK4" s="11" t="s">
        <v>505</v>
      </c>
      <c r="QL4" s="11" t="s">
        <v>506</v>
      </c>
      <c r="QM4" s="11" t="s">
        <v>507</v>
      </c>
      <c r="QN4" s="11" t="s">
        <v>508</v>
      </c>
      <c r="QO4" s="11" t="s">
        <v>509</v>
      </c>
      <c r="QP4" s="11" t="s">
        <v>510</v>
      </c>
      <c r="QQ4" s="11" t="s">
        <v>511</v>
      </c>
    </row>
    <row r="5" spans="2:5027" x14ac:dyDescent="0.25">
      <c r="B5" t="s">
        <v>521</v>
      </c>
      <c r="C5" t="s">
        <v>522</v>
      </c>
      <c r="D5" t="s">
        <v>523</v>
      </c>
      <c r="E5" t="s">
        <v>524</v>
      </c>
      <c r="F5" t="s">
        <v>525</v>
      </c>
      <c r="G5" t="s">
        <v>526</v>
      </c>
      <c r="H5" t="s">
        <v>527</v>
      </c>
      <c r="I5" t="s">
        <v>528</v>
      </c>
      <c r="J5" t="s">
        <v>529</v>
      </c>
      <c r="K5" t="s">
        <v>530</v>
      </c>
      <c r="L5" t="s">
        <v>531</v>
      </c>
      <c r="M5" t="s">
        <v>532</v>
      </c>
      <c r="N5" t="s">
        <v>533</v>
      </c>
      <c r="O5" t="s">
        <v>534</v>
      </c>
      <c r="P5" t="s">
        <v>535</v>
      </c>
      <c r="Q5" t="s">
        <v>536</v>
      </c>
      <c r="R5" t="s">
        <v>537</v>
      </c>
      <c r="S5" t="s">
        <v>538</v>
      </c>
      <c r="T5" t="s">
        <v>539</v>
      </c>
      <c r="U5" t="s">
        <v>540</v>
      </c>
      <c r="V5" t="s">
        <v>541</v>
      </c>
      <c r="W5" t="s">
        <v>542</v>
      </c>
      <c r="X5" t="s">
        <v>543</v>
      </c>
      <c r="Y5" t="s">
        <v>544</v>
      </c>
      <c r="Z5" t="s">
        <v>545</v>
      </c>
      <c r="AA5" t="s">
        <v>546</v>
      </c>
      <c r="AB5" t="s">
        <v>547</v>
      </c>
      <c r="AC5" t="s">
        <v>548</v>
      </c>
      <c r="AD5" t="s">
        <v>549</v>
      </c>
      <c r="AE5" t="s">
        <v>550</v>
      </c>
      <c r="AF5" t="s">
        <v>551</v>
      </c>
      <c r="AG5" t="s">
        <v>552</v>
      </c>
      <c r="AH5" t="s">
        <v>553</v>
      </c>
      <c r="AI5" t="s">
        <v>554</v>
      </c>
      <c r="AJ5" t="s">
        <v>555</v>
      </c>
      <c r="AK5" t="s">
        <v>556</v>
      </c>
      <c r="AL5" t="s">
        <v>557</v>
      </c>
      <c r="AM5" t="s">
        <v>558</v>
      </c>
      <c r="AN5" t="s">
        <v>559</v>
      </c>
      <c r="AO5" t="s">
        <v>560</v>
      </c>
      <c r="AP5" t="s">
        <v>561</v>
      </c>
      <c r="AQ5" t="s">
        <v>562</v>
      </c>
      <c r="AR5" t="s">
        <v>563</v>
      </c>
      <c r="AS5" t="s">
        <v>564</v>
      </c>
      <c r="AT5" t="s">
        <v>565</v>
      </c>
      <c r="AU5" t="s">
        <v>566</v>
      </c>
      <c r="AV5" t="s">
        <v>567</v>
      </c>
      <c r="AW5" t="s">
        <v>568</v>
      </c>
      <c r="AX5" t="s">
        <v>569</v>
      </c>
      <c r="AY5" t="s">
        <v>570</v>
      </c>
      <c r="AZ5" t="s">
        <v>571</v>
      </c>
      <c r="BA5" t="s">
        <v>572</v>
      </c>
      <c r="BB5" t="s">
        <v>573</v>
      </c>
      <c r="BC5" t="s">
        <v>574</v>
      </c>
      <c r="BD5" t="s">
        <v>575</v>
      </c>
      <c r="BE5" t="s">
        <v>576</v>
      </c>
      <c r="BF5" t="s">
        <v>577</v>
      </c>
      <c r="BG5" t="s">
        <v>578</v>
      </c>
      <c r="BH5" t="s">
        <v>579</v>
      </c>
      <c r="BI5" t="s">
        <v>580</v>
      </c>
      <c r="BJ5" t="s">
        <v>581</v>
      </c>
      <c r="BK5" t="s">
        <v>582</v>
      </c>
      <c r="BL5" t="s">
        <v>583</v>
      </c>
      <c r="BM5" t="s">
        <v>584</v>
      </c>
      <c r="BN5" t="s">
        <v>585</v>
      </c>
      <c r="BO5" t="s">
        <v>586</v>
      </c>
      <c r="BP5" t="s">
        <v>587</v>
      </c>
      <c r="BQ5" t="s">
        <v>588</v>
      </c>
      <c r="BR5" t="s">
        <v>589</v>
      </c>
      <c r="BS5" t="s">
        <v>979</v>
      </c>
      <c r="BT5" t="s">
        <v>590</v>
      </c>
      <c r="BU5" t="s">
        <v>591</v>
      </c>
      <c r="BV5" t="s">
        <v>592</v>
      </c>
      <c r="BW5" t="s">
        <v>593</v>
      </c>
      <c r="BX5" t="s">
        <v>594</v>
      </c>
      <c r="BY5" t="s">
        <v>595</v>
      </c>
      <c r="BZ5" t="s">
        <v>596</v>
      </c>
      <c r="CA5" t="s">
        <v>597</v>
      </c>
      <c r="CB5" t="s">
        <v>598</v>
      </c>
      <c r="CC5" t="s">
        <v>599</v>
      </c>
      <c r="CD5" t="s">
        <v>600</v>
      </c>
      <c r="CE5" t="s">
        <v>601</v>
      </c>
      <c r="CF5" t="s">
        <v>602</v>
      </c>
      <c r="CG5" t="s">
        <v>603</v>
      </c>
      <c r="CH5" t="s">
        <v>604</v>
      </c>
      <c r="CI5" t="s">
        <v>605</v>
      </c>
      <c r="CJ5" t="s">
        <v>606</v>
      </c>
      <c r="CK5" t="s">
        <v>607</v>
      </c>
      <c r="CL5" t="s">
        <v>608</v>
      </c>
      <c r="CM5" t="s">
        <v>609</v>
      </c>
      <c r="CN5" t="s">
        <v>610</v>
      </c>
      <c r="CO5" t="s">
        <v>611</v>
      </c>
      <c r="CP5" t="s">
        <v>612</v>
      </c>
      <c r="CQ5" t="s">
        <v>613</v>
      </c>
      <c r="CR5" t="s">
        <v>614</v>
      </c>
      <c r="CS5" t="s">
        <v>615</v>
      </c>
      <c r="CT5" t="s">
        <v>616</v>
      </c>
      <c r="CU5" t="s">
        <v>617</v>
      </c>
      <c r="CV5" t="s">
        <v>618</v>
      </c>
      <c r="CW5" t="s">
        <v>619</v>
      </c>
      <c r="CX5" t="s">
        <v>620</v>
      </c>
      <c r="CY5" t="s">
        <v>621</v>
      </c>
      <c r="CZ5" t="s">
        <v>622</v>
      </c>
      <c r="DA5" t="s">
        <v>623</v>
      </c>
      <c r="DB5" t="s">
        <v>624</v>
      </c>
      <c r="DC5" t="s">
        <v>625</v>
      </c>
      <c r="DD5" t="s">
        <v>626</v>
      </c>
      <c r="DE5" t="s">
        <v>627</v>
      </c>
      <c r="DF5" t="s">
        <v>628</v>
      </c>
      <c r="DG5" t="s">
        <v>629</v>
      </c>
      <c r="DH5" t="s">
        <v>630</v>
      </c>
      <c r="DI5" t="s">
        <v>631</v>
      </c>
      <c r="DJ5" t="s">
        <v>632</v>
      </c>
      <c r="DK5" t="s">
        <v>633</v>
      </c>
      <c r="DL5" t="s">
        <v>634</v>
      </c>
      <c r="DM5" t="s">
        <v>635</v>
      </c>
      <c r="DN5" t="s">
        <v>636</v>
      </c>
      <c r="DO5" t="s">
        <v>637</v>
      </c>
      <c r="DP5" t="s">
        <v>638</v>
      </c>
      <c r="DQ5" t="s">
        <v>639</v>
      </c>
      <c r="DR5" t="s">
        <v>640</v>
      </c>
      <c r="DS5" t="s">
        <v>641</v>
      </c>
      <c r="DT5" t="s">
        <v>642</v>
      </c>
      <c r="DU5" t="s">
        <v>643</v>
      </c>
      <c r="DV5" t="s">
        <v>644</v>
      </c>
      <c r="DW5" t="s">
        <v>645</v>
      </c>
      <c r="DX5" t="s">
        <v>646</v>
      </c>
      <c r="DY5" t="s">
        <v>647</v>
      </c>
      <c r="DZ5" t="s">
        <v>648</v>
      </c>
      <c r="EA5" t="s">
        <v>649</v>
      </c>
      <c r="EB5" t="s">
        <v>650</v>
      </c>
      <c r="EC5" t="s">
        <v>651</v>
      </c>
      <c r="ED5" t="s">
        <v>652</v>
      </c>
      <c r="EE5" t="s">
        <v>653</v>
      </c>
      <c r="EF5" t="s">
        <v>654</v>
      </c>
      <c r="EG5" t="s">
        <v>655</v>
      </c>
      <c r="EH5" t="s">
        <v>656</v>
      </c>
      <c r="EI5" t="s">
        <v>657</v>
      </c>
      <c r="EJ5" t="s">
        <v>658</v>
      </c>
      <c r="EK5" t="s">
        <v>659</v>
      </c>
      <c r="EL5" t="s">
        <v>660</v>
      </c>
      <c r="EM5" t="s">
        <v>661</v>
      </c>
      <c r="EN5" t="s">
        <v>662</v>
      </c>
      <c r="EO5" t="s">
        <v>663</v>
      </c>
      <c r="EP5" t="s">
        <v>664</v>
      </c>
      <c r="EQ5" t="s">
        <v>665</v>
      </c>
      <c r="ER5" t="s">
        <v>666</v>
      </c>
      <c r="ES5" t="s">
        <v>667</v>
      </c>
      <c r="ET5" t="s">
        <v>668</v>
      </c>
      <c r="EU5" t="s">
        <v>669</v>
      </c>
      <c r="EV5" t="s">
        <v>670</v>
      </c>
      <c r="EW5" t="s">
        <v>671</v>
      </c>
      <c r="EX5" t="s">
        <v>672</v>
      </c>
      <c r="EY5" t="s">
        <v>673</v>
      </c>
      <c r="EZ5" t="s">
        <v>674</v>
      </c>
      <c r="FA5" t="s">
        <v>675</v>
      </c>
      <c r="FB5" t="s">
        <v>676</v>
      </c>
      <c r="FC5" t="s">
        <v>677</v>
      </c>
      <c r="FD5" t="s">
        <v>678</v>
      </c>
      <c r="FE5" t="s">
        <v>679</v>
      </c>
      <c r="FF5" t="s">
        <v>680</v>
      </c>
      <c r="FG5" t="s">
        <v>681</v>
      </c>
      <c r="FH5" t="s">
        <v>682</v>
      </c>
      <c r="FI5" t="s">
        <v>683</v>
      </c>
      <c r="FJ5" t="s">
        <v>684</v>
      </c>
      <c r="FK5" t="s">
        <v>685</v>
      </c>
      <c r="FL5" t="s">
        <v>686</v>
      </c>
      <c r="FM5" t="s">
        <v>687</v>
      </c>
      <c r="FN5" t="s">
        <v>688</v>
      </c>
      <c r="FO5" t="s">
        <v>689</v>
      </c>
      <c r="FP5" t="s">
        <v>690</v>
      </c>
      <c r="FQ5" t="s">
        <v>691</v>
      </c>
      <c r="FR5" t="s">
        <v>692</v>
      </c>
      <c r="FS5" t="s">
        <v>693</v>
      </c>
      <c r="FT5" t="s">
        <v>694</v>
      </c>
      <c r="FU5" t="s">
        <v>695</v>
      </c>
      <c r="FV5" t="s">
        <v>696</v>
      </c>
      <c r="FW5" t="s">
        <v>697</v>
      </c>
      <c r="FX5" t="s">
        <v>698</v>
      </c>
      <c r="FY5" t="s">
        <v>699</v>
      </c>
      <c r="FZ5" t="s">
        <v>700</v>
      </c>
      <c r="GA5" t="s">
        <v>701</v>
      </c>
      <c r="GB5" t="s">
        <v>702</v>
      </c>
      <c r="GC5" t="s">
        <v>703</v>
      </c>
      <c r="GD5" t="s">
        <v>704</v>
      </c>
      <c r="GE5" t="s">
        <v>705</v>
      </c>
      <c r="GF5" t="s">
        <v>706</v>
      </c>
      <c r="GG5" t="s">
        <v>707</v>
      </c>
      <c r="GH5" t="s">
        <v>708</v>
      </c>
      <c r="GI5" t="s">
        <v>709</v>
      </c>
      <c r="GJ5" t="s">
        <v>710</v>
      </c>
      <c r="GK5" t="s">
        <v>711</v>
      </c>
      <c r="GL5" t="s">
        <v>712</v>
      </c>
      <c r="GM5" t="s">
        <v>713</v>
      </c>
      <c r="GN5" t="s">
        <v>714</v>
      </c>
      <c r="GO5" t="s">
        <v>715</v>
      </c>
      <c r="GP5" t="s">
        <v>716</v>
      </c>
      <c r="GQ5" t="s">
        <v>717</v>
      </c>
      <c r="GR5" t="s">
        <v>718</v>
      </c>
      <c r="GS5" t="s">
        <v>719</v>
      </c>
      <c r="GT5" t="s">
        <v>720</v>
      </c>
      <c r="GU5" t="s">
        <v>721</v>
      </c>
      <c r="GV5" t="s">
        <v>722</v>
      </c>
      <c r="GW5" t="s">
        <v>723</v>
      </c>
      <c r="GX5" t="s">
        <v>724</v>
      </c>
      <c r="GY5" t="s">
        <v>725</v>
      </c>
      <c r="GZ5" t="s">
        <v>726</v>
      </c>
      <c r="HA5" t="s">
        <v>727</v>
      </c>
      <c r="HB5" t="s">
        <v>728</v>
      </c>
      <c r="HC5" t="s">
        <v>729</v>
      </c>
      <c r="HD5" t="s">
        <v>730</v>
      </c>
      <c r="HE5" t="s">
        <v>731</v>
      </c>
      <c r="HF5" t="s">
        <v>732</v>
      </c>
      <c r="HG5" t="s">
        <v>733</v>
      </c>
      <c r="HH5" t="s">
        <v>734</v>
      </c>
      <c r="HI5" t="s">
        <v>735</v>
      </c>
      <c r="HJ5" t="s">
        <v>736</v>
      </c>
      <c r="HK5" t="s">
        <v>737</v>
      </c>
      <c r="HL5" t="s">
        <v>738</v>
      </c>
      <c r="HM5" t="s">
        <v>739</v>
      </c>
      <c r="HN5" t="s">
        <v>740</v>
      </c>
      <c r="HO5" t="s">
        <v>741</v>
      </c>
      <c r="HP5" t="s">
        <v>742</v>
      </c>
      <c r="HQ5" t="s">
        <v>743</v>
      </c>
      <c r="HR5" t="s">
        <v>744</v>
      </c>
      <c r="HS5" t="s">
        <v>745</v>
      </c>
      <c r="HT5" t="s">
        <v>746</v>
      </c>
      <c r="HU5" t="s">
        <v>747</v>
      </c>
      <c r="HV5" t="s">
        <v>748</v>
      </c>
      <c r="HW5" t="s">
        <v>749</v>
      </c>
      <c r="HX5" t="s">
        <v>750</v>
      </c>
      <c r="HY5" t="s">
        <v>751</v>
      </c>
      <c r="HZ5" t="s">
        <v>752</v>
      </c>
      <c r="IA5" t="s">
        <v>753</v>
      </c>
      <c r="IB5" t="s">
        <v>754</v>
      </c>
      <c r="IC5" t="s">
        <v>755</v>
      </c>
      <c r="ID5" t="s">
        <v>756</v>
      </c>
      <c r="IE5" t="s">
        <v>757</v>
      </c>
      <c r="IF5" t="s">
        <v>758</v>
      </c>
      <c r="IG5" t="s">
        <v>759</v>
      </c>
      <c r="IH5" t="s">
        <v>760</v>
      </c>
      <c r="II5" t="s">
        <v>761</v>
      </c>
      <c r="IJ5" t="s">
        <v>762</v>
      </c>
      <c r="IK5" t="s">
        <v>763</v>
      </c>
      <c r="IL5" t="s">
        <v>764</v>
      </c>
      <c r="IM5" t="s">
        <v>765</v>
      </c>
      <c r="IN5" t="s">
        <v>766</v>
      </c>
      <c r="IO5" t="s">
        <v>767</v>
      </c>
      <c r="IP5" t="s">
        <v>768</v>
      </c>
      <c r="IQ5" t="s">
        <v>769</v>
      </c>
      <c r="IR5" t="s">
        <v>770</v>
      </c>
      <c r="IS5" t="s">
        <v>771</v>
      </c>
      <c r="IT5" t="s">
        <v>772</v>
      </c>
      <c r="IU5" t="s">
        <v>773</v>
      </c>
      <c r="IV5" t="s">
        <v>774</v>
      </c>
      <c r="IW5" t="s">
        <v>775</v>
      </c>
      <c r="IX5" t="s">
        <v>776</v>
      </c>
      <c r="IY5" t="s">
        <v>777</v>
      </c>
      <c r="IZ5" t="s">
        <v>778</v>
      </c>
      <c r="JA5" t="s">
        <v>779</v>
      </c>
      <c r="JB5" t="s">
        <v>780</v>
      </c>
      <c r="JC5" t="s">
        <v>781</v>
      </c>
      <c r="JD5" t="s">
        <v>782</v>
      </c>
      <c r="JE5" t="s">
        <v>783</v>
      </c>
      <c r="JF5" t="s">
        <v>784</v>
      </c>
      <c r="JG5" t="s">
        <v>785</v>
      </c>
      <c r="JH5" t="s">
        <v>786</v>
      </c>
      <c r="JI5" t="s">
        <v>787</v>
      </c>
      <c r="JJ5" t="s">
        <v>788</v>
      </c>
      <c r="JK5" t="s">
        <v>789</v>
      </c>
      <c r="JL5" t="s">
        <v>790</v>
      </c>
      <c r="JM5" t="s">
        <v>791</v>
      </c>
      <c r="JN5" t="s">
        <v>792</v>
      </c>
      <c r="JO5" t="s">
        <v>793</v>
      </c>
      <c r="JP5" t="s">
        <v>794</v>
      </c>
      <c r="JQ5" t="s">
        <v>795</v>
      </c>
      <c r="JR5" t="s">
        <v>796</v>
      </c>
      <c r="JS5" t="s">
        <v>797</v>
      </c>
      <c r="JT5" t="s">
        <v>798</v>
      </c>
      <c r="JU5" t="s">
        <v>799</v>
      </c>
      <c r="JV5" t="s">
        <v>800</v>
      </c>
      <c r="JW5" t="s">
        <v>801</v>
      </c>
      <c r="JX5" t="s">
        <v>802</v>
      </c>
      <c r="JY5" t="s">
        <v>803</v>
      </c>
      <c r="JZ5" t="s">
        <v>804</v>
      </c>
      <c r="KA5" t="s">
        <v>805</v>
      </c>
      <c r="KB5" t="s">
        <v>806</v>
      </c>
      <c r="KC5" t="s">
        <v>807</v>
      </c>
      <c r="KD5" t="s">
        <v>808</v>
      </c>
      <c r="KE5" t="s">
        <v>809</v>
      </c>
      <c r="KF5" t="s">
        <v>810</v>
      </c>
      <c r="KG5" t="s">
        <v>811</v>
      </c>
      <c r="KH5" t="s">
        <v>812</v>
      </c>
      <c r="KI5" t="s">
        <v>813</v>
      </c>
      <c r="KJ5" t="s">
        <v>814</v>
      </c>
      <c r="KK5" t="s">
        <v>815</v>
      </c>
      <c r="KL5" t="s">
        <v>816</v>
      </c>
      <c r="KM5" t="s">
        <v>817</v>
      </c>
      <c r="KN5" t="s">
        <v>818</v>
      </c>
      <c r="KO5" t="s">
        <v>819</v>
      </c>
      <c r="KP5" t="s">
        <v>820</v>
      </c>
      <c r="KQ5" t="s">
        <v>821</v>
      </c>
      <c r="KR5" t="s">
        <v>822</v>
      </c>
      <c r="KS5" t="s">
        <v>823</v>
      </c>
      <c r="KT5" t="s">
        <v>824</v>
      </c>
      <c r="KU5" t="s">
        <v>825</v>
      </c>
      <c r="KV5" t="s">
        <v>826</v>
      </c>
      <c r="KW5" t="s">
        <v>827</v>
      </c>
      <c r="KX5" t="s">
        <v>828</v>
      </c>
      <c r="KY5" t="s">
        <v>829</v>
      </c>
      <c r="KZ5" t="s">
        <v>830</v>
      </c>
      <c r="LA5" t="s">
        <v>831</v>
      </c>
      <c r="LB5" t="s">
        <v>832</v>
      </c>
      <c r="LC5" t="s">
        <v>833</v>
      </c>
      <c r="LD5" t="s">
        <v>834</v>
      </c>
      <c r="LE5" t="s">
        <v>835</v>
      </c>
      <c r="LF5" t="s">
        <v>836</v>
      </c>
      <c r="LG5" t="s">
        <v>837</v>
      </c>
      <c r="LH5" t="s">
        <v>838</v>
      </c>
      <c r="LI5" t="s">
        <v>839</v>
      </c>
      <c r="LJ5" t="s">
        <v>840</v>
      </c>
      <c r="LK5" t="s">
        <v>841</v>
      </c>
      <c r="LL5" t="s">
        <v>842</v>
      </c>
      <c r="LM5" t="s">
        <v>843</v>
      </c>
      <c r="LN5" t="s">
        <v>844</v>
      </c>
      <c r="LO5" t="s">
        <v>845</v>
      </c>
      <c r="LP5" t="s">
        <v>846</v>
      </c>
      <c r="LQ5" t="s">
        <v>847</v>
      </c>
      <c r="LR5" t="s">
        <v>848</v>
      </c>
      <c r="LS5" t="s">
        <v>849</v>
      </c>
      <c r="LT5" t="s">
        <v>850</v>
      </c>
      <c r="LU5" t="s">
        <v>851</v>
      </c>
      <c r="LV5" t="s">
        <v>852</v>
      </c>
      <c r="LW5" t="s">
        <v>853</v>
      </c>
      <c r="LX5" t="s">
        <v>854</v>
      </c>
      <c r="LY5" t="s">
        <v>855</v>
      </c>
      <c r="LZ5" t="s">
        <v>856</v>
      </c>
      <c r="MA5" t="s">
        <v>857</v>
      </c>
      <c r="MB5" t="s">
        <v>858</v>
      </c>
      <c r="MC5" t="s">
        <v>859</v>
      </c>
      <c r="MD5" t="s">
        <v>860</v>
      </c>
      <c r="ME5" t="s">
        <v>861</v>
      </c>
      <c r="MF5" t="s">
        <v>862</v>
      </c>
      <c r="MG5" t="s">
        <v>863</v>
      </c>
      <c r="MH5" t="s">
        <v>864</v>
      </c>
      <c r="MI5" t="s">
        <v>865</v>
      </c>
      <c r="MJ5" t="s">
        <v>866</v>
      </c>
      <c r="MK5" t="s">
        <v>867</v>
      </c>
      <c r="ML5" t="s">
        <v>868</v>
      </c>
      <c r="MM5" t="s">
        <v>869</v>
      </c>
      <c r="MN5" t="s">
        <v>870</v>
      </c>
      <c r="MO5" t="s">
        <v>871</v>
      </c>
      <c r="MP5" t="s">
        <v>872</v>
      </c>
      <c r="MQ5" t="s">
        <v>873</v>
      </c>
      <c r="MR5" t="s">
        <v>874</v>
      </c>
      <c r="MS5" t="s">
        <v>875</v>
      </c>
      <c r="MT5" t="s">
        <v>876</v>
      </c>
      <c r="MU5" t="s">
        <v>877</v>
      </c>
      <c r="MV5" t="s">
        <v>878</v>
      </c>
      <c r="MW5" t="s">
        <v>879</v>
      </c>
      <c r="MX5" t="s">
        <v>880</v>
      </c>
      <c r="MY5" t="s">
        <v>881</v>
      </c>
      <c r="MZ5" t="s">
        <v>882</v>
      </c>
      <c r="NA5" t="s">
        <v>883</v>
      </c>
      <c r="NB5" t="s">
        <v>884</v>
      </c>
      <c r="NC5" t="s">
        <v>885</v>
      </c>
      <c r="ND5" t="s">
        <v>886</v>
      </c>
      <c r="NE5" t="s">
        <v>887</v>
      </c>
      <c r="NF5" t="s">
        <v>888</v>
      </c>
      <c r="NG5" t="s">
        <v>889</v>
      </c>
      <c r="NH5" t="s">
        <v>890</v>
      </c>
      <c r="NI5" t="s">
        <v>891</v>
      </c>
      <c r="NJ5" t="s">
        <v>892</v>
      </c>
      <c r="NK5" t="s">
        <v>893</v>
      </c>
      <c r="NL5" t="s">
        <v>894</v>
      </c>
      <c r="NM5" t="s">
        <v>895</v>
      </c>
      <c r="NN5" t="s">
        <v>896</v>
      </c>
      <c r="NO5" t="s">
        <v>897</v>
      </c>
      <c r="NP5" t="s">
        <v>898</v>
      </c>
      <c r="NQ5" t="s">
        <v>899</v>
      </c>
      <c r="NR5" t="s">
        <v>900</v>
      </c>
      <c r="NS5" t="s">
        <v>901</v>
      </c>
      <c r="NT5" t="s">
        <v>902</v>
      </c>
      <c r="NU5" t="s">
        <v>903</v>
      </c>
      <c r="NV5" t="s">
        <v>904</v>
      </c>
      <c r="NW5" t="s">
        <v>905</v>
      </c>
      <c r="NX5" t="s">
        <v>906</v>
      </c>
      <c r="NY5" t="s">
        <v>907</v>
      </c>
      <c r="NZ5" t="s">
        <v>908</v>
      </c>
      <c r="OA5" t="s">
        <v>909</v>
      </c>
      <c r="OB5" t="s">
        <v>910</v>
      </c>
      <c r="OC5" t="s">
        <v>911</v>
      </c>
      <c r="OD5" t="s">
        <v>912</v>
      </c>
      <c r="OE5" t="s">
        <v>913</v>
      </c>
      <c r="OF5" t="s">
        <v>914</v>
      </c>
      <c r="OG5" t="s">
        <v>915</v>
      </c>
      <c r="OH5" t="s">
        <v>916</v>
      </c>
      <c r="OI5" t="s">
        <v>917</v>
      </c>
      <c r="OJ5" t="s">
        <v>918</v>
      </c>
      <c r="OK5" t="s">
        <v>919</v>
      </c>
      <c r="OL5" t="s">
        <v>920</v>
      </c>
      <c r="OM5" t="s">
        <v>921</v>
      </c>
      <c r="ON5" t="s">
        <v>922</v>
      </c>
      <c r="OO5" t="s">
        <v>923</v>
      </c>
      <c r="OP5" t="s">
        <v>924</v>
      </c>
      <c r="OQ5" t="s">
        <v>925</v>
      </c>
      <c r="OR5" t="s">
        <v>926</v>
      </c>
      <c r="OS5" t="s">
        <v>927</v>
      </c>
      <c r="OT5" t="s">
        <v>928</v>
      </c>
      <c r="OU5" t="s">
        <v>929</v>
      </c>
      <c r="OV5" t="s">
        <v>930</v>
      </c>
      <c r="OW5" t="s">
        <v>931</v>
      </c>
      <c r="OX5" t="s">
        <v>932</v>
      </c>
      <c r="OY5" t="s">
        <v>933</v>
      </c>
      <c r="OZ5" t="s">
        <v>934</v>
      </c>
      <c r="PA5" t="s">
        <v>935</v>
      </c>
      <c r="PB5" t="s">
        <v>936</v>
      </c>
      <c r="PC5" t="s">
        <v>937</v>
      </c>
      <c r="PD5" t="s">
        <v>938</v>
      </c>
      <c r="PE5" t="s">
        <v>939</v>
      </c>
      <c r="PF5" t="s">
        <v>940</v>
      </c>
      <c r="PG5" t="s">
        <v>941</v>
      </c>
      <c r="PH5" t="s">
        <v>942</v>
      </c>
      <c r="PI5" t="s">
        <v>943</v>
      </c>
      <c r="PJ5" t="s">
        <v>944</v>
      </c>
      <c r="PK5" t="s">
        <v>945</v>
      </c>
      <c r="PL5" t="s">
        <v>946</v>
      </c>
      <c r="PM5" t="s">
        <v>947</v>
      </c>
      <c r="PN5" t="s">
        <v>948</v>
      </c>
      <c r="PO5" t="s">
        <v>949</v>
      </c>
      <c r="PP5" t="s">
        <v>950</v>
      </c>
      <c r="PQ5" t="s">
        <v>951</v>
      </c>
      <c r="PR5" t="s">
        <v>952</v>
      </c>
      <c r="PS5" t="s">
        <v>953</v>
      </c>
      <c r="PT5" t="s">
        <v>954</v>
      </c>
      <c r="PU5" t="s">
        <v>955</v>
      </c>
      <c r="PV5" t="s">
        <v>956</v>
      </c>
      <c r="PW5" t="s">
        <v>957</v>
      </c>
      <c r="PX5" t="s">
        <v>958</v>
      </c>
      <c r="PY5" t="s">
        <v>959</v>
      </c>
      <c r="PZ5" t="s">
        <v>960</v>
      </c>
      <c r="QA5" t="s">
        <v>961</v>
      </c>
      <c r="QB5" t="s">
        <v>962</v>
      </c>
      <c r="QC5" t="s">
        <v>963</v>
      </c>
      <c r="QD5" t="s">
        <v>964</v>
      </c>
      <c r="QE5" t="s">
        <v>965</v>
      </c>
      <c r="QF5" t="s">
        <v>966</v>
      </c>
      <c r="QG5" t="s">
        <v>967</v>
      </c>
      <c r="QH5" t="s">
        <v>968</v>
      </c>
      <c r="QI5" t="s">
        <v>969</v>
      </c>
      <c r="QJ5" t="s">
        <v>970</v>
      </c>
      <c r="QK5" t="s">
        <v>971</v>
      </c>
      <c r="QL5" t="s">
        <v>972</v>
      </c>
      <c r="QM5" t="s">
        <v>973</v>
      </c>
      <c r="QN5" t="s">
        <v>974</v>
      </c>
      <c r="QO5" t="s">
        <v>975</v>
      </c>
      <c r="QP5" t="s">
        <v>976</v>
      </c>
      <c r="QQ5" t="s">
        <v>977</v>
      </c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  <c r="CRH5"/>
      <c r="CRI5"/>
      <c r="CRJ5"/>
      <c r="CRK5"/>
      <c r="CRL5"/>
      <c r="CRM5"/>
      <c r="CRN5"/>
      <c r="CRO5"/>
      <c r="CRP5"/>
      <c r="CRQ5"/>
      <c r="CRR5"/>
      <c r="CRS5"/>
      <c r="CRT5"/>
      <c r="CRU5"/>
      <c r="CRV5"/>
      <c r="CRW5"/>
      <c r="CRX5"/>
      <c r="CRY5"/>
      <c r="CRZ5"/>
      <c r="CSA5"/>
      <c r="CSB5"/>
      <c r="CSC5"/>
      <c r="CSD5"/>
      <c r="CSE5"/>
      <c r="CSF5"/>
      <c r="CSG5"/>
      <c r="CSH5"/>
      <c r="CSI5"/>
      <c r="CSJ5"/>
      <c r="CSK5"/>
      <c r="CSL5"/>
      <c r="CSM5"/>
      <c r="CSN5"/>
      <c r="CSO5"/>
      <c r="CSP5"/>
      <c r="CSQ5"/>
      <c r="CSR5"/>
      <c r="CSS5"/>
      <c r="CST5"/>
      <c r="CSU5"/>
      <c r="CSV5"/>
      <c r="CSW5"/>
      <c r="CSX5"/>
      <c r="CSY5"/>
      <c r="CSZ5"/>
      <c r="CTA5"/>
      <c r="CTB5"/>
      <c r="CTC5"/>
      <c r="CTD5"/>
      <c r="CTE5"/>
      <c r="CTF5"/>
      <c r="CTG5"/>
      <c r="CTH5"/>
      <c r="CTI5"/>
      <c r="CTJ5"/>
      <c r="CTK5"/>
      <c r="CTL5"/>
      <c r="CTM5"/>
      <c r="CTN5"/>
      <c r="CTO5"/>
      <c r="CTP5"/>
      <c r="CTQ5"/>
      <c r="CTR5"/>
      <c r="CTS5"/>
      <c r="CTT5"/>
      <c r="CTU5"/>
      <c r="CTV5"/>
      <c r="CTW5"/>
      <c r="CTX5"/>
      <c r="CTY5"/>
      <c r="CTZ5"/>
      <c r="CUA5"/>
      <c r="CUB5"/>
      <c r="CUC5"/>
      <c r="CUD5"/>
      <c r="CUE5"/>
      <c r="CUF5"/>
      <c r="CUG5"/>
      <c r="CUH5"/>
      <c r="CUI5"/>
      <c r="CUJ5"/>
      <c r="CUK5"/>
      <c r="CUL5"/>
      <c r="CUM5"/>
      <c r="CUN5"/>
      <c r="CUO5"/>
      <c r="CUP5"/>
      <c r="CUQ5"/>
      <c r="CUR5"/>
      <c r="CUS5"/>
      <c r="CUT5"/>
      <c r="CUU5"/>
      <c r="CUV5"/>
      <c r="CUW5"/>
      <c r="CUX5"/>
      <c r="CUY5"/>
      <c r="CUZ5"/>
      <c r="CVA5"/>
      <c r="CVB5"/>
      <c r="CVC5"/>
      <c r="CVD5"/>
      <c r="CVE5"/>
      <c r="CVF5"/>
      <c r="CVG5"/>
      <c r="CVH5"/>
      <c r="CVI5"/>
      <c r="CVJ5"/>
      <c r="CVK5"/>
      <c r="CVL5"/>
      <c r="CVM5"/>
      <c r="CVN5"/>
      <c r="CVO5"/>
      <c r="CVP5"/>
      <c r="CVQ5"/>
      <c r="CVR5"/>
      <c r="CVS5"/>
      <c r="CVT5"/>
      <c r="CVU5"/>
      <c r="CVV5"/>
      <c r="CVW5"/>
      <c r="CVX5"/>
      <c r="CVY5"/>
      <c r="CVZ5"/>
      <c r="CWA5"/>
      <c r="CWB5"/>
      <c r="CWC5"/>
      <c r="CWD5"/>
      <c r="CWE5"/>
      <c r="CWF5"/>
      <c r="CWG5"/>
      <c r="CWH5"/>
      <c r="CWI5"/>
      <c r="CWJ5"/>
      <c r="CWK5"/>
      <c r="CWL5"/>
      <c r="CWM5"/>
      <c r="CWN5"/>
      <c r="CWO5"/>
      <c r="CWP5"/>
      <c r="CWQ5"/>
      <c r="CWR5"/>
      <c r="CWS5"/>
      <c r="CWT5"/>
      <c r="CWU5"/>
      <c r="CWV5"/>
      <c r="CWW5"/>
      <c r="CWX5"/>
      <c r="CWY5"/>
      <c r="CWZ5"/>
      <c r="CXA5"/>
      <c r="CXB5"/>
      <c r="CXC5"/>
      <c r="CXD5"/>
      <c r="CXE5"/>
      <c r="CXF5"/>
      <c r="CXG5"/>
      <c r="CXH5"/>
      <c r="CXI5"/>
      <c r="CXJ5"/>
      <c r="CXK5"/>
      <c r="CXL5"/>
      <c r="CXM5"/>
      <c r="CXN5"/>
      <c r="CXO5"/>
      <c r="CXP5"/>
      <c r="CXQ5"/>
      <c r="CXR5"/>
      <c r="CXS5"/>
      <c r="CXT5"/>
      <c r="CXU5"/>
      <c r="CXV5"/>
      <c r="CXW5"/>
      <c r="CXX5"/>
      <c r="CXY5"/>
      <c r="CXZ5"/>
      <c r="CYA5"/>
      <c r="CYB5"/>
      <c r="CYC5"/>
      <c r="CYD5"/>
      <c r="CYE5"/>
      <c r="CYF5"/>
      <c r="CYG5"/>
      <c r="CYH5"/>
      <c r="CYI5"/>
      <c r="CYJ5"/>
      <c r="CYK5"/>
      <c r="CYL5"/>
      <c r="CYM5"/>
      <c r="CYN5"/>
      <c r="CYO5"/>
      <c r="CYP5"/>
      <c r="CYQ5"/>
      <c r="CYR5"/>
      <c r="CYS5"/>
      <c r="CYT5"/>
      <c r="CYU5"/>
      <c r="CYV5"/>
      <c r="CYW5"/>
      <c r="CYX5"/>
      <c r="CYY5"/>
      <c r="CYZ5"/>
      <c r="CZA5"/>
      <c r="CZB5"/>
      <c r="CZC5"/>
      <c r="CZD5"/>
      <c r="CZE5"/>
      <c r="CZF5"/>
      <c r="CZG5"/>
      <c r="CZH5"/>
      <c r="CZI5"/>
      <c r="CZJ5"/>
      <c r="CZK5"/>
      <c r="CZL5"/>
      <c r="CZM5"/>
      <c r="CZN5"/>
      <c r="CZO5"/>
      <c r="CZP5"/>
      <c r="CZQ5"/>
      <c r="CZR5"/>
      <c r="CZS5"/>
      <c r="CZT5"/>
      <c r="CZU5"/>
      <c r="CZV5"/>
      <c r="CZW5"/>
      <c r="CZX5"/>
      <c r="CZY5"/>
      <c r="CZZ5"/>
      <c r="DAA5"/>
      <c r="DAB5"/>
      <c r="DAC5"/>
      <c r="DAD5"/>
      <c r="DAE5"/>
      <c r="DAF5"/>
      <c r="DAG5"/>
      <c r="DAH5"/>
      <c r="DAI5"/>
      <c r="DAJ5"/>
      <c r="DAK5"/>
      <c r="DAL5"/>
      <c r="DAM5"/>
      <c r="DAN5"/>
      <c r="DAO5"/>
      <c r="DAP5"/>
      <c r="DAQ5"/>
      <c r="DAR5"/>
      <c r="DAS5"/>
      <c r="DAT5"/>
      <c r="DAU5"/>
      <c r="DAV5"/>
      <c r="DAW5"/>
      <c r="DAX5"/>
      <c r="DAY5"/>
      <c r="DAZ5"/>
      <c r="DBA5"/>
      <c r="DBB5"/>
      <c r="DBC5"/>
      <c r="DBD5"/>
      <c r="DBE5"/>
      <c r="DBF5"/>
      <c r="DBG5"/>
      <c r="DBH5"/>
      <c r="DBI5"/>
      <c r="DBJ5"/>
      <c r="DBK5"/>
      <c r="DBL5"/>
      <c r="DBM5"/>
      <c r="DBN5"/>
      <c r="DBO5"/>
      <c r="DBP5"/>
      <c r="DBQ5"/>
      <c r="DBR5"/>
      <c r="DBS5"/>
      <c r="DBT5"/>
      <c r="DBU5"/>
      <c r="DBV5"/>
      <c r="DBW5"/>
      <c r="DBX5"/>
      <c r="DBY5"/>
      <c r="DBZ5"/>
      <c r="DCA5"/>
      <c r="DCB5"/>
      <c r="DCC5"/>
      <c r="DCD5"/>
      <c r="DCE5"/>
      <c r="DCF5"/>
      <c r="DCG5"/>
      <c r="DCH5"/>
      <c r="DCI5"/>
      <c r="DCJ5"/>
      <c r="DCK5"/>
      <c r="DCL5"/>
      <c r="DCM5"/>
      <c r="DCN5"/>
      <c r="DCO5"/>
      <c r="DCP5"/>
      <c r="DCQ5"/>
      <c r="DCR5"/>
      <c r="DCS5"/>
      <c r="DCT5"/>
      <c r="DCU5"/>
      <c r="DCV5"/>
      <c r="DCW5"/>
      <c r="DCX5"/>
      <c r="DCY5"/>
      <c r="DCZ5"/>
      <c r="DDA5"/>
      <c r="DDB5"/>
      <c r="DDC5"/>
      <c r="DDD5"/>
      <c r="DDE5"/>
      <c r="DDF5"/>
      <c r="DDG5"/>
      <c r="DDH5"/>
      <c r="DDI5"/>
      <c r="DDJ5"/>
      <c r="DDK5"/>
      <c r="DDL5"/>
      <c r="DDM5"/>
      <c r="DDN5"/>
      <c r="DDO5"/>
      <c r="DDP5"/>
      <c r="DDQ5"/>
      <c r="DDR5"/>
      <c r="DDS5"/>
      <c r="DDT5"/>
      <c r="DDU5"/>
      <c r="DDV5"/>
      <c r="DDW5"/>
      <c r="DDX5"/>
      <c r="DDY5"/>
      <c r="DDZ5"/>
      <c r="DEA5"/>
      <c r="DEB5"/>
      <c r="DEC5"/>
      <c r="DED5"/>
      <c r="DEE5"/>
      <c r="DEF5"/>
      <c r="DEG5"/>
      <c r="DEH5"/>
      <c r="DEI5"/>
      <c r="DEJ5"/>
      <c r="DEK5"/>
      <c r="DEL5"/>
      <c r="DEM5"/>
      <c r="DEN5"/>
      <c r="DEO5"/>
      <c r="DEP5"/>
      <c r="DEQ5"/>
      <c r="DER5"/>
      <c r="DES5"/>
      <c r="DET5"/>
      <c r="DEU5"/>
      <c r="DEV5"/>
      <c r="DEW5"/>
      <c r="DEX5"/>
      <c r="DEY5"/>
      <c r="DEZ5"/>
      <c r="DFA5"/>
      <c r="DFB5"/>
      <c r="DFC5"/>
      <c r="DFD5"/>
      <c r="DFE5"/>
      <c r="DFF5"/>
      <c r="DFG5"/>
      <c r="DFH5"/>
      <c r="DFI5"/>
      <c r="DFJ5"/>
      <c r="DFK5"/>
      <c r="DFL5"/>
      <c r="DFM5"/>
      <c r="DFN5"/>
      <c r="DFO5"/>
      <c r="DFP5"/>
      <c r="DFQ5"/>
      <c r="DFR5"/>
      <c r="DFS5"/>
      <c r="DFT5"/>
      <c r="DFU5"/>
      <c r="DFV5"/>
      <c r="DFW5"/>
      <c r="DFX5"/>
      <c r="DFY5"/>
      <c r="DFZ5"/>
      <c r="DGA5"/>
      <c r="DGB5"/>
      <c r="DGC5"/>
      <c r="DGD5"/>
      <c r="DGE5"/>
      <c r="DGF5"/>
      <c r="DGG5"/>
      <c r="DGH5"/>
      <c r="DGI5"/>
      <c r="DGJ5"/>
      <c r="DGK5"/>
      <c r="DGL5"/>
      <c r="DGM5"/>
      <c r="DGN5"/>
      <c r="DGO5"/>
      <c r="DGP5"/>
      <c r="DGQ5"/>
      <c r="DGR5"/>
      <c r="DGS5"/>
      <c r="DGT5"/>
      <c r="DGU5"/>
      <c r="DGV5"/>
      <c r="DGW5"/>
      <c r="DGX5"/>
      <c r="DGY5"/>
      <c r="DGZ5"/>
      <c r="DHA5"/>
      <c r="DHB5"/>
      <c r="DHC5"/>
      <c r="DHD5"/>
      <c r="DHE5"/>
      <c r="DHF5"/>
      <c r="DHG5"/>
      <c r="DHH5"/>
      <c r="DHI5"/>
      <c r="DHJ5"/>
      <c r="DHK5"/>
      <c r="DHL5"/>
      <c r="DHM5"/>
      <c r="DHN5"/>
      <c r="DHO5"/>
      <c r="DHP5"/>
      <c r="DHQ5"/>
      <c r="DHR5"/>
      <c r="DHS5"/>
      <c r="DHT5"/>
      <c r="DHU5"/>
      <c r="DHV5"/>
      <c r="DHW5"/>
      <c r="DHX5"/>
      <c r="DHY5"/>
      <c r="DHZ5"/>
      <c r="DIA5"/>
      <c r="DIB5"/>
      <c r="DIC5"/>
      <c r="DID5"/>
      <c r="DIE5"/>
      <c r="DIF5"/>
      <c r="DIG5"/>
      <c r="DIH5"/>
      <c r="DII5"/>
      <c r="DIJ5"/>
      <c r="DIK5"/>
      <c r="DIL5"/>
      <c r="DIM5"/>
      <c r="DIN5"/>
      <c r="DIO5"/>
      <c r="DIP5"/>
      <c r="DIQ5"/>
      <c r="DIR5"/>
      <c r="DIS5"/>
      <c r="DIT5"/>
      <c r="DIU5"/>
      <c r="DIV5"/>
      <c r="DIW5"/>
      <c r="DIX5"/>
      <c r="DIY5"/>
      <c r="DIZ5"/>
      <c r="DJA5"/>
      <c r="DJB5"/>
      <c r="DJC5"/>
      <c r="DJD5"/>
      <c r="DJE5"/>
      <c r="DJF5"/>
      <c r="DJG5"/>
      <c r="DJH5"/>
      <c r="DJI5"/>
      <c r="DJJ5"/>
      <c r="DJK5"/>
      <c r="DJL5"/>
      <c r="DJM5"/>
      <c r="DJN5"/>
      <c r="DJO5"/>
      <c r="DJP5"/>
      <c r="DJQ5"/>
      <c r="DJR5"/>
      <c r="DJS5"/>
      <c r="DJT5"/>
      <c r="DJU5"/>
      <c r="DJV5"/>
      <c r="DJW5"/>
      <c r="DJX5"/>
      <c r="DJY5"/>
      <c r="DJZ5"/>
      <c r="DKA5"/>
      <c r="DKB5"/>
      <c r="DKC5"/>
      <c r="DKD5"/>
      <c r="DKE5"/>
      <c r="DKF5"/>
      <c r="DKG5"/>
      <c r="DKH5"/>
      <c r="DKI5"/>
      <c r="DKJ5"/>
      <c r="DKK5"/>
      <c r="DKL5"/>
      <c r="DKM5"/>
      <c r="DKN5"/>
      <c r="DKO5"/>
      <c r="DKP5"/>
      <c r="DKQ5"/>
      <c r="DKR5"/>
      <c r="DKS5"/>
      <c r="DKT5"/>
      <c r="DKU5"/>
      <c r="DKV5"/>
      <c r="DKW5"/>
      <c r="DKX5"/>
      <c r="DKY5"/>
      <c r="DKZ5"/>
      <c r="DLA5"/>
      <c r="DLB5"/>
      <c r="DLC5"/>
      <c r="DLD5"/>
      <c r="DLE5"/>
      <c r="DLF5"/>
      <c r="DLG5"/>
      <c r="DLH5"/>
      <c r="DLI5"/>
      <c r="DLJ5"/>
      <c r="DLK5"/>
      <c r="DLL5"/>
      <c r="DLM5"/>
      <c r="DLN5"/>
      <c r="DLO5"/>
      <c r="DLP5"/>
      <c r="DLQ5"/>
      <c r="DLR5"/>
      <c r="DLS5"/>
      <c r="DLT5"/>
      <c r="DLU5"/>
      <c r="DLV5"/>
      <c r="DLW5"/>
      <c r="DLX5"/>
      <c r="DLY5"/>
      <c r="DLZ5"/>
      <c r="DMA5"/>
      <c r="DMB5"/>
      <c r="DMC5"/>
      <c r="DMD5"/>
      <c r="DME5"/>
      <c r="DMF5"/>
      <c r="DMG5"/>
      <c r="DMH5"/>
      <c r="DMI5"/>
      <c r="DMJ5"/>
      <c r="DMK5"/>
      <c r="DML5"/>
      <c r="DMM5"/>
      <c r="DMN5"/>
      <c r="DMO5"/>
      <c r="DMP5"/>
      <c r="DMQ5"/>
      <c r="DMR5"/>
      <c r="DMS5"/>
      <c r="DMT5"/>
      <c r="DMU5"/>
      <c r="DMV5"/>
      <c r="DMW5"/>
      <c r="DMX5"/>
      <c r="DMY5"/>
      <c r="DMZ5"/>
      <c r="DNA5"/>
      <c r="DNB5"/>
      <c r="DNC5"/>
      <c r="DND5"/>
      <c r="DNE5"/>
      <c r="DNF5"/>
      <c r="DNG5"/>
      <c r="DNH5"/>
      <c r="DNI5"/>
      <c r="DNJ5"/>
      <c r="DNK5"/>
      <c r="DNL5"/>
      <c r="DNM5"/>
      <c r="DNN5"/>
      <c r="DNO5"/>
      <c r="DNP5"/>
      <c r="DNQ5"/>
      <c r="DNR5"/>
      <c r="DNS5"/>
      <c r="DNT5"/>
      <c r="DNU5"/>
      <c r="DNV5"/>
      <c r="DNW5"/>
      <c r="DNX5"/>
      <c r="DNY5"/>
      <c r="DNZ5"/>
      <c r="DOA5"/>
      <c r="DOB5"/>
      <c r="DOC5"/>
      <c r="DOD5"/>
      <c r="DOE5"/>
      <c r="DOF5"/>
      <c r="DOG5"/>
      <c r="DOH5"/>
      <c r="DOI5"/>
      <c r="DOJ5"/>
      <c r="DOK5"/>
      <c r="DOL5"/>
      <c r="DOM5"/>
      <c r="DON5"/>
      <c r="DOO5"/>
      <c r="DOP5"/>
      <c r="DOQ5"/>
      <c r="DOR5"/>
      <c r="DOS5"/>
      <c r="DOT5"/>
      <c r="DOU5"/>
      <c r="DOV5"/>
      <c r="DOW5"/>
      <c r="DOX5"/>
      <c r="DOY5"/>
      <c r="DOZ5"/>
      <c r="DPA5"/>
      <c r="DPB5"/>
      <c r="DPC5"/>
      <c r="DPD5"/>
      <c r="DPE5"/>
      <c r="DPF5"/>
      <c r="DPG5"/>
      <c r="DPH5"/>
      <c r="DPI5"/>
      <c r="DPJ5"/>
      <c r="DPK5"/>
      <c r="DPL5"/>
      <c r="DPM5"/>
      <c r="DPN5"/>
      <c r="DPO5"/>
      <c r="DPP5"/>
      <c r="DPQ5"/>
      <c r="DPR5"/>
      <c r="DPS5"/>
      <c r="DPT5"/>
      <c r="DPU5"/>
      <c r="DPV5"/>
      <c r="DPW5"/>
      <c r="DPX5"/>
      <c r="DPY5"/>
      <c r="DPZ5"/>
      <c r="DQA5"/>
      <c r="DQB5"/>
      <c r="DQC5"/>
      <c r="DQD5"/>
      <c r="DQE5"/>
      <c r="DQF5"/>
      <c r="DQG5"/>
      <c r="DQH5"/>
      <c r="DQI5"/>
      <c r="DQJ5"/>
      <c r="DQK5"/>
      <c r="DQL5"/>
      <c r="DQM5"/>
      <c r="DQN5"/>
      <c r="DQO5"/>
      <c r="DQP5"/>
      <c r="DQQ5"/>
      <c r="DQR5"/>
      <c r="DQS5"/>
      <c r="DQT5"/>
      <c r="DQU5"/>
      <c r="DQV5"/>
      <c r="DQW5"/>
      <c r="DQX5"/>
      <c r="DQY5"/>
      <c r="DQZ5"/>
      <c r="DRA5"/>
      <c r="DRB5"/>
      <c r="DRC5"/>
      <c r="DRD5"/>
      <c r="DRE5"/>
      <c r="DRF5"/>
      <c r="DRG5"/>
      <c r="DRH5"/>
      <c r="DRI5"/>
      <c r="DRJ5"/>
      <c r="DRK5"/>
      <c r="DRL5"/>
      <c r="DRM5"/>
      <c r="DRN5"/>
      <c r="DRO5"/>
      <c r="DRP5"/>
      <c r="DRQ5"/>
      <c r="DRR5"/>
      <c r="DRS5"/>
      <c r="DRT5"/>
      <c r="DRU5"/>
      <c r="DRV5"/>
      <c r="DRW5"/>
      <c r="DRX5"/>
      <c r="DRY5"/>
      <c r="DRZ5"/>
      <c r="DSA5"/>
      <c r="DSB5"/>
      <c r="DSC5"/>
      <c r="DSD5"/>
      <c r="DSE5"/>
      <c r="DSF5"/>
      <c r="DSG5"/>
      <c r="DSH5"/>
      <c r="DSI5"/>
      <c r="DSJ5"/>
      <c r="DSK5"/>
      <c r="DSL5"/>
      <c r="DSM5"/>
      <c r="DSN5"/>
      <c r="DSO5"/>
      <c r="DSP5"/>
      <c r="DSQ5"/>
      <c r="DSR5"/>
      <c r="DSS5"/>
      <c r="DST5"/>
      <c r="DSU5"/>
      <c r="DSV5"/>
      <c r="DSW5"/>
      <c r="DSX5"/>
      <c r="DSY5"/>
      <c r="DSZ5"/>
      <c r="DTA5"/>
      <c r="DTB5"/>
      <c r="DTC5"/>
      <c r="DTD5"/>
      <c r="DTE5"/>
      <c r="DTF5"/>
      <c r="DTG5"/>
      <c r="DTH5"/>
      <c r="DTI5"/>
      <c r="DTJ5"/>
      <c r="DTK5"/>
      <c r="DTL5"/>
      <c r="DTM5"/>
      <c r="DTN5"/>
      <c r="DTO5"/>
      <c r="DTP5"/>
      <c r="DTQ5"/>
      <c r="DTR5"/>
      <c r="DTS5"/>
      <c r="DTT5"/>
      <c r="DTU5"/>
      <c r="DTV5"/>
      <c r="DTW5"/>
      <c r="DTX5"/>
      <c r="DTY5"/>
      <c r="DTZ5"/>
      <c r="DUA5"/>
      <c r="DUB5"/>
      <c r="DUC5"/>
      <c r="DUD5"/>
      <c r="DUE5"/>
      <c r="DUF5"/>
      <c r="DUG5"/>
      <c r="DUH5"/>
      <c r="DUI5"/>
      <c r="DUJ5"/>
      <c r="DUK5"/>
      <c r="DUL5"/>
      <c r="DUM5"/>
      <c r="DUN5"/>
      <c r="DUO5"/>
      <c r="DUP5"/>
      <c r="DUQ5"/>
      <c r="DUR5"/>
      <c r="DUS5"/>
      <c r="DUT5"/>
      <c r="DUU5"/>
      <c r="DUV5"/>
      <c r="DUW5"/>
      <c r="DUX5"/>
      <c r="DUY5"/>
      <c r="DUZ5"/>
      <c r="DVA5"/>
      <c r="DVB5"/>
      <c r="DVC5"/>
      <c r="DVD5"/>
      <c r="DVE5"/>
      <c r="DVF5"/>
      <c r="DVG5"/>
      <c r="DVH5"/>
      <c r="DVI5"/>
      <c r="DVJ5"/>
      <c r="DVK5"/>
      <c r="DVL5"/>
      <c r="DVM5"/>
      <c r="DVN5"/>
      <c r="DVO5"/>
      <c r="DVP5"/>
      <c r="DVQ5"/>
      <c r="DVR5"/>
      <c r="DVS5"/>
      <c r="DVT5"/>
      <c r="DVU5"/>
      <c r="DVV5"/>
      <c r="DVW5"/>
      <c r="DVX5"/>
      <c r="DVY5"/>
      <c r="DVZ5"/>
      <c r="DWA5"/>
      <c r="DWB5"/>
      <c r="DWC5"/>
      <c r="DWD5"/>
      <c r="DWE5"/>
      <c r="DWF5"/>
      <c r="DWG5"/>
      <c r="DWH5"/>
      <c r="DWI5"/>
      <c r="DWJ5"/>
      <c r="DWK5"/>
      <c r="DWL5"/>
      <c r="DWM5"/>
      <c r="DWN5"/>
      <c r="DWO5"/>
      <c r="DWP5"/>
      <c r="DWQ5"/>
      <c r="DWR5"/>
      <c r="DWS5"/>
      <c r="DWT5"/>
      <c r="DWU5"/>
      <c r="DWV5"/>
      <c r="DWW5"/>
      <c r="DWX5"/>
      <c r="DWY5"/>
      <c r="DWZ5"/>
      <c r="DXA5"/>
      <c r="DXB5"/>
      <c r="DXC5"/>
      <c r="DXD5"/>
      <c r="DXE5"/>
      <c r="DXF5"/>
      <c r="DXG5"/>
      <c r="DXH5"/>
      <c r="DXI5"/>
      <c r="DXJ5"/>
      <c r="DXK5"/>
      <c r="DXL5"/>
      <c r="DXM5"/>
      <c r="DXN5"/>
      <c r="DXO5"/>
      <c r="DXP5"/>
      <c r="DXQ5"/>
      <c r="DXR5"/>
      <c r="DXS5"/>
      <c r="DXT5"/>
      <c r="DXU5"/>
      <c r="DXV5"/>
      <c r="DXW5"/>
      <c r="DXX5"/>
      <c r="DXY5"/>
      <c r="DXZ5"/>
      <c r="DYA5"/>
      <c r="DYB5"/>
      <c r="DYC5"/>
      <c r="DYD5"/>
      <c r="DYE5"/>
      <c r="DYF5"/>
      <c r="DYG5"/>
      <c r="DYH5"/>
      <c r="DYI5"/>
      <c r="DYJ5"/>
      <c r="DYK5"/>
      <c r="DYL5"/>
      <c r="DYM5"/>
      <c r="DYN5"/>
      <c r="DYO5"/>
      <c r="DYP5"/>
      <c r="DYQ5"/>
      <c r="DYR5"/>
      <c r="DYS5"/>
      <c r="DYT5"/>
      <c r="DYU5"/>
      <c r="DYV5"/>
      <c r="DYW5"/>
      <c r="DYX5"/>
      <c r="DYY5"/>
      <c r="DYZ5"/>
      <c r="DZA5"/>
      <c r="DZB5"/>
      <c r="DZC5"/>
      <c r="DZD5"/>
      <c r="DZE5"/>
      <c r="DZF5"/>
      <c r="DZG5"/>
      <c r="DZH5"/>
      <c r="DZI5"/>
      <c r="DZJ5"/>
      <c r="DZK5"/>
      <c r="DZL5"/>
      <c r="DZM5"/>
      <c r="DZN5"/>
      <c r="DZO5"/>
      <c r="DZP5"/>
      <c r="DZQ5"/>
      <c r="DZR5"/>
      <c r="DZS5"/>
      <c r="DZT5"/>
      <c r="DZU5"/>
      <c r="DZV5"/>
      <c r="DZW5"/>
      <c r="DZX5"/>
      <c r="DZY5"/>
      <c r="DZZ5"/>
      <c r="EAA5"/>
      <c r="EAB5"/>
      <c r="EAC5"/>
      <c r="EAD5"/>
      <c r="EAE5"/>
      <c r="EAF5"/>
      <c r="EAG5"/>
      <c r="EAH5"/>
      <c r="EAI5"/>
      <c r="EAJ5"/>
      <c r="EAK5"/>
      <c r="EAL5"/>
      <c r="EAM5"/>
      <c r="EAN5"/>
      <c r="EAO5"/>
      <c r="EAP5"/>
      <c r="EAQ5"/>
      <c r="EAR5"/>
      <c r="EAS5"/>
      <c r="EAT5"/>
      <c r="EAU5"/>
      <c r="EAV5"/>
      <c r="EAW5"/>
      <c r="EAX5"/>
      <c r="EAY5"/>
      <c r="EAZ5"/>
      <c r="EBA5"/>
      <c r="EBB5"/>
      <c r="EBC5"/>
      <c r="EBD5"/>
      <c r="EBE5"/>
      <c r="EBF5"/>
      <c r="EBG5"/>
      <c r="EBH5"/>
      <c r="EBI5"/>
      <c r="EBJ5"/>
      <c r="EBK5"/>
      <c r="EBL5"/>
      <c r="EBM5"/>
      <c r="EBN5"/>
      <c r="EBO5"/>
      <c r="EBP5"/>
      <c r="EBQ5"/>
      <c r="EBR5"/>
      <c r="EBS5"/>
      <c r="EBT5"/>
      <c r="EBU5"/>
      <c r="EBV5"/>
      <c r="EBW5"/>
      <c r="EBX5"/>
      <c r="EBY5"/>
      <c r="EBZ5"/>
      <c r="ECA5"/>
      <c r="ECB5"/>
      <c r="ECC5"/>
      <c r="ECD5"/>
      <c r="ECE5"/>
      <c r="ECF5"/>
      <c r="ECG5"/>
      <c r="ECH5"/>
      <c r="ECI5"/>
      <c r="ECJ5"/>
      <c r="ECK5"/>
      <c r="ECL5"/>
      <c r="ECM5"/>
      <c r="ECN5"/>
      <c r="ECO5"/>
      <c r="ECP5"/>
      <c r="ECQ5"/>
      <c r="ECR5"/>
      <c r="ECS5"/>
      <c r="ECT5"/>
      <c r="ECU5"/>
      <c r="ECV5"/>
      <c r="ECW5"/>
      <c r="ECX5"/>
      <c r="ECY5"/>
      <c r="ECZ5"/>
      <c r="EDA5"/>
      <c r="EDB5"/>
      <c r="EDC5"/>
      <c r="EDD5"/>
      <c r="EDE5"/>
      <c r="EDF5"/>
      <c r="EDG5"/>
      <c r="EDH5"/>
      <c r="EDI5"/>
      <c r="EDJ5"/>
      <c r="EDK5"/>
      <c r="EDL5"/>
      <c r="EDM5"/>
      <c r="EDN5"/>
      <c r="EDO5"/>
      <c r="EDP5"/>
      <c r="EDQ5"/>
      <c r="EDR5"/>
      <c r="EDS5"/>
      <c r="EDT5"/>
      <c r="EDU5"/>
      <c r="EDV5"/>
      <c r="EDW5"/>
      <c r="EDX5"/>
      <c r="EDY5"/>
      <c r="EDZ5"/>
      <c r="EEA5"/>
      <c r="EEB5"/>
      <c r="EEC5"/>
      <c r="EED5"/>
      <c r="EEE5"/>
      <c r="EEF5"/>
      <c r="EEG5"/>
      <c r="EEH5"/>
      <c r="EEI5"/>
      <c r="EEJ5"/>
      <c r="EEK5"/>
      <c r="EEL5"/>
      <c r="EEM5"/>
      <c r="EEN5"/>
      <c r="EEO5"/>
      <c r="EEP5"/>
      <c r="EEQ5"/>
      <c r="EER5"/>
      <c r="EES5"/>
      <c r="EET5"/>
      <c r="EEU5"/>
      <c r="EEV5"/>
      <c r="EEW5"/>
      <c r="EEX5"/>
      <c r="EEY5"/>
      <c r="EEZ5"/>
      <c r="EFA5"/>
      <c r="EFB5"/>
      <c r="EFC5"/>
      <c r="EFD5"/>
      <c r="EFE5"/>
      <c r="EFF5"/>
      <c r="EFG5"/>
      <c r="EFH5"/>
      <c r="EFI5"/>
      <c r="EFJ5"/>
      <c r="EFK5"/>
      <c r="EFL5"/>
      <c r="EFM5"/>
      <c r="EFN5"/>
      <c r="EFO5"/>
      <c r="EFP5"/>
      <c r="EFQ5"/>
      <c r="EFR5"/>
      <c r="EFS5"/>
      <c r="EFT5"/>
      <c r="EFU5"/>
      <c r="EFV5"/>
      <c r="EFW5"/>
      <c r="EFX5"/>
      <c r="EFY5"/>
      <c r="EFZ5"/>
      <c r="EGA5"/>
      <c r="EGB5"/>
      <c r="EGC5"/>
      <c r="EGD5"/>
      <c r="EGE5"/>
      <c r="EGF5"/>
      <c r="EGG5"/>
      <c r="EGH5"/>
      <c r="EGI5"/>
      <c r="EGJ5"/>
      <c r="EGK5"/>
      <c r="EGL5"/>
      <c r="EGM5"/>
      <c r="EGN5"/>
      <c r="EGO5"/>
      <c r="EGP5"/>
      <c r="EGQ5"/>
      <c r="EGR5"/>
      <c r="EGS5"/>
      <c r="EGT5"/>
      <c r="EGU5"/>
      <c r="EGV5"/>
      <c r="EGW5"/>
      <c r="EGX5"/>
      <c r="EGY5"/>
      <c r="EGZ5"/>
      <c r="EHA5"/>
      <c r="EHB5"/>
      <c r="EHC5"/>
      <c r="EHD5"/>
      <c r="EHE5"/>
      <c r="EHF5"/>
      <c r="EHG5"/>
      <c r="EHH5"/>
      <c r="EHI5"/>
      <c r="EHJ5"/>
      <c r="EHK5"/>
      <c r="EHL5"/>
      <c r="EHM5"/>
      <c r="EHN5"/>
      <c r="EHO5"/>
      <c r="EHP5"/>
      <c r="EHQ5"/>
      <c r="EHR5"/>
      <c r="EHS5"/>
      <c r="EHT5"/>
      <c r="EHU5"/>
      <c r="EHV5"/>
      <c r="EHW5"/>
      <c r="EHX5"/>
      <c r="EHY5"/>
      <c r="EHZ5"/>
      <c r="EIA5"/>
      <c r="EIB5"/>
      <c r="EIC5"/>
      <c r="EID5"/>
      <c r="EIE5"/>
      <c r="EIF5"/>
      <c r="EIG5"/>
      <c r="EIH5"/>
      <c r="EII5"/>
      <c r="EIJ5"/>
      <c r="EIK5"/>
      <c r="EIL5"/>
      <c r="EIM5"/>
      <c r="EIN5"/>
      <c r="EIO5"/>
      <c r="EIP5"/>
      <c r="EIQ5"/>
      <c r="EIR5"/>
      <c r="EIS5"/>
      <c r="EIT5"/>
      <c r="EIU5"/>
      <c r="EIV5"/>
      <c r="EIW5"/>
      <c r="EIX5"/>
      <c r="EIY5"/>
      <c r="EIZ5"/>
      <c r="EJA5"/>
      <c r="EJB5"/>
      <c r="EJC5"/>
      <c r="EJD5"/>
      <c r="EJE5"/>
      <c r="EJF5"/>
      <c r="EJG5"/>
      <c r="EJH5"/>
      <c r="EJI5"/>
      <c r="EJJ5"/>
      <c r="EJK5"/>
      <c r="EJL5"/>
      <c r="EJM5"/>
      <c r="EJN5"/>
      <c r="EJO5"/>
      <c r="EJP5"/>
      <c r="EJQ5"/>
      <c r="EJR5"/>
      <c r="EJS5"/>
      <c r="EJT5"/>
      <c r="EJU5"/>
      <c r="EJV5"/>
      <c r="EJW5"/>
      <c r="EJX5"/>
      <c r="EJY5"/>
      <c r="EJZ5"/>
      <c r="EKA5"/>
      <c r="EKB5"/>
      <c r="EKC5"/>
      <c r="EKD5"/>
      <c r="EKE5"/>
      <c r="EKF5"/>
      <c r="EKG5"/>
      <c r="EKH5"/>
      <c r="EKI5"/>
      <c r="EKJ5"/>
      <c r="EKK5"/>
      <c r="EKL5"/>
      <c r="EKM5"/>
      <c r="EKN5"/>
      <c r="EKO5"/>
      <c r="EKP5"/>
      <c r="EKQ5"/>
      <c r="EKR5"/>
      <c r="EKS5"/>
      <c r="EKT5"/>
      <c r="EKU5"/>
      <c r="EKV5"/>
      <c r="EKW5"/>
      <c r="EKX5"/>
      <c r="EKY5"/>
      <c r="EKZ5"/>
      <c r="ELA5"/>
      <c r="ELB5"/>
      <c r="ELC5"/>
      <c r="ELD5"/>
      <c r="ELE5"/>
      <c r="ELF5"/>
      <c r="ELG5"/>
      <c r="ELH5"/>
      <c r="ELI5"/>
      <c r="ELJ5"/>
      <c r="ELK5"/>
      <c r="ELL5"/>
      <c r="ELM5"/>
      <c r="ELN5"/>
      <c r="ELO5"/>
      <c r="ELP5"/>
      <c r="ELQ5"/>
      <c r="ELR5"/>
      <c r="ELS5"/>
      <c r="ELT5"/>
      <c r="ELU5"/>
      <c r="ELV5"/>
      <c r="ELW5"/>
      <c r="ELX5"/>
      <c r="ELY5"/>
      <c r="ELZ5"/>
      <c r="EMA5"/>
      <c r="EMB5"/>
      <c r="EMC5"/>
      <c r="EMD5"/>
      <c r="EME5"/>
      <c r="EMF5"/>
      <c r="EMG5"/>
      <c r="EMH5"/>
      <c r="EMI5"/>
      <c r="EMJ5"/>
      <c r="EMK5"/>
      <c r="EML5"/>
      <c r="EMM5"/>
      <c r="EMN5"/>
      <c r="EMO5"/>
      <c r="EMP5"/>
      <c r="EMQ5"/>
      <c r="EMR5"/>
      <c r="EMS5"/>
      <c r="EMT5"/>
      <c r="EMU5"/>
      <c r="EMV5"/>
      <c r="EMW5"/>
      <c r="EMX5"/>
      <c r="EMY5"/>
      <c r="EMZ5"/>
      <c r="ENA5"/>
      <c r="ENB5"/>
      <c r="ENC5"/>
      <c r="END5"/>
      <c r="ENE5"/>
      <c r="ENF5"/>
      <c r="ENG5"/>
      <c r="ENH5"/>
      <c r="ENI5"/>
      <c r="ENJ5"/>
      <c r="ENK5"/>
      <c r="ENL5"/>
      <c r="ENM5"/>
      <c r="ENN5"/>
      <c r="ENO5"/>
      <c r="ENP5"/>
      <c r="ENQ5"/>
      <c r="ENR5"/>
      <c r="ENS5"/>
      <c r="ENT5"/>
      <c r="ENU5"/>
      <c r="ENV5"/>
      <c r="ENW5"/>
      <c r="ENX5"/>
      <c r="ENY5"/>
      <c r="ENZ5"/>
      <c r="EOA5"/>
      <c r="EOB5"/>
      <c r="EOC5"/>
      <c r="EOD5"/>
      <c r="EOE5"/>
      <c r="EOF5"/>
      <c r="EOG5"/>
      <c r="EOH5"/>
      <c r="EOI5"/>
      <c r="EOJ5"/>
      <c r="EOK5"/>
      <c r="EOL5"/>
      <c r="EOM5"/>
      <c r="EON5"/>
      <c r="EOO5"/>
      <c r="EOP5"/>
      <c r="EOQ5"/>
      <c r="EOR5"/>
      <c r="EOS5"/>
      <c r="EOT5"/>
      <c r="EOU5"/>
      <c r="EOV5"/>
      <c r="EOW5"/>
      <c r="EOX5"/>
      <c r="EOY5"/>
      <c r="EOZ5"/>
      <c r="EPA5"/>
      <c r="EPB5"/>
      <c r="EPC5"/>
      <c r="EPD5"/>
      <c r="EPE5"/>
      <c r="EPF5"/>
      <c r="EPG5"/>
      <c r="EPH5"/>
      <c r="EPI5"/>
      <c r="EPJ5"/>
      <c r="EPK5"/>
      <c r="EPL5"/>
      <c r="EPM5"/>
      <c r="EPN5"/>
      <c r="EPO5"/>
      <c r="EPP5"/>
      <c r="EPQ5"/>
      <c r="EPR5"/>
      <c r="EPS5"/>
      <c r="EPT5"/>
      <c r="EPU5"/>
      <c r="EPV5"/>
      <c r="EPW5"/>
      <c r="EPX5"/>
      <c r="EPY5"/>
      <c r="EPZ5"/>
      <c r="EQA5"/>
      <c r="EQB5"/>
      <c r="EQC5"/>
      <c r="EQD5"/>
      <c r="EQE5"/>
      <c r="EQF5"/>
      <c r="EQG5"/>
      <c r="EQH5"/>
      <c r="EQI5"/>
      <c r="EQJ5"/>
      <c r="EQK5"/>
      <c r="EQL5"/>
      <c r="EQM5"/>
      <c r="EQN5"/>
      <c r="EQO5"/>
      <c r="EQP5"/>
      <c r="EQQ5"/>
      <c r="EQR5"/>
      <c r="EQS5"/>
      <c r="EQT5"/>
      <c r="EQU5"/>
      <c r="EQV5"/>
      <c r="EQW5"/>
      <c r="EQX5"/>
      <c r="EQY5"/>
      <c r="EQZ5"/>
      <c r="ERA5"/>
      <c r="ERB5"/>
      <c r="ERC5"/>
      <c r="ERD5"/>
      <c r="ERE5"/>
      <c r="ERF5"/>
      <c r="ERG5"/>
      <c r="ERH5"/>
      <c r="ERI5"/>
      <c r="ERJ5"/>
      <c r="ERK5"/>
      <c r="ERL5"/>
      <c r="ERM5"/>
      <c r="ERN5"/>
      <c r="ERO5"/>
      <c r="ERP5"/>
      <c r="ERQ5"/>
      <c r="ERR5"/>
      <c r="ERS5"/>
      <c r="ERT5"/>
      <c r="ERU5"/>
      <c r="ERV5"/>
      <c r="ERW5"/>
      <c r="ERX5"/>
      <c r="ERY5"/>
      <c r="ERZ5"/>
      <c r="ESA5"/>
      <c r="ESB5"/>
      <c r="ESC5"/>
      <c r="ESD5"/>
      <c r="ESE5"/>
      <c r="ESF5"/>
      <c r="ESG5"/>
      <c r="ESH5"/>
      <c r="ESI5"/>
      <c r="ESJ5"/>
      <c r="ESK5"/>
      <c r="ESL5"/>
      <c r="ESM5"/>
      <c r="ESN5"/>
      <c r="ESO5"/>
      <c r="ESP5"/>
      <c r="ESQ5"/>
      <c r="ESR5"/>
      <c r="ESS5"/>
      <c r="EST5"/>
      <c r="ESU5"/>
      <c r="ESV5"/>
      <c r="ESW5"/>
      <c r="ESX5"/>
      <c r="ESY5"/>
      <c r="ESZ5"/>
      <c r="ETA5"/>
      <c r="ETB5"/>
      <c r="ETC5"/>
      <c r="ETD5"/>
      <c r="ETE5"/>
      <c r="ETF5"/>
      <c r="ETG5"/>
      <c r="ETH5"/>
      <c r="ETI5"/>
      <c r="ETJ5"/>
      <c r="ETK5"/>
      <c r="ETL5"/>
      <c r="ETM5"/>
      <c r="ETN5"/>
      <c r="ETO5"/>
      <c r="ETP5"/>
      <c r="ETQ5"/>
      <c r="ETR5"/>
      <c r="ETS5"/>
      <c r="ETT5"/>
      <c r="ETU5"/>
      <c r="ETV5"/>
      <c r="ETW5"/>
      <c r="ETX5"/>
      <c r="ETY5"/>
      <c r="ETZ5"/>
      <c r="EUA5"/>
      <c r="EUB5"/>
      <c r="EUC5"/>
      <c r="EUD5"/>
      <c r="EUE5"/>
      <c r="EUF5"/>
      <c r="EUG5"/>
      <c r="EUH5"/>
      <c r="EUI5"/>
      <c r="EUJ5"/>
      <c r="EUK5"/>
      <c r="EUL5"/>
      <c r="EUM5"/>
      <c r="EUN5"/>
      <c r="EUO5"/>
      <c r="EUP5"/>
      <c r="EUQ5"/>
      <c r="EUR5"/>
      <c r="EUS5"/>
      <c r="EUT5"/>
      <c r="EUU5"/>
      <c r="EUV5"/>
      <c r="EUW5"/>
      <c r="EUX5"/>
      <c r="EUY5"/>
      <c r="EUZ5"/>
      <c r="EVA5"/>
      <c r="EVB5"/>
      <c r="EVC5"/>
      <c r="EVD5"/>
      <c r="EVE5"/>
      <c r="EVF5"/>
      <c r="EVG5"/>
      <c r="EVH5"/>
      <c r="EVI5"/>
      <c r="EVJ5"/>
      <c r="EVK5"/>
      <c r="EVL5"/>
      <c r="EVM5"/>
      <c r="EVN5"/>
      <c r="EVO5"/>
      <c r="EVP5"/>
      <c r="EVQ5"/>
      <c r="EVR5"/>
      <c r="EVS5"/>
      <c r="EVT5"/>
      <c r="EVU5"/>
      <c r="EVV5"/>
      <c r="EVW5"/>
      <c r="EVX5"/>
      <c r="EVY5"/>
      <c r="EVZ5"/>
      <c r="EWA5"/>
      <c r="EWB5"/>
      <c r="EWC5"/>
      <c r="EWD5"/>
      <c r="EWE5"/>
      <c r="EWF5"/>
      <c r="EWG5"/>
      <c r="EWH5"/>
      <c r="EWI5"/>
      <c r="EWJ5"/>
      <c r="EWK5"/>
      <c r="EWL5"/>
      <c r="EWM5"/>
      <c r="EWN5"/>
      <c r="EWO5"/>
      <c r="EWP5"/>
      <c r="EWQ5"/>
      <c r="EWR5"/>
      <c r="EWS5"/>
      <c r="EWT5"/>
      <c r="EWU5"/>
      <c r="EWV5"/>
      <c r="EWW5"/>
      <c r="EWX5"/>
      <c r="EWY5"/>
      <c r="EWZ5"/>
      <c r="EXA5"/>
      <c r="EXB5"/>
      <c r="EXC5"/>
      <c r="EXD5"/>
      <c r="EXE5"/>
      <c r="EXF5"/>
      <c r="EXG5"/>
      <c r="EXH5"/>
      <c r="EXI5"/>
      <c r="EXJ5"/>
      <c r="EXK5"/>
      <c r="EXL5"/>
      <c r="EXM5"/>
      <c r="EXN5"/>
      <c r="EXO5"/>
      <c r="EXP5"/>
      <c r="EXQ5"/>
      <c r="EXR5"/>
      <c r="EXS5"/>
      <c r="EXT5"/>
      <c r="EXU5"/>
      <c r="EXV5"/>
      <c r="EXW5"/>
      <c r="EXX5"/>
      <c r="EXY5"/>
      <c r="EXZ5"/>
      <c r="EYA5"/>
      <c r="EYB5"/>
      <c r="EYC5"/>
      <c r="EYD5"/>
      <c r="EYE5"/>
      <c r="EYF5"/>
      <c r="EYG5"/>
      <c r="EYH5"/>
      <c r="EYI5"/>
      <c r="EYJ5"/>
      <c r="EYK5"/>
      <c r="EYL5"/>
      <c r="EYM5"/>
      <c r="EYN5"/>
      <c r="EYO5"/>
      <c r="EYP5"/>
      <c r="EYQ5"/>
      <c r="EYR5"/>
      <c r="EYS5"/>
      <c r="EYT5"/>
      <c r="EYU5"/>
      <c r="EYV5"/>
      <c r="EYW5"/>
      <c r="EYX5"/>
      <c r="EYY5"/>
      <c r="EYZ5"/>
      <c r="EZA5"/>
      <c r="EZB5"/>
      <c r="EZC5"/>
      <c r="EZD5"/>
      <c r="EZE5"/>
      <c r="EZF5"/>
      <c r="EZG5"/>
      <c r="EZH5"/>
      <c r="EZI5"/>
      <c r="EZJ5"/>
      <c r="EZK5"/>
      <c r="EZL5"/>
      <c r="EZM5"/>
      <c r="EZN5"/>
      <c r="EZO5"/>
      <c r="EZP5"/>
      <c r="EZQ5"/>
      <c r="EZR5"/>
      <c r="EZS5"/>
      <c r="EZT5"/>
      <c r="EZU5"/>
      <c r="EZV5"/>
      <c r="EZW5"/>
      <c r="EZX5"/>
      <c r="EZY5"/>
      <c r="EZZ5"/>
      <c r="FAA5"/>
      <c r="FAB5"/>
      <c r="FAC5"/>
      <c r="FAD5"/>
      <c r="FAE5"/>
      <c r="FAF5"/>
      <c r="FAG5"/>
      <c r="FAH5"/>
      <c r="FAI5"/>
      <c r="FAJ5"/>
      <c r="FAK5"/>
      <c r="FAL5"/>
      <c r="FAM5"/>
      <c r="FAN5"/>
      <c r="FAO5"/>
      <c r="FAP5"/>
      <c r="FAQ5"/>
      <c r="FAR5"/>
      <c r="FAS5"/>
      <c r="FAT5"/>
      <c r="FAU5"/>
      <c r="FAV5"/>
      <c r="FAW5"/>
      <c r="FAX5"/>
      <c r="FAY5"/>
      <c r="FAZ5"/>
      <c r="FBA5"/>
      <c r="FBB5"/>
      <c r="FBC5"/>
      <c r="FBD5"/>
      <c r="FBE5"/>
      <c r="FBF5"/>
      <c r="FBG5"/>
      <c r="FBH5"/>
      <c r="FBI5"/>
      <c r="FBJ5"/>
      <c r="FBK5"/>
      <c r="FBL5"/>
      <c r="FBM5"/>
      <c r="FBN5"/>
      <c r="FBO5"/>
      <c r="FBP5"/>
      <c r="FBQ5"/>
      <c r="FBR5"/>
      <c r="FBS5"/>
      <c r="FBT5"/>
      <c r="FBU5"/>
      <c r="FBV5"/>
      <c r="FBW5"/>
      <c r="FBX5"/>
      <c r="FBY5"/>
      <c r="FBZ5"/>
      <c r="FCA5"/>
      <c r="FCB5"/>
      <c r="FCC5"/>
      <c r="FCD5"/>
      <c r="FCE5"/>
      <c r="FCF5"/>
      <c r="FCG5"/>
      <c r="FCH5"/>
      <c r="FCI5"/>
      <c r="FCJ5"/>
      <c r="FCK5"/>
      <c r="FCL5"/>
      <c r="FCM5"/>
      <c r="FCN5"/>
      <c r="FCO5"/>
      <c r="FCP5"/>
      <c r="FCQ5"/>
      <c r="FCR5"/>
      <c r="FCS5"/>
      <c r="FCT5"/>
      <c r="FCU5"/>
      <c r="FCV5"/>
      <c r="FCW5"/>
      <c r="FCX5"/>
      <c r="FCY5"/>
      <c r="FCZ5"/>
      <c r="FDA5"/>
      <c r="FDB5"/>
      <c r="FDC5"/>
      <c r="FDD5"/>
      <c r="FDE5"/>
      <c r="FDF5"/>
      <c r="FDG5"/>
      <c r="FDH5"/>
      <c r="FDI5"/>
      <c r="FDJ5"/>
      <c r="FDK5"/>
      <c r="FDL5"/>
      <c r="FDM5"/>
      <c r="FDN5"/>
      <c r="FDO5"/>
      <c r="FDP5"/>
      <c r="FDQ5"/>
      <c r="FDR5"/>
      <c r="FDS5"/>
      <c r="FDT5"/>
      <c r="FDU5"/>
      <c r="FDV5"/>
      <c r="FDW5"/>
      <c r="FDX5"/>
      <c r="FDY5"/>
      <c r="FDZ5"/>
      <c r="FEA5"/>
      <c r="FEB5"/>
      <c r="FEC5"/>
      <c r="FED5"/>
      <c r="FEE5"/>
      <c r="FEF5"/>
      <c r="FEG5"/>
      <c r="FEH5"/>
      <c r="FEI5"/>
      <c r="FEJ5"/>
      <c r="FEK5"/>
      <c r="FEL5"/>
      <c r="FEM5"/>
      <c r="FEN5"/>
      <c r="FEO5"/>
      <c r="FEP5"/>
      <c r="FEQ5"/>
      <c r="FER5"/>
      <c r="FES5"/>
      <c r="FET5"/>
      <c r="FEU5"/>
      <c r="FEV5"/>
      <c r="FEW5"/>
      <c r="FEX5"/>
      <c r="FEY5"/>
      <c r="FEZ5"/>
      <c r="FFA5"/>
      <c r="FFB5"/>
      <c r="FFC5"/>
      <c r="FFD5"/>
      <c r="FFE5"/>
      <c r="FFF5"/>
      <c r="FFG5"/>
      <c r="FFH5"/>
      <c r="FFI5"/>
      <c r="FFJ5"/>
      <c r="FFK5"/>
      <c r="FFL5"/>
      <c r="FFM5"/>
      <c r="FFN5"/>
      <c r="FFO5"/>
      <c r="FFP5"/>
      <c r="FFQ5"/>
      <c r="FFR5"/>
      <c r="FFS5"/>
      <c r="FFT5"/>
      <c r="FFU5"/>
      <c r="FFV5"/>
      <c r="FFW5"/>
      <c r="FFX5"/>
      <c r="FFY5"/>
      <c r="FFZ5"/>
      <c r="FGA5"/>
      <c r="FGB5"/>
      <c r="FGC5"/>
      <c r="FGD5"/>
      <c r="FGE5"/>
      <c r="FGF5"/>
      <c r="FGG5"/>
      <c r="FGH5"/>
      <c r="FGI5"/>
      <c r="FGJ5"/>
      <c r="FGK5"/>
      <c r="FGL5"/>
      <c r="FGM5"/>
      <c r="FGN5"/>
      <c r="FGO5"/>
      <c r="FGP5"/>
      <c r="FGQ5"/>
      <c r="FGR5"/>
      <c r="FGS5"/>
      <c r="FGT5"/>
      <c r="FGU5"/>
      <c r="FGV5"/>
      <c r="FGW5"/>
      <c r="FGX5"/>
      <c r="FGY5"/>
      <c r="FGZ5"/>
      <c r="FHA5"/>
      <c r="FHB5"/>
      <c r="FHC5"/>
      <c r="FHD5"/>
      <c r="FHE5"/>
      <c r="FHF5"/>
      <c r="FHG5"/>
      <c r="FHH5"/>
      <c r="FHI5"/>
      <c r="FHJ5"/>
      <c r="FHK5"/>
      <c r="FHL5"/>
      <c r="FHM5"/>
      <c r="FHN5"/>
      <c r="FHO5"/>
      <c r="FHP5"/>
      <c r="FHQ5"/>
      <c r="FHR5"/>
      <c r="FHS5"/>
      <c r="FHT5"/>
      <c r="FHU5"/>
      <c r="FHV5"/>
      <c r="FHW5"/>
      <c r="FHX5"/>
      <c r="FHY5"/>
      <c r="FHZ5"/>
      <c r="FIA5"/>
      <c r="FIB5"/>
      <c r="FIC5"/>
      <c r="FID5"/>
      <c r="FIE5"/>
      <c r="FIF5"/>
      <c r="FIG5"/>
      <c r="FIH5"/>
      <c r="FII5"/>
      <c r="FIJ5"/>
      <c r="FIK5"/>
      <c r="FIL5"/>
      <c r="FIM5"/>
      <c r="FIN5"/>
      <c r="FIO5"/>
      <c r="FIP5"/>
      <c r="FIQ5"/>
      <c r="FIR5"/>
      <c r="FIS5"/>
      <c r="FIT5"/>
      <c r="FIU5"/>
      <c r="FIV5"/>
      <c r="FIW5"/>
      <c r="FIX5"/>
      <c r="FIY5"/>
      <c r="FIZ5"/>
      <c r="FJA5"/>
      <c r="FJB5"/>
      <c r="FJC5"/>
      <c r="FJD5"/>
      <c r="FJE5"/>
      <c r="FJF5"/>
      <c r="FJG5"/>
      <c r="FJH5"/>
      <c r="FJI5"/>
      <c r="FJJ5"/>
      <c r="FJK5"/>
      <c r="FJL5"/>
      <c r="FJM5"/>
      <c r="FJN5"/>
      <c r="FJO5"/>
      <c r="FJP5"/>
      <c r="FJQ5"/>
      <c r="FJR5"/>
      <c r="FJS5"/>
      <c r="FJT5"/>
      <c r="FJU5"/>
      <c r="FJV5"/>
      <c r="FJW5"/>
      <c r="FJX5"/>
      <c r="FJY5"/>
      <c r="FJZ5"/>
      <c r="FKA5"/>
      <c r="FKB5"/>
      <c r="FKC5"/>
      <c r="FKD5"/>
      <c r="FKE5"/>
      <c r="FKF5"/>
      <c r="FKG5"/>
      <c r="FKH5"/>
      <c r="FKI5"/>
      <c r="FKJ5"/>
      <c r="FKK5"/>
      <c r="FKL5"/>
      <c r="FKM5"/>
      <c r="FKN5"/>
      <c r="FKO5"/>
      <c r="FKP5"/>
      <c r="FKQ5"/>
      <c r="FKR5"/>
      <c r="FKS5"/>
      <c r="FKT5"/>
      <c r="FKU5"/>
      <c r="FKV5"/>
      <c r="FKW5"/>
      <c r="FKX5"/>
      <c r="FKY5"/>
      <c r="FKZ5"/>
      <c r="FLA5"/>
      <c r="FLB5"/>
      <c r="FLC5"/>
      <c r="FLD5"/>
      <c r="FLE5"/>
      <c r="FLF5"/>
      <c r="FLG5"/>
      <c r="FLH5"/>
      <c r="FLI5"/>
      <c r="FLJ5"/>
      <c r="FLK5"/>
      <c r="FLL5"/>
      <c r="FLM5"/>
      <c r="FLN5"/>
      <c r="FLO5"/>
      <c r="FLP5"/>
      <c r="FLQ5"/>
      <c r="FLR5"/>
      <c r="FLS5"/>
      <c r="FLT5"/>
      <c r="FLU5"/>
      <c r="FLV5"/>
      <c r="FLW5"/>
      <c r="FLX5"/>
      <c r="FLY5"/>
      <c r="FLZ5"/>
      <c r="FMA5"/>
      <c r="FMB5"/>
      <c r="FMC5"/>
      <c r="FMD5"/>
      <c r="FME5"/>
      <c r="FMF5"/>
      <c r="FMG5"/>
      <c r="FMH5"/>
      <c r="FMI5"/>
      <c r="FMJ5"/>
      <c r="FMK5"/>
      <c r="FML5"/>
      <c r="FMM5"/>
      <c r="FMN5"/>
      <c r="FMO5"/>
      <c r="FMP5"/>
      <c r="FMQ5"/>
      <c r="FMR5"/>
      <c r="FMS5"/>
      <c r="FMT5"/>
      <c r="FMU5"/>
      <c r="FMV5"/>
      <c r="FMW5"/>
      <c r="FMX5"/>
      <c r="FMY5"/>
      <c r="FMZ5"/>
      <c r="FNA5"/>
      <c r="FNB5"/>
      <c r="FNC5"/>
      <c r="FND5"/>
      <c r="FNE5"/>
      <c r="FNF5"/>
      <c r="FNG5"/>
      <c r="FNH5"/>
      <c r="FNI5"/>
      <c r="FNJ5"/>
      <c r="FNK5"/>
      <c r="FNL5"/>
      <c r="FNM5"/>
      <c r="FNN5"/>
      <c r="FNO5"/>
      <c r="FNP5"/>
      <c r="FNQ5"/>
      <c r="FNR5"/>
      <c r="FNS5"/>
      <c r="FNT5"/>
      <c r="FNU5"/>
      <c r="FNV5"/>
      <c r="FNW5"/>
      <c r="FNX5"/>
      <c r="FNY5"/>
      <c r="FNZ5"/>
      <c r="FOA5"/>
      <c r="FOB5"/>
      <c r="FOC5"/>
      <c r="FOD5"/>
      <c r="FOE5"/>
      <c r="FOF5"/>
      <c r="FOG5"/>
      <c r="FOH5"/>
      <c r="FOI5"/>
      <c r="FOJ5"/>
      <c r="FOK5"/>
      <c r="FOL5"/>
      <c r="FOM5"/>
      <c r="FON5"/>
      <c r="FOO5"/>
      <c r="FOP5"/>
      <c r="FOQ5"/>
      <c r="FOR5"/>
      <c r="FOS5"/>
      <c r="FOT5"/>
      <c r="FOU5"/>
      <c r="FOV5"/>
      <c r="FOW5"/>
      <c r="FOX5"/>
      <c r="FOY5"/>
      <c r="FOZ5"/>
      <c r="FPA5"/>
      <c r="FPB5"/>
      <c r="FPC5"/>
      <c r="FPD5"/>
      <c r="FPE5"/>
      <c r="FPF5"/>
      <c r="FPG5"/>
      <c r="FPH5"/>
      <c r="FPI5"/>
      <c r="FPJ5"/>
      <c r="FPK5"/>
      <c r="FPL5"/>
      <c r="FPM5"/>
      <c r="FPN5"/>
      <c r="FPO5"/>
      <c r="FPP5"/>
      <c r="FPQ5"/>
      <c r="FPR5"/>
      <c r="FPS5"/>
      <c r="FPT5"/>
      <c r="FPU5"/>
      <c r="FPV5"/>
      <c r="FPW5"/>
      <c r="FPX5"/>
      <c r="FPY5"/>
      <c r="FPZ5"/>
      <c r="FQA5"/>
      <c r="FQB5"/>
      <c r="FQC5"/>
      <c r="FQD5"/>
      <c r="FQE5"/>
      <c r="FQF5"/>
      <c r="FQG5"/>
      <c r="FQH5"/>
      <c r="FQI5"/>
      <c r="FQJ5"/>
      <c r="FQK5"/>
      <c r="FQL5"/>
      <c r="FQM5"/>
      <c r="FQN5"/>
      <c r="FQO5"/>
      <c r="FQP5"/>
      <c r="FQQ5"/>
      <c r="FQR5"/>
      <c r="FQS5"/>
      <c r="FQT5"/>
      <c r="FQU5"/>
      <c r="FQV5"/>
      <c r="FQW5"/>
      <c r="FQX5"/>
      <c r="FQY5"/>
      <c r="FQZ5"/>
      <c r="FRA5"/>
      <c r="FRB5"/>
      <c r="FRC5"/>
      <c r="FRD5"/>
      <c r="FRE5"/>
      <c r="FRF5"/>
      <c r="FRG5"/>
      <c r="FRH5"/>
      <c r="FRI5"/>
      <c r="FRJ5"/>
      <c r="FRK5"/>
      <c r="FRL5"/>
      <c r="FRM5"/>
      <c r="FRN5"/>
      <c r="FRO5"/>
      <c r="FRP5"/>
      <c r="FRQ5"/>
      <c r="FRR5"/>
      <c r="FRS5"/>
      <c r="FRT5"/>
      <c r="FRU5"/>
      <c r="FRV5"/>
      <c r="FRW5"/>
      <c r="FRX5"/>
      <c r="FRY5"/>
      <c r="FRZ5"/>
      <c r="FSA5"/>
      <c r="FSB5"/>
      <c r="FSC5"/>
      <c r="FSD5"/>
      <c r="FSE5"/>
      <c r="FSF5"/>
      <c r="FSG5"/>
      <c r="FSH5"/>
      <c r="FSI5"/>
      <c r="FSJ5"/>
      <c r="FSK5"/>
      <c r="FSL5"/>
      <c r="FSM5"/>
      <c r="FSN5"/>
      <c r="FSO5"/>
      <c r="FSP5"/>
      <c r="FSQ5"/>
      <c r="FSR5"/>
      <c r="FSS5"/>
      <c r="FST5"/>
      <c r="FSU5"/>
      <c r="FSV5"/>
      <c r="FSW5"/>
      <c r="FSX5"/>
      <c r="FSY5"/>
      <c r="FSZ5"/>
      <c r="FTA5"/>
      <c r="FTB5"/>
      <c r="FTC5"/>
      <c r="FTD5"/>
      <c r="FTE5"/>
      <c r="FTF5"/>
      <c r="FTG5"/>
      <c r="FTH5"/>
      <c r="FTI5"/>
      <c r="FTJ5"/>
      <c r="FTK5"/>
      <c r="FTL5"/>
      <c r="FTM5"/>
      <c r="FTN5"/>
      <c r="FTO5"/>
      <c r="FTP5"/>
      <c r="FTQ5"/>
      <c r="FTR5"/>
      <c r="FTS5"/>
      <c r="FTT5"/>
      <c r="FTU5"/>
      <c r="FTV5"/>
      <c r="FTW5"/>
      <c r="FTX5"/>
      <c r="FTY5"/>
      <c r="FTZ5"/>
      <c r="FUA5"/>
      <c r="FUB5"/>
      <c r="FUC5"/>
      <c r="FUD5"/>
      <c r="FUE5"/>
      <c r="FUF5"/>
      <c r="FUG5"/>
      <c r="FUH5"/>
      <c r="FUI5"/>
      <c r="FUJ5"/>
      <c r="FUK5"/>
      <c r="FUL5"/>
      <c r="FUM5"/>
      <c r="FUN5"/>
      <c r="FUO5"/>
      <c r="FUP5"/>
      <c r="FUQ5"/>
      <c r="FUR5"/>
      <c r="FUS5"/>
      <c r="FUT5"/>
      <c r="FUU5"/>
      <c r="FUV5"/>
      <c r="FUW5"/>
      <c r="FUX5"/>
      <c r="FUY5"/>
      <c r="FUZ5"/>
      <c r="FVA5"/>
      <c r="FVB5"/>
      <c r="FVC5"/>
      <c r="FVD5"/>
      <c r="FVE5"/>
      <c r="FVF5"/>
      <c r="FVG5"/>
      <c r="FVH5"/>
      <c r="FVI5"/>
      <c r="FVJ5"/>
      <c r="FVK5"/>
      <c r="FVL5"/>
      <c r="FVM5"/>
      <c r="FVN5"/>
      <c r="FVO5"/>
      <c r="FVP5"/>
      <c r="FVQ5"/>
      <c r="FVR5"/>
      <c r="FVS5"/>
      <c r="FVT5"/>
      <c r="FVU5"/>
      <c r="FVV5"/>
      <c r="FVW5"/>
      <c r="FVX5"/>
      <c r="FVY5"/>
      <c r="FVZ5"/>
      <c r="FWA5"/>
      <c r="FWB5"/>
      <c r="FWC5"/>
      <c r="FWD5"/>
      <c r="FWE5"/>
      <c r="FWF5"/>
      <c r="FWG5"/>
      <c r="FWH5"/>
      <c r="FWI5"/>
      <c r="FWJ5"/>
      <c r="FWK5"/>
      <c r="FWL5"/>
      <c r="FWM5"/>
      <c r="FWN5"/>
      <c r="FWO5"/>
      <c r="FWP5"/>
      <c r="FWQ5"/>
      <c r="FWR5"/>
      <c r="FWS5"/>
      <c r="FWT5"/>
      <c r="FWU5"/>
      <c r="FWV5"/>
      <c r="FWW5"/>
      <c r="FWX5"/>
      <c r="FWY5"/>
      <c r="FWZ5"/>
      <c r="FXA5"/>
      <c r="FXB5"/>
      <c r="FXC5"/>
      <c r="FXD5"/>
      <c r="FXE5"/>
      <c r="FXF5"/>
      <c r="FXG5"/>
      <c r="FXH5"/>
      <c r="FXI5"/>
      <c r="FXJ5"/>
      <c r="FXK5"/>
      <c r="FXL5"/>
      <c r="FXM5"/>
      <c r="FXN5"/>
      <c r="FXO5"/>
      <c r="FXP5"/>
      <c r="FXQ5"/>
      <c r="FXR5"/>
      <c r="FXS5"/>
      <c r="FXT5"/>
      <c r="FXU5"/>
      <c r="FXV5"/>
      <c r="FXW5"/>
      <c r="FXX5"/>
      <c r="FXY5"/>
      <c r="FXZ5"/>
      <c r="FYA5"/>
      <c r="FYB5"/>
      <c r="FYC5"/>
      <c r="FYD5"/>
      <c r="FYE5"/>
      <c r="FYF5"/>
      <c r="FYG5"/>
      <c r="FYH5"/>
      <c r="FYI5"/>
      <c r="FYJ5"/>
      <c r="FYK5"/>
      <c r="FYL5"/>
      <c r="FYM5"/>
      <c r="FYN5"/>
      <c r="FYO5"/>
      <c r="FYP5"/>
      <c r="FYQ5"/>
      <c r="FYR5"/>
      <c r="FYS5"/>
      <c r="FYT5"/>
      <c r="FYU5"/>
      <c r="FYV5"/>
      <c r="FYW5"/>
      <c r="FYX5"/>
      <c r="FYY5"/>
      <c r="FYZ5"/>
      <c r="FZA5"/>
      <c r="FZB5"/>
      <c r="FZC5"/>
      <c r="FZD5"/>
      <c r="FZE5"/>
      <c r="FZF5"/>
      <c r="FZG5"/>
      <c r="FZH5"/>
      <c r="FZI5"/>
      <c r="FZJ5"/>
      <c r="FZK5"/>
      <c r="FZL5"/>
      <c r="FZM5"/>
      <c r="FZN5"/>
      <c r="FZO5"/>
      <c r="FZP5"/>
      <c r="FZQ5"/>
      <c r="FZR5"/>
      <c r="FZS5"/>
      <c r="FZT5"/>
      <c r="FZU5"/>
      <c r="FZV5"/>
      <c r="FZW5"/>
      <c r="FZX5"/>
      <c r="FZY5"/>
      <c r="FZZ5"/>
      <c r="GAA5"/>
      <c r="GAB5"/>
      <c r="GAC5"/>
      <c r="GAD5"/>
      <c r="GAE5"/>
      <c r="GAF5"/>
      <c r="GAG5"/>
      <c r="GAH5"/>
      <c r="GAI5"/>
      <c r="GAJ5"/>
      <c r="GAK5"/>
      <c r="GAL5"/>
      <c r="GAM5"/>
      <c r="GAN5"/>
      <c r="GAO5"/>
      <c r="GAP5"/>
      <c r="GAQ5"/>
      <c r="GAR5"/>
      <c r="GAS5"/>
      <c r="GAT5"/>
      <c r="GAU5"/>
      <c r="GAV5"/>
      <c r="GAW5"/>
      <c r="GAX5"/>
      <c r="GAY5"/>
      <c r="GAZ5"/>
      <c r="GBA5"/>
      <c r="GBB5"/>
      <c r="GBC5"/>
      <c r="GBD5"/>
      <c r="GBE5"/>
      <c r="GBF5"/>
      <c r="GBG5"/>
      <c r="GBH5"/>
      <c r="GBI5"/>
      <c r="GBJ5"/>
      <c r="GBK5"/>
      <c r="GBL5"/>
      <c r="GBM5"/>
      <c r="GBN5"/>
      <c r="GBO5"/>
      <c r="GBP5"/>
      <c r="GBQ5"/>
      <c r="GBR5"/>
      <c r="GBS5"/>
      <c r="GBT5"/>
      <c r="GBU5"/>
      <c r="GBV5"/>
      <c r="GBW5"/>
      <c r="GBX5"/>
      <c r="GBY5"/>
      <c r="GBZ5"/>
      <c r="GCA5"/>
      <c r="GCB5"/>
      <c r="GCC5"/>
      <c r="GCD5"/>
      <c r="GCE5"/>
      <c r="GCF5"/>
      <c r="GCG5"/>
      <c r="GCH5"/>
      <c r="GCI5"/>
      <c r="GCJ5"/>
      <c r="GCK5"/>
      <c r="GCL5"/>
      <c r="GCM5"/>
      <c r="GCN5"/>
      <c r="GCO5"/>
      <c r="GCP5"/>
      <c r="GCQ5"/>
      <c r="GCR5"/>
      <c r="GCS5"/>
      <c r="GCT5"/>
      <c r="GCU5"/>
      <c r="GCV5"/>
      <c r="GCW5"/>
      <c r="GCX5"/>
      <c r="GCY5"/>
      <c r="GCZ5"/>
      <c r="GDA5"/>
      <c r="GDB5"/>
      <c r="GDC5"/>
      <c r="GDD5"/>
      <c r="GDE5"/>
      <c r="GDF5"/>
      <c r="GDG5"/>
      <c r="GDH5"/>
      <c r="GDI5"/>
      <c r="GDJ5"/>
      <c r="GDK5"/>
      <c r="GDL5"/>
      <c r="GDM5"/>
      <c r="GDN5"/>
      <c r="GDO5"/>
      <c r="GDP5"/>
      <c r="GDQ5"/>
      <c r="GDR5"/>
      <c r="GDS5"/>
      <c r="GDT5"/>
      <c r="GDU5"/>
      <c r="GDV5"/>
      <c r="GDW5"/>
      <c r="GDX5"/>
      <c r="GDY5"/>
      <c r="GDZ5"/>
      <c r="GEA5"/>
      <c r="GEB5"/>
      <c r="GEC5"/>
      <c r="GED5"/>
      <c r="GEE5"/>
      <c r="GEF5"/>
      <c r="GEG5"/>
      <c r="GEH5"/>
      <c r="GEI5"/>
      <c r="GEJ5"/>
      <c r="GEK5"/>
      <c r="GEL5"/>
      <c r="GEM5"/>
      <c r="GEN5"/>
      <c r="GEO5"/>
      <c r="GEP5"/>
      <c r="GEQ5"/>
      <c r="GER5"/>
      <c r="GES5"/>
      <c r="GET5"/>
      <c r="GEU5"/>
      <c r="GEV5"/>
      <c r="GEW5"/>
      <c r="GEX5"/>
      <c r="GEY5"/>
      <c r="GEZ5"/>
      <c r="GFA5"/>
      <c r="GFB5"/>
      <c r="GFC5"/>
      <c r="GFD5"/>
      <c r="GFE5"/>
      <c r="GFF5"/>
      <c r="GFG5"/>
      <c r="GFH5"/>
      <c r="GFI5"/>
      <c r="GFJ5"/>
      <c r="GFK5"/>
      <c r="GFL5"/>
      <c r="GFM5"/>
      <c r="GFN5"/>
      <c r="GFO5"/>
      <c r="GFP5"/>
      <c r="GFQ5"/>
      <c r="GFR5"/>
      <c r="GFS5"/>
      <c r="GFT5"/>
      <c r="GFU5"/>
      <c r="GFV5"/>
      <c r="GFW5"/>
      <c r="GFX5"/>
      <c r="GFY5"/>
      <c r="GFZ5"/>
      <c r="GGA5"/>
      <c r="GGB5"/>
      <c r="GGC5"/>
      <c r="GGD5"/>
      <c r="GGE5"/>
      <c r="GGF5"/>
      <c r="GGG5"/>
      <c r="GGH5"/>
      <c r="GGI5"/>
      <c r="GGJ5"/>
      <c r="GGK5"/>
      <c r="GGL5"/>
      <c r="GGM5"/>
      <c r="GGN5"/>
      <c r="GGO5"/>
      <c r="GGP5"/>
      <c r="GGQ5"/>
      <c r="GGR5"/>
      <c r="GGS5"/>
      <c r="GGT5"/>
      <c r="GGU5"/>
      <c r="GGV5"/>
      <c r="GGW5"/>
      <c r="GGX5"/>
      <c r="GGY5"/>
      <c r="GGZ5"/>
      <c r="GHA5"/>
      <c r="GHB5"/>
      <c r="GHC5"/>
      <c r="GHD5"/>
      <c r="GHE5"/>
      <c r="GHF5"/>
      <c r="GHG5"/>
      <c r="GHH5"/>
      <c r="GHI5"/>
      <c r="GHJ5"/>
      <c r="GHK5"/>
      <c r="GHL5"/>
      <c r="GHM5"/>
      <c r="GHN5"/>
      <c r="GHO5"/>
      <c r="GHP5"/>
      <c r="GHQ5"/>
      <c r="GHR5"/>
      <c r="GHS5"/>
      <c r="GHT5"/>
      <c r="GHU5"/>
      <c r="GHV5"/>
      <c r="GHW5"/>
      <c r="GHX5"/>
      <c r="GHY5"/>
      <c r="GHZ5"/>
      <c r="GIA5"/>
      <c r="GIB5"/>
      <c r="GIC5"/>
      <c r="GID5"/>
      <c r="GIE5"/>
      <c r="GIF5"/>
      <c r="GIG5"/>
      <c r="GIH5"/>
      <c r="GII5"/>
      <c r="GIJ5"/>
      <c r="GIK5"/>
      <c r="GIL5"/>
      <c r="GIM5"/>
      <c r="GIN5"/>
      <c r="GIO5"/>
      <c r="GIP5"/>
      <c r="GIQ5"/>
      <c r="GIR5"/>
      <c r="GIS5"/>
      <c r="GIT5"/>
      <c r="GIU5"/>
      <c r="GIV5"/>
      <c r="GIW5"/>
      <c r="GIX5"/>
      <c r="GIY5"/>
      <c r="GIZ5"/>
      <c r="GJA5"/>
      <c r="GJB5"/>
      <c r="GJC5"/>
      <c r="GJD5"/>
      <c r="GJE5"/>
      <c r="GJF5"/>
      <c r="GJG5"/>
      <c r="GJH5"/>
      <c r="GJI5"/>
      <c r="GJJ5"/>
      <c r="GJK5"/>
      <c r="GJL5"/>
      <c r="GJM5"/>
      <c r="GJN5"/>
      <c r="GJO5"/>
      <c r="GJP5"/>
      <c r="GJQ5"/>
      <c r="GJR5"/>
      <c r="GJS5"/>
      <c r="GJT5"/>
      <c r="GJU5"/>
      <c r="GJV5"/>
      <c r="GJW5"/>
      <c r="GJX5"/>
      <c r="GJY5"/>
      <c r="GJZ5"/>
      <c r="GKA5"/>
      <c r="GKB5"/>
      <c r="GKC5"/>
      <c r="GKD5"/>
      <c r="GKE5"/>
      <c r="GKF5"/>
      <c r="GKG5"/>
      <c r="GKH5"/>
      <c r="GKI5"/>
    </row>
    <row r="6" spans="2:5027" x14ac:dyDescent="0.25"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  <c r="DI6" s="33"/>
      <c r="DJ6" s="33"/>
      <c r="DK6" s="33"/>
      <c r="DL6" s="33"/>
      <c r="DM6" s="33"/>
      <c r="DN6" s="33"/>
      <c r="DO6" s="33"/>
      <c r="DP6" s="33"/>
      <c r="DQ6" s="33"/>
      <c r="DR6" s="33"/>
      <c r="DS6" s="33"/>
      <c r="DT6" s="33"/>
      <c r="DU6" s="33"/>
      <c r="DV6" s="33"/>
      <c r="DW6" s="33"/>
      <c r="DX6" s="33"/>
      <c r="DY6" s="33"/>
      <c r="DZ6" s="33"/>
      <c r="EA6" s="33"/>
      <c r="EB6" s="33"/>
      <c r="EC6" s="33"/>
      <c r="ED6" s="33"/>
      <c r="EE6" s="33"/>
      <c r="EF6" s="33"/>
      <c r="EG6" s="33"/>
      <c r="EH6" s="33"/>
      <c r="EI6" s="33"/>
      <c r="EJ6" s="33"/>
      <c r="EK6" s="33"/>
      <c r="EL6" s="33"/>
      <c r="EM6" s="33"/>
      <c r="EN6" s="33"/>
      <c r="EO6" s="33"/>
      <c r="EP6" s="33"/>
      <c r="EQ6" s="33"/>
      <c r="ER6" s="33"/>
      <c r="ES6" s="33"/>
      <c r="ET6" s="33"/>
      <c r="EU6" s="33"/>
      <c r="EV6" s="33"/>
      <c r="EW6" s="33"/>
      <c r="EX6" s="33"/>
      <c r="EY6" s="33"/>
      <c r="EZ6" s="33"/>
      <c r="FA6" s="33"/>
      <c r="FB6" s="33"/>
      <c r="FC6" s="33"/>
      <c r="FD6" s="33"/>
      <c r="FE6" s="33"/>
      <c r="FF6" s="33"/>
      <c r="FG6" s="33"/>
      <c r="FH6" s="33"/>
      <c r="FI6" s="33"/>
      <c r="FJ6" s="33"/>
      <c r="FK6" s="33"/>
      <c r="FL6" s="33"/>
      <c r="FM6" s="33"/>
      <c r="FN6" s="33"/>
      <c r="FO6" s="33"/>
      <c r="FP6" s="33"/>
      <c r="FQ6" s="33"/>
      <c r="FR6" s="33"/>
      <c r="FS6" s="33"/>
      <c r="FT6" s="33"/>
      <c r="FU6" s="33"/>
      <c r="FV6" s="33"/>
      <c r="FW6" s="33"/>
      <c r="FX6" s="33"/>
      <c r="FY6" s="33"/>
      <c r="FZ6" s="33"/>
      <c r="GA6" s="33"/>
      <c r="GB6" s="33"/>
      <c r="GC6" s="33"/>
      <c r="GD6" s="33"/>
      <c r="GE6" s="33"/>
      <c r="GF6" s="33"/>
      <c r="GG6" s="33"/>
      <c r="GH6" s="33"/>
      <c r="GI6" s="33"/>
      <c r="GJ6" s="33"/>
      <c r="GK6" s="33"/>
      <c r="GL6" s="33"/>
      <c r="GM6" s="33"/>
      <c r="GN6" s="33"/>
      <c r="GO6" s="33"/>
      <c r="GP6" s="33"/>
      <c r="GQ6" s="33"/>
      <c r="GR6" s="33"/>
      <c r="GS6" s="33"/>
      <c r="GT6" s="33"/>
      <c r="GU6" s="33"/>
      <c r="GV6" s="33"/>
      <c r="GW6" s="33"/>
      <c r="GX6" s="33"/>
      <c r="GY6" s="33"/>
      <c r="GZ6" s="33"/>
      <c r="HA6" s="33"/>
      <c r="HB6" s="33"/>
      <c r="HC6" s="33"/>
      <c r="HD6" s="33"/>
      <c r="HE6" s="33"/>
      <c r="HF6" s="33"/>
      <c r="HG6" s="33"/>
      <c r="HH6" s="33"/>
      <c r="HI6" s="33"/>
      <c r="HJ6" s="33"/>
      <c r="HK6" s="33"/>
      <c r="HL6" s="33"/>
      <c r="HM6" s="33"/>
      <c r="HN6" s="33"/>
      <c r="HO6" s="33"/>
      <c r="HP6" s="33"/>
      <c r="HQ6" s="33"/>
      <c r="HR6" s="33"/>
      <c r="HS6" s="33"/>
      <c r="HT6" s="33"/>
      <c r="HU6" s="33"/>
      <c r="HV6" s="33"/>
      <c r="HW6" s="33"/>
      <c r="HX6" s="33"/>
      <c r="HY6" s="33"/>
      <c r="HZ6" s="33"/>
      <c r="IA6" s="33"/>
      <c r="IB6" s="33"/>
      <c r="IC6" s="33"/>
      <c r="ID6" s="33"/>
      <c r="IE6" s="33"/>
      <c r="IF6" s="33"/>
      <c r="IG6" s="33"/>
      <c r="IH6" s="33"/>
      <c r="II6" s="33"/>
      <c r="IJ6" s="33"/>
      <c r="IK6" s="33"/>
      <c r="IL6" s="33"/>
      <c r="IM6" s="33"/>
      <c r="IN6" s="33"/>
      <c r="IO6" s="33"/>
      <c r="IP6" s="33"/>
      <c r="IQ6" s="33"/>
      <c r="IR6" s="33"/>
      <c r="IS6" s="33"/>
      <c r="IT6" s="33"/>
      <c r="IU6" s="33"/>
      <c r="IV6" s="33"/>
      <c r="IW6" s="33"/>
      <c r="IX6" s="33"/>
      <c r="IY6" s="33"/>
      <c r="IZ6" s="33"/>
      <c r="JA6" s="33"/>
      <c r="JB6" s="33"/>
      <c r="JC6" s="33"/>
      <c r="JD6" s="33"/>
      <c r="JE6" s="33"/>
      <c r="JF6" s="33"/>
      <c r="JG6" s="33"/>
      <c r="JH6" s="33"/>
      <c r="JI6" s="33"/>
      <c r="JJ6" s="33"/>
      <c r="JK6" s="33"/>
      <c r="JL6" s="33"/>
      <c r="JM6" s="33"/>
      <c r="JN6" s="33"/>
      <c r="JO6" s="33"/>
      <c r="JP6" s="33"/>
      <c r="JQ6" s="33"/>
      <c r="JR6" s="33"/>
      <c r="JS6" s="33"/>
      <c r="JT6" s="33"/>
      <c r="JU6" s="33"/>
      <c r="JV6" s="33"/>
      <c r="JW6" s="33"/>
      <c r="JX6" s="33"/>
      <c r="JY6" s="33"/>
      <c r="JZ6" s="33"/>
      <c r="KA6" s="33"/>
      <c r="KB6" s="33"/>
      <c r="KC6" s="33"/>
      <c r="KD6" s="33"/>
      <c r="KE6" s="33"/>
      <c r="KF6" s="33"/>
      <c r="KG6" s="33"/>
      <c r="KH6" s="33"/>
      <c r="KI6" s="33"/>
      <c r="KJ6" s="33"/>
      <c r="KK6" s="33"/>
      <c r="KL6" s="33"/>
      <c r="KM6" s="33"/>
      <c r="KN6" s="33"/>
      <c r="KO6" s="33"/>
      <c r="KP6" s="33"/>
      <c r="KQ6" s="33"/>
      <c r="KR6" s="33"/>
      <c r="KS6" s="33"/>
      <c r="KT6" s="33"/>
      <c r="KU6" s="33"/>
      <c r="KV6" s="33"/>
      <c r="KW6" s="33"/>
      <c r="KX6" s="33"/>
      <c r="KY6" s="33"/>
      <c r="KZ6" s="33"/>
      <c r="LA6" s="33"/>
      <c r="LB6" s="33"/>
      <c r="LC6" s="33"/>
      <c r="LD6" s="33"/>
      <c r="LE6" s="33"/>
      <c r="LF6" s="33"/>
      <c r="LG6" s="33"/>
      <c r="LH6" s="33"/>
      <c r="LI6" s="33"/>
      <c r="LJ6" s="33"/>
      <c r="LK6" s="33"/>
      <c r="LL6" s="33"/>
      <c r="LM6" s="33"/>
      <c r="LN6" s="33"/>
      <c r="LO6" s="33"/>
      <c r="LP6" s="33"/>
      <c r="LQ6" s="33"/>
      <c r="LR6" s="33"/>
      <c r="LS6" s="33"/>
      <c r="LT6" s="33"/>
      <c r="LU6" s="33"/>
      <c r="LV6" s="33"/>
      <c r="LW6" s="33"/>
      <c r="LX6" s="33"/>
      <c r="LY6" s="33"/>
      <c r="LZ6" s="33"/>
      <c r="MA6" s="33"/>
      <c r="MB6" s="33"/>
      <c r="MC6" s="33"/>
      <c r="MD6" s="33"/>
      <c r="ME6" s="33"/>
      <c r="MF6" s="33"/>
      <c r="MG6" s="33"/>
      <c r="MH6" s="33"/>
      <c r="MI6" s="33"/>
      <c r="MJ6" s="33"/>
      <c r="MK6" s="33"/>
      <c r="ML6" s="33"/>
      <c r="MM6" s="33"/>
      <c r="MN6" s="33"/>
      <c r="MO6" s="33"/>
      <c r="MP6" s="33"/>
      <c r="MQ6" s="33"/>
      <c r="MR6" s="33"/>
      <c r="MS6" s="33"/>
      <c r="MT6" s="33"/>
      <c r="MU6" s="33"/>
      <c r="MV6" s="33"/>
      <c r="MW6" s="33"/>
      <c r="MX6" s="33"/>
      <c r="MY6" s="33"/>
      <c r="MZ6" s="33"/>
      <c r="NA6" s="33"/>
      <c r="NB6" s="33"/>
      <c r="NC6" s="33"/>
      <c r="ND6" s="33"/>
      <c r="NE6" s="33"/>
      <c r="NF6" s="33"/>
      <c r="NG6" s="33"/>
      <c r="NH6" s="33"/>
      <c r="NI6" s="33"/>
      <c r="NJ6" s="33"/>
      <c r="NK6" s="33"/>
      <c r="NL6" s="33"/>
      <c r="NM6" s="33"/>
      <c r="NN6" s="33"/>
      <c r="NO6" s="33"/>
      <c r="NP6" s="33"/>
      <c r="NQ6" s="33"/>
      <c r="NR6" s="33"/>
      <c r="NS6" s="33"/>
      <c r="NT6" s="33"/>
      <c r="NU6" s="33"/>
      <c r="NV6" s="33"/>
      <c r="NW6" s="33"/>
      <c r="NX6" s="33"/>
      <c r="NY6" s="33"/>
      <c r="NZ6" s="33"/>
      <c r="OA6" s="33"/>
      <c r="OB6" s="33"/>
      <c r="OC6" s="33"/>
      <c r="OD6" s="33"/>
      <c r="OE6" s="33"/>
      <c r="OF6" s="33"/>
      <c r="OG6" s="33"/>
      <c r="OH6" s="33"/>
      <c r="OI6" s="33"/>
      <c r="OJ6" s="33"/>
      <c r="OK6" s="33"/>
      <c r="OL6" s="33"/>
      <c r="OM6" s="33"/>
      <c r="ON6" s="33"/>
      <c r="OO6" s="33"/>
      <c r="OP6" s="33"/>
      <c r="OQ6" s="33"/>
      <c r="OR6" s="33"/>
      <c r="OS6" s="33"/>
      <c r="OT6" s="33"/>
      <c r="OU6" s="33"/>
      <c r="OV6" s="33"/>
      <c r="OW6" s="33"/>
      <c r="OX6" s="33"/>
      <c r="OY6" s="33"/>
      <c r="OZ6" s="33"/>
      <c r="PA6" s="33"/>
      <c r="PB6" s="33"/>
      <c r="PC6" s="33"/>
      <c r="PD6" s="33"/>
      <c r="PE6" s="33"/>
      <c r="PF6" s="33"/>
      <c r="PG6" s="33"/>
      <c r="PH6" s="33"/>
      <c r="PI6" s="33"/>
      <c r="PJ6" s="33"/>
      <c r="PK6" s="33"/>
      <c r="PL6" s="33"/>
      <c r="PM6" s="33"/>
      <c r="PN6" s="33"/>
      <c r="PO6" s="33"/>
      <c r="PP6" s="33"/>
      <c r="PQ6" s="33"/>
      <c r="PR6" s="33"/>
      <c r="PS6" s="33"/>
      <c r="PT6" s="33"/>
      <c r="PU6" s="33"/>
      <c r="PV6" s="33"/>
      <c r="PW6" s="33"/>
      <c r="PX6" s="33"/>
      <c r="PY6" s="33"/>
      <c r="PZ6" s="33"/>
      <c r="QA6" s="33"/>
      <c r="QB6" s="33"/>
      <c r="QC6" s="33"/>
      <c r="QD6" s="33"/>
      <c r="QE6" s="33"/>
      <c r="QF6" s="33"/>
      <c r="QG6" s="33"/>
      <c r="QH6" s="33"/>
      <c r="QI6" s="33"/>
      <c r="QJ6" s="33"/>
      <c r="QK6" s="33"/>
      <c r="QL6" s="33"/>
      <c r="QM6" s="33"/>
      <c r="QN6" s="33"/>
      <c r="QO6" s="33"/>
      <c r="QP6" s="33"/>
      <c r="QQ6" s="33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  <c r="CRH6"/>
      <c r="CRI6"/>
      <c r="CRJ6"/>
      <c r="CRK6"/>
      <c r="CRL6"/>
      <c r="CRM6"/>
      <c r="CRN6"/>
      <c r="CRO6"/>
      <c r="CRP6"/>
      <c r="CRQ6"/>
      <c r="CRR6"/>
      <c r="CRS6"/>
      <c r="CRT6"/>
      <c r="CRU6"/>
      <c r="CRV6"/>
      <c r="CRW6"/>
      <c r="CRX6"/>
      <c r="CRY6"/>
      <c r="CRZ6"/>
      <c r="CSA6"/>
      <c r="CSB6"/>
      <c r="CSC6"/>
      <c r="CSD6"/>
      <c r="CSE6"/>
      <c r="CSF6"/>
      <c r="CSG6"/>
      <c r="CSH6"/>
      <c r="CSI6"/>
      <c r="CSJ6"/>
      <c r="CSK6"/>
      <c r="CSL6"/>
      <c r="CSM6"/>
      <c r="CSN6"/>
      <c r="CSO6"/>
      <c r="CSP6"/>
      <c r="CSQ6"/>
      <c r="CSR6"/>
      <c r="CSS6"/>
      <c r="CST6"/>
      <c r="CSU6"/>
      <c r="CSV6"/>
      <c r="CSW6"/>
      <c r="CSX6"/>
      <c r="CSY6"/>
      <c r="CSZ6"/>
      <c r="CTA6"/>
      <c r="CTB6"/>
      <c r="CTC6"/>
      <c r="CTD6"/>
      <c r="CTE6"/>
      <c r="CTF6"/>
      <c r="CTG6"/>
      <c r="CTH6"/>
      <c r="CTI6"/>
      <c r="CTJ6"/>
      <c r="CTK6"/>
      <c r="CTL6"/>
      <c r="CTM6"/>
      <c r="CTN6"/>
      <c r="CTO6"/>
      <c r="CTP6"/>
      <c r="CTQ6"/>
      <c r="CTR6"/>
      <c r="CTS6"/>
      <c r="CTT6"/>
      <c r="CTU6"/>
      <c r="CTV6"/>
      <c r="CTW6"/>
      <c r="CTX6"/>
      <c r="CTY6"/>
      <c r="CTZ6"/>
      <c r="CUA6"/>
      <c r="CUB6"/>
      <c r="CUC6"/>
      <c r="CUD6"/>
      <c r="CUE6"/>
      <c r="CUF6"/>
      <c r="CUG6"/>
      <c r="CUH6"/>
      <c r="CUI6"/>
      <c r="CUJ6"/>
      <c r="CUK6"/>
      <c r="CUL6"/>
      <c r="CUM6"/>
      <c r="CUN6"/>
      <c r="CUO6"/>
      <c r="CUP6"/>
      <c r="CUQ6"/>
      <c r="CUR6"/>
      <c r="CUS6"/>
      <c r="CUT6"/>
      <c r="CUU6"/>
      <c r="CUV6"/>
      <c r="CUW6"/>
      <c r="CUX6"/>
      <c r="CUY6"/>
      <c r="CUZ6"/>
      <c r="CVA6"/>
      <c r="CVB6"/>
      <c r="CVC6"/>
      <c r="CVD6"/>
      <c r="CVE6"/>
      <c r="CVF6"/>
      <c r="CVG6"/>
      <c r="CVH6"/>
      <c r="CVI6"/>
      <c r="CVJ6"/>
      <c r="CVK6"/>
      <c r="CVL6"/>
      <c r="CVM6"/>
      <c r="CVN6"/>
      <c r="CVO6"/>
      <c r="CVP6"/>
      <c r="CVQ6"/>
      <c r="CVR6"/>
      <c r="CVS6"/>
      <c r="CVT6"/>
      <c r="CVU6"/>
      <c r="CVV6"/>
      <c r="CVW6"/>
      <c r="CVX6"/>
      <c r="CVY6"/>
      <c r="CVZ6"/>
      <c r="CWA6"/>
      <c r="CWB6"/>
      <c r="CWC6"/>
      <c r="CWD6"/>
      <c r="CWE6"/>
      <c r="CWF6"/>
      <c r="CWG6"/>
      <c r="CWH6"/>
      <c r="CWI6"/>
      <c r="CWJ6"/>
      <c r="CWK6"/>
      <c r="CWL6"/>
      <c r="CWM6"/>
      <c r="CWN6"/>
      <c r="CWO6"/>
      <c r="CWP6"/>
      <c r="CWQ6"/>
      <c r="CWR6"/>
      <c r="CWS6"/>
      <c r="CWT6"/>
      <c r="CWU6"/>
      <c r="CWV6"/>
      <c r="CWW6"/>
      <c r="CWX6"/>
      <c r="CWY6"/>
      <c r="CWZ6"/>
      <c r="CXA6"/>
      <c r="CXB6"/>
      <c r="CXC6"/>
      <c r="CXD6"/>
      <c r="CXE6"/>
      <c r="CXF6"/>
      <c r="CXG6"/>
      <c r="CXH6"/>
      <c r="CXI6"/>
      <c r="CXJ6"/>
      <c r="CXK6"/>
      <c r="CXL6"/>
      <c r="CXM6"/>
      <c r="CXN6"/>
      <c r="CXO6"/>
      <c r="CXP6"/>
      <c r="CXQ6"/>
      <c r="CXR6"/>
      <c r="CXS6"/>
      <c r="CXT6"/>
      <c r="CXU6"/>
      <c r="CXV6"/>
      <c r="CXW6"/>
      <c r="CXX6"/>
      <c r="CXY6"/>
      <c r="CXZ6"/>
      <c r="CYA6"/>
      <c r="CYB6"/>
      <c r="CYC6"/>
      <c r="CYD6"/>
      <c r="CYE6"/>
      <c r="CYF6"/>
      <c r="CYG6"/>
      <c r="CYH6"/>
      <c r="CYI6"/>
      <c r="CYJ6"/>
      <c r="CYK6"/>
      <c r="CYL6"/>
      <c r="CYM6"/>
      <c r="CYN6"/>
      <c r="CYO6"/>
      <c r="CYP6"/>
      <c r="CYQ6"/>
      <c r="CYR6"/>
      <c r="CYS6"/>
      <c r="CYT6"/>
      <c r="CYU6"/>
      <c r="CYV6"/>
      <c r="CYW6"/>
      <c r="CYX6"/>
      <c r="CYY6"/>
      <c r="CYZ6"/>
      <c r="CZA6"/>
      <c r="CZB6"/>
      <c r="CZC6"/>
      <c r="CZD6"/>
      <c r="CZE6"/>
      <c r="CZF6"/>
      <c r="CZG6"/>
      <c r="CZH6"/>
      <c r="CZI6"/>
      <c r="CZJ6"/>
      <c r="CZK6"/>
      <c r="CZL6"/>
      <c r="CZM6"/>
      <c r="CZN6"/>
      <c r="CZO6"/>
      <c r="CZP6"/>
      <c r="CZQ6"/>
      <c r="CZR6"/>
      <c r="CZS6"/>
      <c r="CZT6"/>
      <c r="CZU6"/>
      <c r="CZV6"/>
      <c r="CZW6"/>
      <c r="CZX6"/>
      <c r="CZY6"/>
      <c r="CZZ6"/>
      <c r="DAA6"/>
      <c r="DAB6"/>
      <c r="DAC6"/>
      <c r="DAD6"/>
      <c r="DAE6"/>
      <c r="DAF6"/>
      <c r="DAG6"/>
      <c r="DAH6"/>
      <c r="DAI6"/>
      <c r="DAJ6"/>
      <c r="DAK6"/>
      <c r="DAL6"/>
      <c r="DAM6"/>
      <c r="DAN6"/>
      <c r="DAO6"/>
      <c r="DAP6"/>
      <c r="DAQ6"/>
      <c r="DAR6"/>
      <c r="DAS6"/>
      <c r="DAT6"/>
      <c r="DAU6"/>
      <c r="DAV6"/>
      <c r="DAW6"/>
      <c r="DAX6"/>
      <c r="DAY6"/>
      <c r="DAZ6"/>
      <c r="DBA6"/>
      <c r="DBB6"/>
      <c r="DBC6"/>
      <c r="DBD6"/>
      <c r="DBE6"/>
      <c r="DBF6"/>
      <c r="DBG6"/>
      <c r="DBH6"/>
      <c r="DBI6"/>
      <c r="DBJ6"/>
      <c r="DBK6"/>
      <c r="DBL6"/>
      <c r="DBM6"/>
      <c r="DBN6"/>
      <c r="DBO6"/>
      <c r="DBP6"/>
      <c r="DBQ6"/>
      <c r="DBR6"/>
      <c r="DBS6"/>
      <c r="DBT6"/>
      <c r="DBU6"/>
      <c r="DBV6"/>
      <c r="DBW6"/>
      <c r="DBX6"/>
      <c r="DBY6"/>
      <c r="DBZ6"/>
      <c r="DCA6"/>
      <c r="DCB6"/>
      <c r="DCC6"/>
      <c r="DCD6"/>
      <c r="DCE6"/>
      <c r="DCF6"/>
      <c r="DCG6"/>
      <c r="DCH6"/>
      <c r="DCI6"/>
      <c r="DCJ6"/>
      <c r="DCK6"/>
      <c r="DCL6"/>
      <c r="DCM6"/>
      <c r="DCN6"/>
      <c r="DCO6"/>
      <c r="DCP6"/>
      <c r="DCQ6"/>
      <c r="DCR6"/>
      <c r="DCS6"/>
      <c r="DCT6"/>
      <c r="DCU6"/>
      <c r="DCV6"/>
      <c r="DCW6"/>
      <c r="DCX6"/>
      <c r="DCY6"/>
      <c r="DCZ6"/>
      <c r="DDA6"/>
      <c r="DDB6"/>
      <c r="DDC6"/>
      <c r="DDD6"/>
      <c r="DDE6"/>
      <c r="DDF6"/>
      <c r="DDG6"/>
      <c r="DDH6"/>
      <c r="DDI6"/>
      <c r="DDJ6"/>
      <c r="DDK6"/>
      <c r="DDL6"/>
      <c r="DDM6"/>
      <c r="DDN6"/>
      <c r="DDO6"/>
      <c r="DDP6"/>
      <c r="DDQ6"/>
      <c r="DDR6"/>
      <c r="DDS6"/>
      <c r="DDT6"/>
      <c r="DDU6"/>
      <c r="DDV6"/>
      <c r="DDW6"/>
      <c r="DDX6"/>
      <c r="DDY6"/>
      <c r="DDZ6"/>
      <c r="DEA6"/>
      <c r="DEB6"/>
      <c r="DEC6"/>
      <c r="DED6"/>
      <c r="DEE6"/>
      <c r="DEF6"/>
      <c r="DEG6"/>
      <c r="DEH6"/>
      <c r="DEI6"/>
      <c r="DEJ6"/>
      <c r="DEK6"/>
      <c r="DEL6"/>
      <c r="DEM6"/>
      <c r="DEN6"/>
      <c r="DEO6"/>
      <c r="DEP6"/>
      <c r="DEQ6"/>
      <c r="DER6"/>
      <c r="DES6"/>
      <c r="DET6"/>
      <c r="DEU6"/>
      <c r="DEV6"/>
      <c r="DEW6"/>
      <c r="DEX6"/>
      <c r="DEY6"/>
      <c r="DEZ6"/>
      <c r="DFA6"/>
      <c r="DFB6"/>
      <c r="DFC6"/>
      <c r="DFD6"/>
      <c r="DFE6"/>
      <c r="DFF6"/>
      <c r="DFG6"/>
      <c r="DFH6"/>
      <c r="DFI6"/>
      <c r="DFJ6"/>
      <c r="DFK6"/>
      <c r="DFL6"/>
      <c r="DFM6"/>
      <c r="DFN6"/>
      <c r="DFO6"/>
      <c r="DFP6"/>
      <c r="DFQ6"/>
      <c r="DFR6"/>
      <c r="DFS6"/>
      <c r="DFT6"/>
      <c r="DFU6"/>
      <c r="DFV6"/>
      <c r="DFW6"/>
      <c r="DFX6"/>
      <c r="DFY6"/>
      <c r="DFZ6"/>
      <c r="DGA6"/>
      <c r="DGB6"/>
      <c r="DGC6"/>
      <c r="DGD6"/>
      <c r="DGE6"/>
      <c r="DGF6"/>
      <c r="DGG6"/>
      <c r="DGH6"/>
      <c r="DGI6"/>
      <c r="DGJ6"/>
      <c r="DGK6"/>
      <c r="DGL6"/>
      <c r="DGM6"/>
      <c r="DGN6"/>
      <c r="DGO6"/>
      <c r="DGP6"/>
      <c r="DGQ6"/>
      <c r="DGR6"/>
      <c r="DGS6"/>
      <c r="DGT6"/>
      <c r="DGU6"/>
      <c r="DGV6"/>
      <c r="DGW6"/>
      <c r="DGX6"/>
      <c r="DGY6"/>
      <c r="DGZ6"/>
      <c r="DHA6"/>
      <c r="DHB6"/>
      <c r="DHC6"/>
      <c r="DHD6"/>
      <c r="DHE6"/>
      <c r="DHF6"/>
      <c r="DHG6"/>
      <c r="DHH6"/>
      <c r="DHI6"/>
      <c r="DHJ6"/>
      <c r="DHK6"/>
      <c r="DHL6"/>
      <c r="DHM6"/>
      <c r="DHN6"/>
      <c r="DHO6"/>
      <c r="DHP6"/>
      <c r="DHQ6"/>
      <c r="DHR6"/>
      <c r="DHS6"/>
      <c r="DHT6"/>
      <c r="DHU6"/>
      <c r="DHV6"/>
      <c r="DHW6"/>
      <c r="DHX6"/>
      <c r="DHY6"/>
      <c r="DHZ6"/>
      <c r="DIA6"/>
      <c r="DIB6"/>
      <c r="DIC6"/>
      <c r="DID6"/>
      <c r="DIE6"/>
      <c r="DIF6"/>
      <c r="DIG6"/>
      <c r="DIH6"/>
      <c r="DII6"/>
      <c r="DIJ6"/>
      <c r="DIK6"/>
      <c r="DIL6"/>
      <c r="DIM6"/>
      <c r="DIN6"/>
      <c r="DIO6"/>
      <c r="DIP6"/>
      <c r="DIQ6"/>
      <c r="DIR6"/>
      <c r="DIS6"/>
      <c r="DIT6"/>
      <c r="DIU6"/>
      <c r="DIV6"/>
      <c r="DIW6"/>
      <c r="DIX6"/>
      <c r="DIY6"/>
      <c r="DIZ6"/>
      <c r="DJA6"/>
      <c r="DJB6"/>
      <c r="DJC6"/>
      <c r="DJD6"/>
      <c r="DJE6"/>
      <c r="DJF6"/>
      <c r="DJG6"/>
      <c r="DJH6"/>
      <c r="DJI6"/>
      <c r="DJJ6"/>
      <c r="DJK6"/>
      <c r="DJL6"/>
      <c r="DJM6"/>
      <c r="DJN6"/>
      <c r="DJO6"/>
      <c r="DJP6"/>
      <c r="DJQ6"/>
      <c r="DJR6"/>
      <c r="DJS6"/>
      <c r="DJT6"/>
      <c r="DJU6"/>
      <c r="DJV6"/>
      <c r="DJW6"/>
      <c r="DJX6"/>
      <c r="DJY6"/>
      <c r="DJZ6"/>
      <c r="DKA6"/>
      <c r="DKB6"/>
      <c r="DKC6"/>
      <c r="DKD6"/>
      <c r="DKE6"/>
      <c r="DKF6"/>
      <c r="DKG6"/>
      <c r="DKH6"/>
      <c r="DKI6"/>
      <c r="DKJ6"/>
      <c r="DKK6"/>
      <c r="DKL6"/>
      <c r="DKM6"/>
      <c r="DKN6"/>
      <c r="DKO6"/>
      <c r="DKP6"/>
      <c r="DKQ6"/>
      <c r="DKR6"/>
      <c r="DKS6"/>
      <c r="DKT6"/>
      <c r="DKU6"/>
      <c r="DKV6"/>
      <c r="DKW6"/>
      <c r="DKX6"/>
      <c r="DKY6"/>
      <c r="DKZ6"/>
      <c r="DLA6"/>
      <c r="DLB6"/>
      <c r="DLC6"/>
      <c r="DLD6"/>
      <c r="DLE6"/>
      <c r="DLF6"/>
      <c r="DLG6"/>
      <c r="DLH6"/>
      <c r="DLI6"/>
      <c r="DLJ6"/>
      <c r="DLK6"/>
      <c r="DLL6"/>
      <c r="DLM6"/>
      <c r="DLN6"/>
      <c r="DLO6"/>
      <c r="DLP6"/>
      <c r="DLQ6"/>
      <c r="DLR6"/>
      <c r="DLS6"/>
      <c r="DLT6"/>
      <c r="DLU6"/>
      <c r="DLV6"/>
      <c r="DLW6"/>
      <c r="DLX6"/>
      <c r="DLY6"/>
      <c r="DLZ6"/>
      <c r="DMA6"/>
      <c r="DMB6"/>
      <c r="DMC6"/>
      <c r="DMD6"/>
      <c r="DME6"/>
      <c r="DMF6"/>
      <c r="DMG6"/>
      <c r="DMH6"/>
      <c r="DMI6"/>
      <c r="DMJ6"/>
      <c r="DMK6"/>
      <c r="DML6"/>
      <c r="DMM6"/>
      <c r="DMN6"/>
      <c r="DMO6"/>
      <c r="DMP6"/>
      <c r="DMQ6"/>
      <c r="DMR6"/>
      <c r="DMS6"/>
      <c r="DMT6"/>
      <c r="DMU6"/>
      <c r="DMV6"/>
      <c r="DMW6"/>
      <c r="DMX6"/>
      <c r="DMY6"/>
      <c r="DMZ6"/>
      <c r="DNA6"/>
      <c r="DNB6"/>
      <c r="DNC6"/>
      <c r="DND6"/>
      <c r="DNE6"/>
      <c r="DNF6"/>
      <c r="DNG6"/>
      <c r="DNH6"/>
      <c r="DNI6"/>
      <c r="DNJ6"/>
      <c r="DNK6"/>
      <c r="DNL6"/>
      <c r="DNM6"/>
      <c r="DNN6"/>
      <c r="DNO6"/>
      <c r="DNP6"/>
      <c r="DNQ6"/>
      <c r="DNR6"/>
      <c r="DNS6"/>
      <c r="DNT6"/>
      <c r="DNU6"/>
      <c r="DNV6"/>
      <c r="DNW6"/>
      <c r="DNX6"/>
      <c r="DNY6"/>
      <c r="DNZ6"/>
      <c r="DOA6"/>
      <c r="DOB6"/>
      <c r="DOC6"/>
      <c r="DOD6"/>
      <c r="DOE6"/>
      <c r="DOF6"/>
      <c r="DOG6"/>
      <c r="DOH6"/>
      <c r="DOI6"/>
      <c r="DOJ6"/>
      <c r="DOK6"/>
      <c r="DOL6"/>
      <c r="DOM6"/>
      <c r="DON6"/>
      <c r="DOO6"/>
      <c r="DOP6"/>
      <c r="DOQ6"/>
      <c r="DOR6"/>
      <c r="DOS6"/>
      <c r="DOT6"/>
      <c r="DOU6"/>
      <c r="DOV6"/>
      <c r="DOW6"/>
      <c r="DOX6"/>
      <c r="DOY6"/>
      <c r="DOZ6"/>
      <c r="DPA6"/>
      <c r="DPB6"/>
      <c r="DPC6"/>
      <c r="DPD6"/>
      <c r="DPE6"/>
      <c r="DPF6"/>
      <c r="DPG6"/>
      <c r="DPH6"/>
      <c r="DPI6"/>
      <c r="DPJ6"/>
      <c r="DPK6"/>
      <c r="DPL6"/>
      <c r="DPM6"/>
      <c r="DPN6"/>
      <c r="DPO6"/>
      <c r="DPP6"/>
      <c r="DPQ6"/>
      <c r="DPR6"/>
      <c r="DPS6"/>
      <c r="DPT6"/>
      <c r="DPU6"/>
      <c r="DPV6"/>
      <c r="DPW6"/>
      <c r="DPX6"/>
      <c r="DPY6"/>
      <c r="DPZ6"/>
      <c r="DQA6"/>
      <c r="DQB6"/>
      <c r="DQC6"/>
      <c r="DQD6"/>
      <c r="DQE6"/>
      <c r="DQF6"/>
      <c r="DQG6"/>
      <c r="DQH6"/>
      <c r="DQI6"/>
      <c r="DQJ6"/>
      <c r="DQK6"/>
      <c r="DQL6"/>
      <c r="DQM6"/>
      <c r="DQN6"/>
      <c r="DQO6"/>
      <c r="DQP6"/>
      <c r="DQQ6"/>
      <c r="DQR6"/>
      <c r="DQS6"/>
      <c r="DQT6"/>
      <c r="DQU6"/>
      <c r="DQV6"/>
      <c r="DQW6"/>
      <c r="DQX6"/>
      <c r="DQY6"/>
      <c r="DQZ6"/>
      <c r="DRA6"/>
      <c r="DRB6"/>
      <c r="DRC6"/>
      <c r="DRD6"/>
      <c r="DRE6"/>
      <c r="DRF6"/>
      <c r="DRG6"/>
      <c r="DRH6"/>
      <c r="DRI6"/>
      <c r="DRJ6"/>
      <c r="DRK6"/>
      <c r="DRL6"/>
      <c r="DRM6"/>
      <c r="DRN6"/>
      <c r="DRO6"/>
      <c r="DRP6"/>
      <c r="DRQ6"/>
      <c r="DRR6"/>
      <c r="DRS6"/>
      <c r="DRT6"/>
      <c r="DRU6"/>
      <c r="DRV6"/>
      <c r="DRW6"/>
      <c r="DRX6"/>
      <c r="DRY6"/>
      <c r="DRZ6"/>
      <c r="DSA6"/>
      <c r="DSB6"/>
      <c r="DSC6"/>
      <c r="DSD6"/>
      <c r="DSE6"/>
      <c r="DSF6"/>
      <c r="DSG6"/>
      <c r="DSH6"/>
      <c r="DSI6"/>
      <c r="DSJ6"/>
      <c r="DSK6"/>
      <c r="DSL6"/>
      <c r="DSM6"/>
      <c r="DSN6"/>
      <c r="DSO6"/>
      <c r="DSP6"/>
      <c r="DSQ6"/>
      <c r="DSR6"/>
      <c r="DSS6"/>
      <c r="DST6"/>
      <c r="DSU6"/>
      <c r="DSV6"/>
      <c r="DSW6"/>
      <c r="DSX6"/>
      <c r="DSY6"/>
      <c r="DSZ6"/>
      <c r="DTA6"/>
      <c r="DTB6"/>
      <c r="DTC6"/>
      <c r="DTD6"/>
      <c r="DTE6"/>
      <c r="DTF6"/>
      <c r="DTG6"/>
      <c r="DTH6"/>
      <c r="DTI6"/>
      <c r="DTJ6"/>
      <c r="DTK6"/>
      <c r="DTL6"/>
      <c r="DTM6"/>
      <c r="DTN6"/>
      <c r="DTO6"/>
      <c r="DTP6"/>
      <c r="DTQ6"/>
      <c r="DTR6"/>
      <c r="DTS6"/>
      <c r="DTT6"/>
      <c r="DTU6"/>
      <c r="DTV6"/>
      <c r="DTW6"/>
      <c r="DTX6"/>
      <c r="DTY6"/>
      <c r="DTZ6"/>
      <c r="DUA6"/>
      <c r="DUB6"/>
      <c r="DUC6"/>
      <c r="DUD6"/>
      <c r="DUE6"/>
      <c r="DUF6"/>
      <c r="DUG6"/>
      <c r="DUH6"/>
      <c r="DUI6"/>
      <c r="DUJ6"/>
      <c r="DUK6"/>
      <c r="DUL6"/>
      <c r="DUM6"/>
      <c r="DUN6"/>
      <c r="DUO6"/>
      <c r="DUP6"/>
      <c r="DUQ6"/>
      <c r="DUR6"/>
      <c r="DUS6"/>
      <c r="DUT6"/>
      <c r="DUU6"/>
      <c r="DUV6"/>
      <c r="DUW6"/>
      <c r="DUX6"/>
      <c r="DUY6"/>
      <c r="DUZ6"/>
      <c r="DVA6"/>
      <c r="DVB6"/>
      <c r="DVC6"/>
      <c r="DVD6"/>
      <c r="DVE6"/>
      <c r="DVF6"/>
      <c r="DVG6"/>
      <c r="DVH6"/>
      <c r="DVI6"/>
      <c r="DVJ6"/>
      <c r="DVK6"/>
      <c r="DVL6"/>
      <c r="DVM6"/>
      <c r="DVN6"/>
      <c r="DVO6"/>
      <c r="DVP6"/>
      <c r="DVQ6"/>
      <c r="DVR6"/>
      <c r="DVS6"/>
      <c r="DVT6"/>
      <c r="DVU6"/>
      <c r="DVV6"/>
      <c r="DVW6"/>
      <c r="DVX6"/>
      <c r="DVY6"/>
      <c r="DVZ6"/>
      <c r="DWA6"/>
      <c r="DWB6"/>
      <c r="DWC6"/>
      <c r="DWD6"/>
      <c r="DWE6"/>
      <c r="DWF6"/>
      <c r="DWG6"/>
      <c r="DWH6"/>
      <c r="DWI6"/>
      <c r="DWJ6"/>
      <c r="DWK6"/>
      <c r="DWL6"/>
      <c r="DWM6"/>
      <c r="DWN6"/>
      <c r="DWO6"/>
      <c r="DWP6"/>
      <c r="DWQ6"/>
      <c r="DWR6"/>
      <c r="DWS6"/>
      <c r="DWT6"/>
      <c r="DWU6"/>
      <c r="DWV6"/>
      <c r="DWW6"/>
      <c r="DWX6"/>
      <c r="DWY6"/>
      <c r="DWZ6"/>
      <c r="DXA6"/>
      <c r="DXB6"/>
      <c r="DXC6"/>
      <c r="DXD6"/>
      <c r="DXE6"/>
      <c r="DXF6"/>
      <c r="DXG6"/>
      <c r="DXH6"/>
      <c r="DXI6"/>
      <c r="DXJ6"/>
      <c r="DXK6"/>
      <c r="DXL6"/>
      <c r="DXM6"/>
      <c r="DXN6"/>
      <c r="DXO6"/>
      <c r="DXP6"/>
      <c r="DXQ6"/>
      <c r="DXR6"/>
      <c r="DXS6"/>
      <c r="DXT6"/>
      <c r="DXU6"/>
      <c r="DXV6"/>
      <c r="DXW6"/>
      <c r="DXX6"/>
      <c r="DXY6"/>
      <c r="DXZ6"/>
      <c r="DYA6"/>
      <c r="DYB6"/>
      <c r="DYC6"/>
      <c r="DYD6"/>
      <c r="DYE6"/>
      <c r="DYF6"/>
      <c r="DYG6"/>
      <c r="DYH6"/>
      <c r="DYI6"/>
      <c r="DYJ6"/>
      <c r="DYK6"/>
      <c r="DYL6"/>
      <c r="DYM6"/>
      <c r="DYN6"/>
      <c r="DYO6"/>
      <c r="DYP6"/>
      <c r="DYQ6"/>
      <c r="DYR6"/>
      <c r="DYS6"/>
      <c r="DYT6"/>
      <c r="DYU6"/>
      <c r="DYV6"/>
      <c r="DYW6"/>
      <c r="DYX6"/>
      <c r="DYY6"/>
      <c r="DYZ6"/>
      <c r="DZA6"/>
      <c r="DZB6"/>
      <c r="DZC6"/>
      <c r="DZD6"/>
      <c r="DZE6"/>
      <c r="DZF6"/>
      <c r="DZG6"/>
      <c r="DZH6"/>
      <c r="DZI6"/>
      <c r="DZJ6"/>
      <c r="DZK6"/>
      <c r="DZL6"/>
      <c r="DZM6"/>
      <c r="DZN6"/>
      <c r="DZO6"/>
      <c r="DZP6"/>
      <c r="DZQ6"/>
      <c r="DZR6"/>
      <c r="DZS6"/>
      <c r="DZT6"/>
      <c r="DZU6"/>
      <c r="DZV6"/>
      <c r="DZW6"/>
      <c r="DZX6"/>
      <c r="DZY6"/>
      <c r="DZZ6"/>
      <c r="EAA6"/>
      <c r="EAB6"/>
      <c r="EAC6"/>
      <c r="EAD6"/>
      <c r="EAE6"/>
      <c r="EAF6"/>
      <c r="EAG6"/>
      <c r="EAH6"/>
      <c r="EAI6"/>
      <c r="EAJ6"/>
      <c r="EAK6"/>
      <c r="EAL6"/>
      <c r="EAM6"/>
      <c r="EAN6"/>
      <c r="EAO6"/>
      <c r="EAP6"/>
      <c r="EAQ6"/>
      <c r="EAR6"/>
      <c r="EAS6"/>
      <c r="EAT6"/>
      <c r="EAU6"/>
      <c r="EAV6"/>
      <c r="EAW6"/>
      <c r="EAX6"/>
      <c r="EAY6"/>
      <c r="EAZ6"/>
      <c r="EBA6"/>
      <c r="EBB6"/>
      <c r="EBC6"/>
      <c r="EBD6"/>
      <c r="EBE6"/>
      <c r="EBF6"/>
      <c r="EBG6"/>
      <c r="EBH6"/>
      <c r="EBI6"/>
      <c r="EBJ6"/>
      <c r="EBK6"/>
      <c r="EBL6"/>
      <c r="EBM6"/>
      <c r="EBN6"/>
      <c r="EBO6"/>
      <c r="EBP6"/>
      <c r="EBQ6"/>
      <c r="EBR6"/>
      <c r="EBS6"/>
      <c r="EBT6"/>
      <c r="EBU6"/>
      <c r="EBV6"/>
      <c r="EBW6"/>
      <c r="EBX6"/>
      <c r="EBY6"/>
      <c r="EBZ6"/>
      <c r="ECA6"/>
      <c r="ECB6"/>
      <c r="ECC6"/>
      <c r="ECD6"/>
      <c r="ECE6"/>
      <c r="ECF6"/>
      <c r="ECG6"/>
      <c r="ECH6"/>
      <c r="ECI6"/>
      <c r="ECJ6"/>
      <c r="ECK6"/>
      <c r="ECL6"/>
      <c r="ECM6"/>
      <c r="ECN6"/>
      <c r="ECO6"/>
      <c r="ECP6"/>
      <c r="ECQ6"/>
      <c r="ECR6"/>
      <c r="ECS6"/>
      <c r="ECT6"/>
      <c r="ECU6"/>
      <c r="ECV6"/>
      <c r="ECW6"/>
      <c r="ECX6"/>
      <c r="ECY6"/>
      <c r="ECZ6"/>
      <c r="EDA6"/>
      <c r="EDB6"/>
      <c r="EDC6"/>
      <c r="EDD6"/>
      <c r="EDE6"/>
      <c r="EDF6"/>
      <c r="EDG6"/>
      <c r="EDH6"/>
      <c r="EDI6"/>
      <c r="EDJ6"/>
      <c r="EDK6"/>
      <c r="EDL6"/>
      <c r="EDM6"/>
      <c r="EDN6"/>
      <c r="EDO6"/>
      <c r="EDP6"/>
      <c r="EDQ6"/>
      <c r="EDR6"/>
      <c r="EDS6"/>
      <c r="EDT6"/>
      <c r="EDU6"/>
      <c r="EDV6"/>
      <c r="EDW6"/>
      <c r="EDX6"/>
      <c r="EDY6"/>
      <c r="EDZ6"/>
      <c r="EEA6"/>
      <c r="EEB6"/>
      <c r="EEC6"/>
      <c r="EED6"/>
      <c r="EEE6"/>
      <c r="EEF6"/>
      <c r="EEG6"/>
      <c r="EEH6"/>
      <c r="EEI6"/>
      <c r="EEJ6"/>
      <c r="EEK6"/>
      <c r="EEL6"/>
      <c r="EEM6"/>
      <c r="EEN6"/>
      <c r="EEO6"/>
      <c r="EEP6"/>
      <c r="EEQ6"/>
      <c r="EER6"/>
      <c r="EES6"/>
      <c r="EET6"/>
      <c r="EEU6"/>
      <c r="EEV6"/>
      <c r="EEW6"/>
      <c r="EEX6"/>
      <c r="EEY6"/>
      <c r="EEZ6"/>
      <c r="EFA6"/>
      <c r="EFB6"/>
      <c r="EFC6"/>
      <c r="EFD6"/>
      <c r="EFE6"/>
      <c r="EFF6"/>
      <c r="EFG6"/>
      <c r="EFH6"/>
      <c r="EFI6"/>
      <c r="EFJ6"/>
      <c r="EFK6"/>
      <c r="EFL6"/>
      <c r="EFM6"/>
      <c r="EFN6"/>
      <c r="EFO6"/>
      <c r="EFP6"/>
      <c r="EFQ6"/>
      <c r="EFR6"/>
      <c r="EFS6"/>
      <c r="EFT6"/>
      <c r="EFU6"/>
      <c r="EFV6"/>
      <c r="EFW6"/>
      <c r="EFX6"/>
      <c r="EFY6"/>
      <c r="EFZ6"/>
      <c r="EGA6"/>
      <c r="EGB6"/>
      <c r="EGC6"/>
      <c r="EGD6"/>
      <c r="EGE6"/>
      <c r="EGF6"/>
      <c r="EGG6"/>
      <c r="EGH6"/>
      <c r="EGI6"/>
      <c r="EGJ6"/>
      <c r="EGK6"/>
      <c r="EGL6"/>
      <c r="EGM6"/>
      <c r="EGN6"/>
      <c r="EGO6"/>
      <c r="EGP6"/>
      <c r="EGQ6"/>
      <c r="EGR6"/>
      <c r="EGS6"/>
      <c r="EGT6"/>
      <c r="EGU6"/>
      <c r="EGV6"/>
      <c r="EGW6"/>
      <c r="EGX6"/>
      <c r="EGY6"/>
      <c r="EGZ6"/>
      <c r="EHA6"/>
      <c r="EHB6"/>
      <c r="EHC6"/>
      <c r="EHD6"/>
      <c r="EHE6"/>
      <c r="EHF6"/>
      <c r="EHG6"/>
      <c r="EHH6"/>
      <c r="EHI6"/>
      <c r="EHJ6"/>
      <c r="EHK6"/>
      <c r="EHL6"/>
      <c r="EHM6"/>
      <c r="EHN6"/>
      <c r="EHO6"/>
      <c r="EHP6"/>
      <c r="EHQ6"/>
      <c r="EHR6"/>
      <c r="EHS6"/>
      <c r="EHT6"/>
      <c r="EHU6"/>
      <c r="EHV6"/>
      <c r="EHW6"/>
      <c r="EHX6"/>
      <c r="EHY6"/>
      <c r="EHZ6"/>
      <c r="EIA6"/>
      <c r="EIB6"/>
      <c r="EIC6"/>
      <c r="EID6"/>
      <c r="EIE6"/>
      <c r="EIF6"/>
      <c r="EIG6"/>
      <c r="EIH6"/>
      <c r="EII6"/>
      <c r="EIJ6"/>
      <c r="EIK6"/>
      <c r="EIL6"/>
      <c r="EIM6"/>
      <c r="EIN6"/>
      <c r="EIO6"/>
      <c r="EIP6"/>
      <c r="EIQ6"/>
      <c r="EIR6"/>
      <c r="EIS6"/>
      <c r="EIT6"/>
      <c r="EIU6"/>
      <c r="EIV6"/>
      <c r="EIW6"/>
      <c r="EIX6"/>
      <c r="EIY6"/>
      <c r="EIZ6"/>
      <c r="EJA6"/>
      <c r="EJB6"/>
      <c r="EJC6"/>
      <c r="EJD6"/>
      <c r="EJE6"/>
      <c r="EJF6"/>
      <c r="EJG6"/>
      <c r="EJH6"/>
      <c r="EJI6"/>
      <c r="EJJ6"/>
      <c r="EJK6"/>
      <c r="EJL6"/>
      <c r="EJM6"/>
      <c r="EJN6"/>
      <c r="EJO6"/>
      <c r="EJP6"/>
      <c r="EJQ6"/>
      <c r="EJR6"/>
      <c r="EJS6"/>
      <c r="EJT6"/>
      <c r="EJU6"/>
      <c r="EJV6"/>
      <c r="EJW6"/>
      <c r="EJX6"/>
      <c r="EJY6"/>
      <c r="EJZ6"/>
      <c r="EKA6"/>
      <c r="EKB6"/>
      <c r="EKC6"/>
      <c r="EKD6"/>
      <c r="EKE6"/>
      <c r="EKF6"/>
      <c r="EKG6"/>
      <c r="EKH6"/>
      <c r="EKI6"/>
      <c r="EKJ6"/>
      <c r="EKK6"/>
      <c r="EKL6"/>
      <c r="EKM6"/>
      <c r="EKN6"/>
      <c r="EKO6"/>
      <c r="EKP6"/>
      <c r="EKQ6"/>
      <c r="EKR6"/>
      <c r="EKS6"/>
      <c r="EKT6"/>
      <c r="EKU6"/>
      <c r="EKV6"/>
      <c r="EKW6"/>
      <c r="EKX6"/>
      <c r="EKY6"/>
      <c r="EKZ6"/>
      <c r="ELA6"/>
      <c r="ELB6"/>
      <c r="ELC6"/>
      <c r="ELD6"/>
      <c r="ELE6"/>
      <c r="ELF6"/>
      <c r="ELG6"/>
      <c r="ELH6"/>
      <c r="ELI6"/>
      <c r="ELJ6"/>
      <c r="ELK6"/>
      <c r="ELL6"/>
      <c r="ELM6"/>
      <c r="ELN6"/>
      <c r="ELO6"/>
      <c r="ELP6"/>
      <c r="ELQ6"/>
      <c r="ELR6"/>
      <c r="ELS6"/>
      <c r="ELT6"/>
      <c r="ELU6"/>
      <c r="ELV6"/>
      <c r="ELW6"/>
      <c r="ELX6"/>
      <c r="ELY6"/>
      <c r="ELZ6"/>
      <c r="EMA6"/>
      <c r="EMB6"/>
      <c r="EMC6"/>
      <c r="EMD6"/>
      <c r="EME6"/>
      <c r="EMF6"/>
      <c r="EMG6"/>
      <c r="EMH6"/>
      <c r="EMI6"/>
      <c r="EMJ6"/>
      <c r="EMK6"/>
      <c r="EML6"/>
      <c r="EMM6"/>
      <c r="EMN6"/>
      <c r="EMO6"/>
      <c r="EMP6"/>
      <c r="EMQ6"/>
      <c r="EMR6"/>
      <c r="EMS6"/>
      <c r="EMT6"/>
      <c r="EMU6"/>
      <c r="EMV6"/>
      <c r="EMW6"/>
      <c r="EMX6"/>
      <c r="EMY6"/>
      <c r="EMZ6"/>
      <c r="ENA6"/>
      <c r="ENB6"/>
      <c r="ENC6"/>
      <c r="END6"/>
      <c r="ENE6"/>
      <c r="ENF6"/>
      <c r="ENG6"/>
      <c r="ENH6"/>
      <c r="ENI6"/>
      <c r="ENJ6"/>
      <c r="ENK6"/>
      <c r="ENL6"/>
      <c r="ENM6"/>
      <c r="ENN6"/>
      <c r="ENO6"/>
      <c r="ENP6"/>
      <c r="ENQ6"/>
      <c r="ENR6"/>
      <c r="ENS6"/>
      <c r="ENT6"/>
      <c r="ENU6"/>
      <c r="ENV6"/>
      <c r="ENW6"/>
      <c r="ENX6"/>
      <c r="ENY6"/>
      <c r="ENZ6"/>
      <c r="EOA6"/>
      <c r="EOB6"/>
      <c r="EOC6"/>
      <c r="EOD6"/>
      <c r="EOE6"/>
      <c r="EOF6"/>
      <c r="EOG6"/>
      <c r="EOH6"/>
      <c r="EOI6"/>
      <c r="EOJ6"/>
      <c r="EOK6"/>
      <c r="EOL6"/>
      <c r="EOM6"/>
      <c r="EON6"/>
      <c r="EOO6"/>
      <c r="EOP6"/>
      <c r="EOQ6"/>
      <c r="EOR6"/>
      <c r="EOS6"/>
      <c r="EOT6"/>
      <c r="EOU6"/>
      <c r="EOV6"/>
      <c r="EOW6"/>
      <c r="EOX6"/>
      <c r="EOY6"/>
      <c r="EOZ6"/>
      <c r="EPA6"/>
      <c r="EPB6"/>
      <c r="EPC6"/>
      <c r="EPD6"/>
      <c r="EPE6"/>
      <c r="EPF6"/>
      <c r="EPG6"/>
      <c r="EPH6"/>
      <c r="EPI6"/>
      <c r="EPJ6"/>
      <c r="EPK6"/>
      <c r="EPL6"/>
      <c r="EPM6"/>
      <c r="EPN6"/>
      <c r="EPO6"/>
      <c r="EPP6"/>
      <c r="EPQ6"/>
      <c r="EPR6"/>
      <c r="EPS6"/>
      <c r="EPT6"/>
      <c r="EPU6"/>
      <c r="EPV6"/>
      <c r="EPW6"/>
      <c r="EPX6"/>
      <c r="EPY6"/>
      <c r="EPZ6"/>
      <c r="EQA6"/>
      <c r="EQB6"/>
      <c r="EQC6"/>
      <c r="EQD6"/>
      <c r="EQE6"/>
      <c r="EQF6"/>
      <c r="EQG6"/>
      <c r="EQH6"/>
      <c r="EQI6"/>
      <c r="EQJ6"/>
      <c r="EQK6"/>
      <c r="EQL6"/>
      <c r="EQM6"/>
      <c r="EQN6"/>
      <c r="EQO6"/>
      <c r="EQP6"/>
      <c r="EQQ6"/>
      <c r="EQR6"/>
      <c r="EQS6"/>
      <c r="EQT6"/>
      <c r="EQU6"/>
      <c r="EQV6"/>
      <c r="EQW6"/>
      <c r="EQX6"/>
      <c r="EQY6"/>
      <c r="EQZ6"/>
      <c r="ERA6"/>
      <c r="ERB6"/>
      <c r="ERC6"/>
      <c r="ERD6"/>
      <c r="ERE6"/>
      <c r="ERF6"/>
      <c r="ERG6"/>
      <c r="ERH6"/>
      <c r="ERI6"/>
      <c r="ERJ6"/>
      <c r="ERK6"/>
      <c r="ERL6"/>
      <c r="ERM6"/>
      <c r="ERN6"/>
      <c r="ERO6"/>
      <c r="ERP6"/>
      <c r="ERQ6"/>
      <c r="ERR6"/>
      <c r="ERS6"/>
      <c r="ERT6"/>
      <c r="ERU6"/>
      <c r="ERV6"/>
      <c r="ERW6"/>
      <c r="ERX6"/>
      <c r="ERY6"/>
      <c r="ERZ6"/>
      <c r="ESA6"/>
      <c r="ESB6"/>
      <c r="ESC6"/>
      <c r="ESD6"/>
      <c r="ESE6"/>
      <c r="ESF6"/>
      <c r="ESG6"/>
      <c r="ESH6"/>
      <c r="ESI6"/>
      <c r="ESJ6"/>
      <c r="ESK6"/>
      <c r="ESL6"/>
      <c r="ESM6"/>
      <c r="ESN6"/>
      <c r="ESO6"/>
      <c r="ESP6"/>
      <c r="ESQ6"/>
      <c r="ESR6"/>
      <c r="ESS6"/>
      <c r="EST6"/>
      <c r="ESU6"/>
      <c r="ESV6"/>
      <c r="ESW6"/>
      <c r="ESX6"/>
      <c r="ESY6"/>
      <c r="ESZ6"/>
      <c r="ETA6"/>
      <c r="ETB6"/>
      <c r="ETC6"/>
      <c r="ETD6"/>
      <c r="ETE6"/>
      <c r="ETF6"/>
      <c r="ETG6"/>
      <c r="ETH6"/>
      <c r="ETI6"/>
      <c r="ETJ6"/>
      <c r="ETK6"/>
      <c r="ETL6"/>
      <c r="ETM6"/>
      <c r="ETN6"/>
      <c r="ETO6"/>
      <c r="ETP6"/>
      <c r="ETQ6"/>
      <c r="ETR6"/>
      <c r="ETS6"/>
      <c r="ETT6"/>
      <c r="ETU6"/>
      <c r="ETV6"/>
      <c r="ETW6"/>
      <c r="ETX6"/>
      <c r="ETY6"/>
      <c r="ETZ6"/>
      <c r="EUA6"/>
      <c r="EUB6"/>
      <c r="EUC6"/>
      <c r="EUD6"/>
      <c r="EUE6"/>
      <c r="EUF6"/>
      <c r="EUG6"/>
      <c r="EUH6"/>
      <c r="EUI6"/>
      <c r="EUJ6"/>
      <c r="EUK6"/>
      <c r="EUL6"/>
      <c r="EUM6"/>
      <c r="EUN6"/>
      <c r="EUO6"/>
      <c r="EUP6"/>
      <c r="EUQ6"/>
      <c r="EUR6"/>
      <c r="EUS6"/>
      <c r="EUT6"/>
      <c r="EUU6"/>
      <c r="EUV6"/>
      <c r="EUW6"/>
      <c r="EUX6"/>
      <c r="EUY6"/>
      <c r="EUZ6"/>
      <c r="EVA6"/>
      <c r="EVB6"/>
      <c r="EVC6"/>
      <c r="EVD6"/>
      <c r="EVE6"/>
      <c r="EVF6"/>
      <c r="EVG6"/>
      <c r="EVH6"/>
      <c r="EVI6"/>
      <c r="EVJ6"/>
      <c r="EVK6"/>
      <c r="EVL6"/>
      <c r="EVM6"/>
      <c r="EVN6"/>
      <c r="EVO6"/>
      <c r="EVP6"/>
      <c r="EVQ6"/>
      <c r="EVR6"/>
      <c r="EVS6"/>
      <c r="EVT6"/>
      <c r="EVU6"/>
      <c r="EVV6"/>
      <c r="EVW6"/>
      <c r="EVX6"/>
      <c r="EVY6"/>
      <c r="EVZ6"/>
      <c r="EWA6"/>
      <c r="EWB6"/>
      <c r="EWC6"/>
      <c r="EWD6"/>
      <c r="EWE6"/>
      <c r="EWF6"/>
      <c r="EWG6"/>
      <c r="EWH6"/>
      <c r="EWI6"/>
      <c r="EWJ6"/>
      <c r="EWK6"/>
      <c r="EWL6"/>
      <c r="EWM6"/>
      <c r="EWN6"/>
      <c r="EWO6"/>
      <c r="EWP6"/>
      <c r="EWQ6"/>
      <c r="EWR6"/>
      <c r="EWS6"/>
      <c r="EWT6"/>
      <c r="EWU6"/>
      <c r="EWV6"/>
      <c r="EWW6"/>
      <c r="EWX6"/>
      <c r="EWY6"/>
      <c r="EWZ6"/>
      <c r="EXA6"/>
      <c r="EXB6"/>
      <c r="EXC6"/>
      <c r="EXD6"/>
      <c r="EXE6"/>
      <c r="EXF6"/>
      <c r="EXG6"/>
      <c r="EXH6"/>
      <c r="EXI6"/>
      <c r="EXJ6"/>
      <c r="EXK6"/>
      <c r="EXL6"/>
      <c r="EXM6"/>
      <c r="EXN6"/>
      <c r="EXO6"/>
      <c r="EXP6"/>
      <c r="EXQ6"/>
      <c r="EXR6"/>
      <c r="EXS6"/>
      <c r="EXT6"/>
      <c r="EXU6"/>
      <c r="EXV6"/>
      <c r="EXW6"/>
      <c r="EXX6"/>
      <c r="EXY6"/>
      <c r="EXZ6"/>
      <c r="EYA6"/>
      <c r="EYB6"/>
      <c r="EYC6"/>
      <c r="EYD6"/>
      <c r="EYE6"/>
      <c r="EYF6"/>
      <c r="EYG6"/>
      <c r="EYH6"/>
      <c r="EYI6"/>
      <c r="EYJ6"/>
      <c r="EYK6"/>
      <c r="EYL6"/>
      <c r="EYM6"/>
      <c r="EYN6"/>
      <c r="EYO6"/>
      <c r="EYP6"/>
      <c r="EYQ6"/>
      <c r="EYR6"/>
      <c r="EYS6"/>
      <c r="EYT6"/>
      <c r="EYU6"/>
      <c r="EYV6"/>
      <c r="EYW6"/>
      <c r="EYX6"/>
      <c r="EYY6"/>
      <c r="EYZ6"/>
      <c r="EZA6"/>
      <c r="EZB6"/>
      <c r="EZC6"/>
      <c r="EZD6"/>
      <c r="EZE6"/>
      <c r="EZF6"/>
      <c r="EZG6"/>
      <c r="EZH6"/>
      <c r="EZI6"/>
      <c r="EZJ6"/>
      <c r="EZK6"/>
      <c r="EZL6"/>
      <c r="EZM6"/>
      <c r="EZN6"/>
      <c r="EZO6"/>
      <c r="EZP6"/>
      <c r="EZQ6"/>
      <c r="EZR6"/>
      <c r="EZS6"/>
      <c r="EZT6"/>
      <c r="EZU6"/>
      <c r="EZV6"/>
      <c r="EZW6"/>
      <c r="EZX6"/>
      <c r="EZY6"/>
      <c r="EZZ6"/>
      <c r="FAA6"/>
      <c r="FAB6"/>
      <c r="FAC6"/>
      <c r="FAD6"/>
      <c r="FAE6"/>
      <c r="FAF6"/>
      <c r="FAG6"/>
      <c r="FAH6"/>
      <c r="FAI6"/>
      <c r="FAJ6"/>
      <c r="FAK6"/>
      <c r="FAL6"/>
      <c r="FAM6"/>
      <c r="FAN6"/>
      <c r="FAO6"/>
      <c r="FAP6"/>
      <c r="FAQ6"/>
      <c r="FAR6"/>
      <c r="FAS6"/>
      <c r="FAT6"/>
      <c r="FAU6"/>
      <c r="FAV6"/>
      <c r="FAW6"/>
      <c r="FAX6"/>
      <c r="FAY6"/>
      <c r="FAZ6"/>
      <c r="FBA6"/>
      <c r="FBB6"/>
      <c r="FBC6"/>
      <c r="FBD6"/>
      <c r="FBE6"/>
      <c r="FBF6"/>
      <c r="FBG6"/>
      <c r="FBH6"/>
      <c r="FBI6"/>
      <c r="FBJ6"/>
      <c r="FBK6"/>
      <c r="FBL6"/>
      <c r="FBM6"/>
      <c r="FBN6"/>
      <c r="FBO6"/>
      <c r="FBP6"/>
      <c r="FBQ6"/>
      <c r="FBR6"/>
      <c r="FBS6"/>
      <c r="FBT6"/>
      <c r="FBU6"/>
      <c r="FBV6"/>
      <c r="FBW6"/>
      <c r="FBX6"/>
      <c r="FBY6"/>
      <c r="FBZ6"/>
      <c r="FCA6"/>
      <c r="FCB6"/>
      <c r="FCC6"/>
      <c r="FCD6"/>
      <c r="FCE6"/>
      <c r="FCF6"/>
      <c r="FCG6"/>
      <c r="FCH6"/>
      <c r="FCI6"/>
      <c r="FCJ6"/>
      <c r="FCK6"/>
      <c r="FCL6"/>
      <c r="FCM6"/>
      <c r="FCN6"/>
      <c r="FCO6"/>
      <c r="FCP6"/>
      <c r="FCQ6"/>
      <c r="FCR6"/>
      <c r="FCS6"/>
      <c r="FCT6"/>
      <c r="FCU6"/>
      <c r="FCV6"/>
      <c r="FCW6"/>
      <c r="FCX6"/>
      <c r="FCY6"/>
      <c r="FCZ6"/>
      <c r="FDA6"/>
      <c r="FDB6"/>
      <c r="FDC6"/>
      <c r="FDD6"/>
      <c r="FDE6"/>
      <c r="FDF6"/>
      <c r="FDG6"/>
      <c r="FDH6"/>
      <c r="FDI6"/>
      <c r="FDJ6"/>
      <c r="FDK6"/>
      <c r="FDL6"/>
      <c r="FDM6"/>
      <c r="FDN6"/>
      <c r="FDO6"/>
      <c r="FDP6"/>
      <c r="FDQ6"/>
      <c r="FDR6"/>
      <c r="FDS6"/>
      <c r="FDT6"/>
      <c r="FDU6"/>
      <c r="FDV6"/>
      <c r="FDW6"/>
      <c r="FDX6"/>
      <c r="FDY6"/>
      <c r="FDZ6"/>
      <c r="FEA6"/>
      <c r="FEB6"/>
      <c r="FEC6"/>
      <c r="FED6"/>
      <c r="FEE6"/>
      <c r="FEF6"/>
      <c r="FEG6"/>
      <c r="FEH6"/>
      <c r="FEI6"/>
      <c r="FEJ6"/>
      <c r="FEK6"/>
      <c r="FEL6"/>
      <c r="FEM6"/>
      <c r="FEN6"/>
      <c r="FEO6"/>
      <c r="FEP6"/>
      <c r="FEQ6"/>
      <c r="FER6"/>
      <c r="FES6"/>
      <c r="FET6"/>
      <c r="FEU6"/>
      <c r="FEV6"/>
      <c r="FEW6"/>
      <c r="FEX6"/>
      <c r="FEY6"/>
      <c r="FEZ6"/>
      <c r="FFA6"/>
      <c r="FFB6"/>
      <c r="FFC6"/>
      <c r="FFD6"/>
      <c r="FFE6"/>
      <c r="FFF6"/>
      <c r="FFG6"/>
      <c r="FFH6"/>
      <c r="FFI6"/>
      <c r="FFJ6"/>
      <c r="FFK6"/>
      <c r="FFL6"/>
      <c r="FFM6"/>
      <c r="FFN6"/>
      <c r="FFO6"/>
      <c r="FFP6"/>
      <c r="FFQ6"/>
      <c r="FFR6"/>
      <c r="FFS6"/>
      <c r="FFT6"/>
      <c r="FFU6"/>
      <c r="FFV6"/>
      <c r="FFW6"/>
      <c r="FFX6"/>
      <c r="FFY6"/>
      <c r="FFZ6"/>
      <c r="FGA6"/>
      <c r="FGB6"/>
      <c r="FGC6"/>
      <c r="FGD6"/>
      <c r="FGE6"/>
      <c r="FGF6"/>
      <c r="FGG6"/>
      <c r="FGH6"/>
      <c r="FGI6"/>
      <c r="FGJ6"/>
      <c r="FGK6"/>
      <c r="FGL6"/>
      <c r="FGM6"/>
      <c r="FGN6"/>
      <c r="FGO6"/>
      <c r="FGP6"/>
      <c r="FGQ6"/>
      <c r="FGR6"/>
      <c r="FGS6"/>
      <c r="FGT6"/>
      <c r="FGU6"/>
      <c r="FGV6"/>
      <c r="FGW6"/>
      <c r="FGX6"/>
      <c r="FGY6"/>
      <c r="FGZ6"/>
      <c r="FHA6"/>
      <c r="FHB6"/>
      <c r="FHC6"/>
      <c r="FHD6"/>
      <c r="FHE6"/>
      <c r="FHF6"/>
      <c r="FHG6"/>
      <c r="FHH6"/>
      <c r="FHI6"/>
      <c r="FHJ6"/>
      <c r="FHK6"/>
      <c r="FHL6"/>
      <c r="FHM6"/>
      <c r="FHN6"/>
      <c r="FHO6"/>
      <c r="FHP6"/>
      <c r="FHQ6"/>
      <c r="FHR6"/>
      <c r="FHS6"/>
      <c r="FHT6"/>
      <c r="FHU6"/>
      <c r="FHV6"/>
      <c r="FHW6"/>
      <c r="FHX6"/>
      <c r="FHY6"/>
      <c r="FHZ6"/>
      <c r="FIA6"/>
      <c r="FIB6"/>
      <c r="FIC6"/>
      <c r="FID6"/>
      <c r="FIE6"/>
      <c r="FIF6"/>
      <c r="FIG6"/>
      <c r="FIH6"/>
      <c r="FII6"/>
      <c r="FIJ6"/>
      <c r="FIK6"/>
      <c r="FIL6"/>
      <c r="FIM6"/>
      <c r="FIN6"/>
      <c r="FIO6"/>
      <c r="FIP6"/>
      <c r="FIQ6"/>
      <c r="FIR6"/>
      <c r="FIS6"/>
      <c r="FIT6"/>
      <c r="FIU6"/>
      <c r="FIV6"/>
      <c r="FIW6"/>
      <c r="FIX6"/>
      <c r="FIY6"/>
      <c r="FIZ6"/>
      <c r="FJA6"/>
      <c r="FJB6"/>
      <c r="FJC6"/>
      <c r="FJD6"/>
      <c r="FJE6"/>
      <c r="FJF6"/>
      <c r="FJG6"/>
      <c r="FJH6"/>
      <c r="FJI6"/>
      <c r="FJJ6"/>
      <c r="FJK6"/>
      <c r="FJL6"/>
      <c r="FJM6"/>
      <c r="FJN6"/>
      <c r="FJO6"/>
      <c r="FJP6"/>
      <c r="FJQ6"/>
      <c r="FJR6"/>
      <c r="FJS6"/>
      <c r="FJT6"/>
      <c r="FJU6"/>
      <c r="FJV6"/>
      <c r="FJW6"/>
      <c r="FJX6"/>
      <c r="FJY6"/>
      <c r="FJZ6"/>
      <c r="FKA6"/>
      <c r="FKB6"/>
      <c r="FKC6"/>
      <c r="FKD6"/>
      <c r="FKE6"/>
      <c r="FKF6"/>
      <c r="FKG6"/>
      <c r="FKH6"/>
      <c r="FKI6"/>
      <c r="FKJ6"/>
      <c r="FKK6"/>
      <c r="FKL6"/>
      <c r="FKM6"/>
      <c r="FKN6"/>
      <c r="FKO6"/>
      <c r="FKP6"/>
      <c r="FKQ6"/>
      <c r="FKR6"/>
      <c r="FKS6"/>
      <c r="FKT6"/>
      <c r="FKU6"/>
      <c r="FKV6"/>
      <c r="FKW6"/>
      <c r="FKX6"/>
      <c r="FKY6"/>
      <c r="FKZ6"/>
      <c r="FLA6"/>
      <c r="FLB6"/>
      <c r="FLC6"/>
      <c r="FLD6"/>
      <c r="FLE6"/>
      <c r="FLF6"/>
      <c r="FLG6"/>
      <c r="FLH6"/>
      <c r="FLI6"/>
      <c r="FLJ6"/>
      <c r="FLK6"/>
      <c r="FLL6"/>
      <c r="FLM6"/>
      <c r="FLN6"/>
      <c r="FLO6"/>
      <c r="FLP6"/>
      <c r="FLQ6"/>
      <c r="FLR6"/>
      <c r="FLS6"/>
      <c r="FLT6"/>
      <c r="FLU6"/>
      <c r="FLV6"/>
      <c r="FLW6"/>
      <c r="FLX6"/>
      <c r="FLY6"/>
      <c r="FLZ6"/>
      <c r="FMA6"/>
      <c r="FMB6"/>
      <c r="FMC6"/>
      <c r="FMD6"/>
      <c r="FME6"/>
      <c r="FMF6"/>
      <c r="FMG6"/>
      <c r="FMH6"/>
      <c r="FMI6"/>
      <c r="FMJ6"/>
      <c r="FMK6"/>
      <c r="FML6"/>
      <c r="FMM6"/>
      <c r="FMN6"/>
      <c r="FMO6"/>
      <c r="FMP6"/>
      <c r="FMQ6"/>
      <c r="FMR6"/>
      <c r="FMS6"/>
      <c r="FMT6"/>
      <c r="FMU6"/>
      <c r="FMV6"/>
      <c r="FMW6"/>
      <c r="FMX6"/>
      <c r="FMY6"/>
      <c r="FMZ6"/>
      <c r="FNA6"/>
      <c r="FNB6"/>
      <c r="FNC6"/>
      <c r="FND6"/>
      <c r="FNE6"/>
      <c r="FNF6"/>
      <c r="FNG6"/>
      <c r="FNH6"/>
      <c r="FNI6"/>
      <c r="FNJ6"/>
      <c r="FNK6"/>
      <c r="FNL6"/>
      <c r="FNM6"/>
      <c r="FNN6"/>
      <c r="FNO6"/>
      <c r="FNP6"/>
      <c r="FNQ6"/>
      <c r="FNR6"/>
      <c r="FNS6"/>
      <c r="FNT6"/>
      <c r="FNU6"/>
      <c r="FNV6"/>
      <c r="FNW6"/>
      <c r="FNX6"/>
      <c r="FNY6"/>
      <c r="FNZ6"/>
      <c r="FOA6"/>
      <c r="FOB6"/>
      <c r="FOC6"/>
      <c r="FOD6"/>
      <c r="FOE6"/>
      <c r="FOF6"/>
      <c r="FOG6"/>
      <c r="FOH6"/>
      <c r="FOI6"/>
      <c r="FOJ6"/>
      <c r="FOK6"/>
      <c r="FOL6"/>
      <c r="FOM6"/>
      <c r="FON6"/>
      <c r="FOO6"/>
      <c r="FOP6"/>
      <c r="FOQ6"/>
      <c r="FOR6"/>
      <c r="FOS6"/>
      <c r="FOT6"/>
      <c r="FOU6"/>
      <c r="FOV6"/>
      <c r="FOW6"/>
      <c r="FOX6"/>
      <c r="FOY6"/>
      <c r="FOZ6"/>
      <c r="FPA6"/>
      <c r="FPB6"/>
      <c r="FPC6"/>
      <c r="FPD6"/>
      <c r="FPE6"/>
      <c r="FPF6"/>
      <c r="FPG6"/>
      <c r="FPH6"/>
      <c r="FPI6"/>
      <c r="FPJ6"/>
      <c r="FPK6"/>
      <c r="FPL6"/>
      <c r="FPM6"/>
      <c r="FPN6"/>
      <c r="FPO6"/>
      <c r="FPP6"/>
      <c r="FPQ6"/>
      <c r="FPR6"/>
      <c r="FPS6"/>
      <c r="FPT6"/>
      <c r="FPU6"/>
      <c r="FPV6"/>
      <c r="FPW6"/>
      <c r="FPX6"/>
      <c r="FPY6"/>
      <c r="FPZ6"/>
      <c r="FQA6"/>
      <c r="FQB6"/>
      <c r="FQC6"/>
      <c r="FQD6"/>
      <c r="FQE6"/>
      <c r="FQF6"/>
      <c r="FQG6"/>
      <c r="FQH6"/>
      <c r="FQI6"/>
      <c r="FQJ6"/>
      <c r="FQK6"/>
      <c r="FQL6"/>
      <c r="FQM6"/>
      <c r="FQN6"/>
      <c r="FQO6"/>
      <c r="FQP6"/>
      <c r="FQQ6"/>
      <c r="FQR6"/>
      <c r="FQS6"/>
      <c r="FQT6"/>
      <c r="FQU6"/>
      <c r="FQV6"/>
      <c r="FQW6"/>
      <c r="FQX6"/>
      <c r="FQY6"/>
      <c r="FQZ6"/>
      <c r="FRA6"/>
      <c r="FRB6"/>
      <c r="FRC6"/>
      <c r="FRD6"/>
      <c r="FRE6"/>
      <c r="FRF6"/>
      <c r="FRG6"/>
      <c r="FRH6"/>
      <c r="FRI6"/>
      <c r="FRJ6"/>
      <c r="FRK6"/>
      <c r="FRL6"/>
      <c r="FRM6"/>
      <c r="FRN6"/>
      <c r="FRO6"/>
      <c r="FRP6"/>
      <c r="FRQ6"/>
      <c r="FRR6"/>
      <c r="FRS6"/>
      <c r="FRT6"/>
      <c r="FRU6"/>
      <c r="FRV6"/>
      <c r="FRW6"/>
      <c r="FRX6"/>
      <c r="FRY6"/>
      <c r="FRZ6"/>
      <c r="FSA6"/>
      <c r="FSB6"/>
      <c r="FSC6"/>
      <c r="FSD6"/>
      <c r="FSE6"/>
      <c r="FSF6"/>
      <c r="FSG6"/>
      <c r="FSH6"/>
      <c r="FSI6"/>
      <c r="FSJ6"/>
      <c r="FSK6"/>
      <c r="FSL6"/>
      <c r="FSM6"/>
      <c r="FSN6"/>
      <c r="FSO6"/>
      <c r="FSP6"/>
      <c r="FSQ6"/>
      <c r="FSR6"/>
      <c r="FSS6"/>
      <c r="FST6"/>
      <c r="FSU6"/>
      <c r="FSV6"/>
      <c r="FSW6"/>
      <c r="FSX6"/>
      <c r="FSY6"/>
      <c r="FSZ6"/>
      <c r="FTA6"/>
      <c r="FTB6"/>
      <c r="FTC6"/>
      <c r="FTD6"/>
      <c r="FTE6"/>
      <c r="FTF6"/>
      <c r="FTG6"/>
      <c r="FTH6"/>
      <c r="FTI6"/>
      <c r="FTJ6"/>
      <c r="FTK6"/>
      <c r="FTL6"/>
      <c r="FTM6"/>
      <c r="FTN6"/>
      <c r="FTO6"/>
      <c r="FTP6"/>
      <c r="FTQ6"/>
      <c r="FTR6"/>
      <c r="FTS6"/>
      <c r="FTT6"/>
      <c r="FTU6"/>
      <c r="FTV6"/>
      <c r="FTW6"/>
      <c r="FTX6"/>
      <c r="FTY6"/>
      <c r="FTZ6"/>
      <c r="FUA6"/>
      <c r="FUB6"/>
      <c r="FUC6"/>
      <c r="FUD6"/>
      <c r="FUE6"/>
      <c r="FUF6"/>
      <c r="FUG6"/>
      <c r="FUH6"/>
      <c r="FUI6"/>
      <c r="FUJ6"/>
      <c r="FUK6"/>
      <c r="FUL6"/>
      <c r="FUM6"/>
      <c r="FUN6"/>
      <c r="FUO6"/>
      <c r="FUP6"/>
      <c r="FUQ6"/>
      <c r="FUR6"/>
      <c r="FUS6"/>
      <c r="FUT6"/>
      <c r="FUU6"/>
      <c r="FUV6"/>
      <c r="FUW6"/>
      <c r="FUX6"/>
      <c r="FUY6"/>
      <c r="FUZ6"/>
      <c r="FVA6"/>
      <c r="FVB6"/>
      <c r="FVC6"/>
      <c r="FVD6"/>
      <c r="FVE6"/>
      <c r="FVF6"/>
      <c r="FVG6"/>
      <c r="FVH6"/>
      <c r="FVI6"/>
      <c r="FVJ6"/>
      <c r="FVK6"/>
      <c r="FVL6"/>
      <c r="FVM6"/>
      <c r="FVN6"/>
      <c r="FVO6"/>
      <c r="FVP6"/>
      <c r="FVQ6"/>
      <c r="FVR6"/>
      <c r="FVS6"/>
      <c r="FVT6"/>
      <c r="FVU6"/>
      <c r="FVV6"/>
      <c r="FVW6"/>
      <c r="FVX6"/>
      <c r="FVY6"/>
      <c r="FVZ6"/>
      <c r="FWA6"/>
      <c r="FWB6"/>
      <c r="FWC6"/>
      <c r="FWD6"/>
      <c r="FWE6"/>
      <c r="FWF6"/>
      <c r="FWG6"/>
      <c r="FWH6"/>
      <c r="FWI6"/>
      <c r="FWJ6"/>
      <c r="FWK6"/>
      <c r="FWL6"/>
      <c r="FWM6"/>
      <c r="FWN6"/>
      <c r="FWO6"/>
      <c r="FWP6"/>
      <c r="FWQ6"/>
      <c r="FWR6"/>
      <c r="FWS6"/>
      <c r="FWT6"/>
      <c r="FWU6"/>
      <c r="FWV6"/>
      <c r="FWW6"/>
      <c r="FWX6"/>
      <c r="FWY6"/>
      <c r="FWZ6"/>
      <c r="FXA6"/>
      <c r="FXB6"/>
      <c r="FXC6"/>
      <c r="FXD6"/>
      <c r="FXE6"/>
      <c r="FXF6"/>
      <c r="FXG6"/>
      <c r="FXH6"/>
      <c r="FXI6"/>
      <c r="FXJ6"/>
      <c r="FXK6"/>
      <c r="FXL6"/>
      <c r="FXM6"/>
      <c r="FXN6"/>
      <c r="FXO6"/>
      <c r="FXP6"/>
      <c r="FXQ6"/>
      <c r="FXR6"/>
      <c r="FXS6"/>
      <c r="FXT6"/>
      <c r="FXU6"/>
      <c r="FXV6"/>
      <c r="FXW6"/>
      <c r="FXX6"/>
      <c r="FXY6"/>
      <c r="FXZ6"/>
      <c r="FYA6"/>
      <c r="FYB6"/>
      <c r="FYC6"/>
      <c r="FYD6"/>
      <c r="FYE6"/>
      <c r="FYF6"/>
      <c r="FYG6"/>
      <c r="FYH6"/>
      <c r="FYI6"/>
      <c r="FYJ6"/>
      <c r="FYK6"/>
      <c r="FYL6"/>
      <c r="FYM6"/>
      <c r="FYN6"/>
      <c r="FYO6"/>
      <c r="FYP6"/>
      <c r="FYQ6"/>
      <c r="FYR6"/>
      <c r="FYS6"/>
      <c r="FYT6"/>
      <c r="FYU6"/>
      <c r="FYV6"/>
      <c r="FYW6"/>
      <c r="FYX6"/>
      <c r="FYY6"/>
      <c r="FYZ6"/>
      <c r="FZA6"/>
      <c r="FZB6"/>
      <c r="FZC6"/>
      <c r="FZD6"/>
      <c r="FZE6"/>
      <c r="FZF6"/>
      <c r="FZG6"/>
      <c r="FZH6"/>
      <c r="FZI6"/>
      <c r="FZJ6"/>
      <c r="FZK6"/>
      <c r="FZL6"/>
      <c r="FZM6"/>
      <c r="FZN6"/>
      <c r="FZO6"/>
      <c r="FZP6"/>
      <c r="FZQ6"/>
      <c r="FZR6"/>
      <c r="FZS6"/>
      <c r="FZT6"/>
      <c r="FZU6"/>
      <c r="FZV6"/>
      <c r="FZW6"/>
      <c r="FZX6"/>
      <c r="FZY6"/>
      <c r="FZZ6"/>
      <c r="GAA6"/>
      <c r="GAB6"/>
      <c r="GAC6"/>
      <c r="GAD6"/>
      <c r="GAE6"/>
      <c r="GAF6"/>
      <c r="GAG6"/>
      <c r="GAH6"/>
      <c r="GAI6"/>
      <c r="GAJ6"/>
      <c r="GAK6"/>
      <c r="GAL6"/>
      <c r="GAM6"/>
      <c r="GAN6"/>
      <c r="GAO6"/>
      <c r="GAP6"/>
      <c r="GAQ6"/>
      <c r="GAR6"/>
      <c r="GAS6"/>
      <c r="GAT6"/>
      <c r="GAU6"/>
      <c r="GAV6"/>
      <c r="GAW6"/>
      <c r="GAX6"/>
      <c r="GAY6"/>
      <c r="GAZ6"/>
      <c r="GBA6"/>
      <c r="GBB6"/>
      <c r="GBC6"/>
      <c r="GBD6"/>
      <c r="GBE6"/>
      <c r="GBF6"/>
      <c r="GBG6"/>
      <c r="GBH6"/>
      <c r="GBI6"/>
      <c r="GBJ6"/>
      <c r="GBK6"/>
      <c r="GBL6"/>
      <c r="GBM6"/>
      <c r="GBN6"/>
      <c r="GBO6"/>
      <c r="GBP6"/>
      <c r="GBQ6"/>
      <c r="GBR6"/>
      <c r="GBS6"/>
      <c r="GBT6"/>
      <c r="GBU6"/>
      <c r="GBV6"/>
      <c r="GBW6"/>
      <c r="GBX6"/>
      <c r="GBY6"/>
      <c r="GBZ6"/>
      <c r="GCA6"/>
      <c r="GCB6"/>
      <c r="GCC6"/>
      <c r="GCD6"/>
      <c r="GCE6"/>
      <c r="GCF6"/>
      <c r="GCG6"/>
      <c r="GCH6"/>
      <c r="GCI6"/>
      <c r="GCJ6"/>
      <c r="GCK6"/>
      <c r="GCL6"/>
      <c r="GCM6"/>
      <c r="GCN6"/>
      <c r="GCO6"/>
      <c r="GCP6"/>
      <c r="GCQ6"/>
      <c r="GCR6"/>
      <c r="GCS6"/>
      <c r="GCT6"/>
      <c r="GCU6"/>
      <c r="GCV6"/>
      <c r="GCW6"/>
      <c r="GCX6"/>
      <c r="GCY6"/>
      <c r="GCZ6"/>
      <c r="GDA6"/>
      <c r="GDB6"/>
      <c r="GDC6"/>
      <c r="GDD6"/>
      <c r="GDE6"/>
      <c r="GDF6"/>
      <c r="GDG6"/>
      <c r="GDH6"/>
      <c r="GDI6"/>
      <c r="GDJ6"/>
      <c r="GDK6"/>
      <c r="GDL6"/>
      <c r="GDM6"/>
      <c r="GDN6"/>
      <c r="GDO6"/>
      <c r="GDP6"/>
      <c r="GDQ6"/>
      <c r="GDR6"/>
      <c r="GDS6"/>
      <c r="GDT6"/>
      <c r="GDU6"/>
      <c r="GDV6"/>
      <c r="GDW6"/>
      <c r="GDX6"/>
      <c r="GDY6"/>
      <c r="GDZ6"/>
      <c r="GEA6"/>
      <c r="GEB6"/>
      <c r="GEC6"/>
      <c r="GED6"/>
      <c r="GEE6"/>
      <c r="GEF6"/>
      <c r="GEG6"/>
      <c r="GEH6"/>
      <c r="GEI6"/>
      <c r="GEJ6"/>
      <c r="GEK6"/>
      <c r="GEL6"/>
      <c r="GEM6"/>
      <c r="GEN6"/>
      <c r="GEO6"/>
      <c r="GEP6"/>
      <c r="GEQ6"/>
      <c r="GER6"/>
      <c r="GES6"/>
      <c r="GET6"/>
      <c r="GEU6"/>
      <c r="GEV6"/>
      <c r="GEW6"/>
      <c r="GEX6"/>
      <c r="GEY6"/>
      <c r="GEZ6"/>
      <c r="GFA6"/>
      <c r="GFB6"/>
      <c r="GFC6"/>
      <c r="GFD6"/>
      <c r="GFE6"/>
      <c r="GFF6"/>
      <c r="GFG6"/>
      <c r="GFH6"/>
      <c r="GFI6"/>
      <c r="GFJ6"/>
      <c r="GFK6"/>
      <c r="GFL6"/>
      <c r="GFM6"/>
      <c r="GFN6"/>
      <c r="GFO6"/>
      <c r="GFP6"/>
      <c r="GFQ6"/>
      <c r="GFR6"/>
      <c r="GFS6"/>
      <c r="GFT6"/>
      <c r="GFU6"/>
      <c r="GFV6"/>
      <c r="GFW6"/>
      <c r="GFX6"/>
      <c r="GFY6"/>
      <c r="GFZ6"/>
      <c r="GGA6"/>
      <c r="GGB6"/>
      <c r="GGC6"/>
      <c r="GGD6"/>
      <c r="GGE6"/>
      <c r="GGF6"/>
      <c r="GGG6"/>
      <c r="GGH6"/>
      <c r="GGI6"/>
      <c r="GGJ6"/>
      <c r="GGK6"/>
      <c r="GGL6"/>
      <c r="GGM6"/>
      <c r="GGN6"/>
      <c r="GGO6"/>
      <c r="GGP6"/>
      <c r="GGQ6"/>
      <c r="GGR6"/>
      <c r="GGS6"/>
      <c r="GGT6"/>
      <c r="GGU6"/>
      <c r="GGV6"/>
      <c r="GGW6"/>
      <c r="GGX6"/>
      <c r="GGY6"/>
      <c r="GGZ6"/>
      <c r="GHA6"/>
      <c r="GHB6"/>
      <c r="GHC6"/>
      <c r="GHD6"/>
      <c r="GHE6"/>
      <c r="GHF6"/>
      <c r="GHG6"/>
      <c r="GHH6"/>
      <c r="GHI6"/>
      <c r="GHJ6"/>
      <c r="GHK6"/>
      <c r="GHL6"/>
      <c r="GHM6"/>
      <c r="GHN6"/>
      <c r="GHO6"/>
      <c r="GHP6"/>
      <c r="GHQ6"/>
      <c r="GHR6"/>
      <c r="GHS6"/>
      <c r="GHT6"/>
      <c r="GHU6"/>
      <c r="GHV6"/>
      <c r="GHW6"/>
      <c r="GHX6"/>
      <c r="GHY6"/>
      <c r="GHZ6"/>
      <c r="GIA6"/>
      <c r="GIB6"/>
      <c r="GIC6"/>
      <c r="GID6"/>
      <c r="GIE6"/>
      <c r="GIF6"/>
      <c r="GIG6"/>
      <c r="GIH6"/>
      <c r="GII6"/>
      <c r="GIJ6"/>
      <c r="GIK6"/>
      <c r="GIL6"/>
      <c r="GIM6"/>
      <c r="GIN6"/>
      <c r="GIO6"/>
      <c r="GIP6"/>
      <c r="GIQ6"/>
      <c r="GIR6"/>
      <c r="GIS6"/>
      <c r="GIT6"/>
      <c r="GIU6"/>
      <c r="GIV6"/>
      <c r="GIW6"/>
      <c r="GIX6"/>
      <c r="GIY6"/>
      <c r="GIZ6"/>
      <c r="GJA6"/>
      <c r="GJB6"/>
      <c r="GJC6"/>
      <c r="GJD6"/>
      <c r="GJE6"/>
      <c r="GJF6"/>
      <c r="GJG6"/>
      <c r="GJH6"/>
      <c r="GJI6"/>
      <c r="GJJ6"/>
      <c r="GJK6"/>
      <c r="GJL6"/>
      <c r="GJM6"/>
      <c r="GJN6"/>
      <c r="GJO6"/>
      <c r="GJP6"/>
      <c r="GJQ6"/>
      <c r="GJR6"/>
      <c r="GJS6"/>
      <c r="GJT6"/>
      <c r="GJU6"/>
      <c r="GJV6"/>
      <c r="GJW6"/>
      <c r="GJX6"/>
      <c r="GJY6"/>
      <c r="GJZ6"/>
      <c r="GKA6"/>
      <c r="GKB6"/>
      <c r="GKC6"/>
      <c r="GKD6"/>
      <c r="GKE6"/>
      <c r="GKF6"/>
      <c r="GKG6"/>
      <c r="GKH6"/>
      <c r="GKI6"/>
    </row>
    <row r="7" spans="2:5027" x14ac:dyDescent="0.25"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  <c r="DI7" s="33"/>
      <c r="DJ7" s="33"/>
      <c r="DK7" s="33"/>
      <c r="DL7" s="33"/>
      <c r="DM7" s="33"/>
      <c r="DN7" s="33"/>
      <c r="DO7" s="33"/>
      <c r="DP7" s="33"/>
      <c r="DQ7" s="33"/>
      <c r="DR7" s="33"/>
      <c r="DS7" s="33"/>
      <c r="DT7" s="33"/>
      <c r="DU7" s="33"/>
      <c r="DV7" s="33"/>
      <c r="DW7" s="33"/>
      <c r="DX7" s="33"/>
      <c r="DY7" s="33"/>
      <c r="DZ7" s="33"/>
      <c r="EA7" s="33"/>
      <c r="EB7" s="33"/>
      <c r="EC7" s="33"/>
      <c r="ED7" s="33"/>
      <c r="EE7" s="33"/>
      <c r="EF7" s="33"/>
      <c r="EG7" s="33"/>
      <c r="EH7" s="33"/>
      <c r="EI7" s="33"/>
      <c r="EJ7" s="33"/>
      <c r="EK7" s="33"/>
      <c r="EL7" s="33"/>
      <c r="EM7" s="33"/>
      <c r="EN7" s="33"/>
      <c r="EO7" s="33"/>
      <c r="EP7" s="33"/>
      <c r="EQ7" s="33"/>
      <c r="ER7" s="33"/>
      <c r="ES7" s="33"/>
      <c r="ET7" s="33"/>
      <c r="EU7" s="33"/>
      <c r="EV7" s="33"/>
      <c r="EW7" s="33"/>
      <c r="EX7" s="33"/>
      <c r="EY7" s="33"/>
      <c r="EZ7" s="33"/>
      <c r="FA7" s="33"/>
      <c r="FB7" s="33"/>
      <c r="FC7" s="33"/>
      <c r="FD7" s="33"/>
      <c r="FE7" s="33"/>
      <c r="FF7" s="33"/>
      <c r="FG7" s="33"/>
      <c r="FH7" s="33"/>
      <c r="FI7" s="33"/>
      <c r="FJ7" s="33"/>
      <c r="FK7" s="33"/>
      <c r="FL7" s="33"/>
      <c r="FM7" s="33"/>
      <c r="FN7" s="33"/>
      <c r="FO7" s="33"/>
      <c r="FP7" s="33"/>
      <c r="FQ7" s="33"/>
      <c r="FR7" s="33"/>
      <c r="FS7" s="33"/>
      <c r="FT7" s="33"/>
      <c r="FU7" s="33"/>
      <c r="FV7" s="33"/>
      <c r="FW7" s="33"/>
      <c r="FX7" s="33"/>
      <c r="FY7" s="33"/>
      <c r="FZ7" s="33"/>
      <c r="GA7" s="33"/>
      <c r="GB7" s="33"/>
      <c r="GC7" s="33"/>
      <c r="GD7" s="33"/>
      <c r="GE7" s="33"/>
      <c r="GF7" s="33"/>
      <c r="GG7" s="33"/>
      <c r="GH7" s="33"/>
      <c r="GI7" s="33"/>
      <c r="GJ7" s="33"/>
      <c r="GK7" s="33"/>
      <c r="GL7" s="33"/>
      <c r="GM7" s="33"/>
      <c r="GN7" s="33"/>
      <c r="GO7" s="33"/>
      <c r="GP7" s="33"/>
      <c r="GQ7" s="33"/>
      <c r="GR7" s="33"/>
      <c r="GS7" s="33"/>
      <c r="GT7" s="33"/>
      <c r="GU7" s="33"/>
      <c r="GV7" s="33"/>
      <c r="GW7" s="33"/>
      <c r="GX7" s="33"/>
      <c r="GY7" s="33"/>
      <c r="GZ7" s="33"/>
      <c r="HA7" s="33"/>
      <c r="HB7" s="33"/>
      <c r="HC7" s="33"/>
      <c r="HD7" s="33"/>
      <c r="HE7" s="33"/>
      <c r="HF7" s="33"/>
      <c r="HG7" s="33"/>
      <c r="HH7" s="33"/>
      <c r="HI7" s="33"/>
      <c r="HJ7" s="33"/>
      <c r="HK7" s="33"/>
      <c r="HL7" s="33"/>
      <c r="HM7" s="33"/>
      <c r="HN7" s="33"/>
      <c r="HO7" s="33"/>
      <c r="HP7" s="33"/>
      <c r="HQ7" s="33"/>
      <c r="HR7" s="33"/>
      <c r="HS7" s="33"/>
      <c r="HT7" s="33"/>
      <c r="HU7" s="33"/>
      <c r="HV7" s="33"/>
      <c r="HW7" s="33"/>
      <c r="HX7" s="33"/>
      <c r="HY7" s="33"/>
      <c r="HZ7" s="33"/>
      <c r="IA7" s="33"/>
      <c r="IB7" s="33"/>
      <c r="IC7" s="33"/>
      <c r="ID7" s="33"/>
      <c r="IE7" s="33"/>
      <c r="IF7" s="33"/>
      <c r="IG7" s="33"/>
      <c r="IH7" s="33"/>
      <c r="II7" s="33"/>
      <c r="IJ7" s="33"/>
      <c r="IK7" s="33"/>
      <c r="IL7" s="33"/>
      <c r="IM7" s="33"/>
      <c r="IN7" s="33"/>
      <c r="IO7" s="33"/>
      <c r="IP7" s="33"/>
      <c r="IQ7" s="33"/>
      <c r="IR7" s="33"/>
      <c r="IS7" s="33"/>
      <c r="IT7" s="33"/>
      <c r="IU7" s="33"/>
      <c r="IV7" s="33"/>
      <c r="IW7" s="33"/>
      <c r="IX7" s="33"/>
      <c r="IY7" s="33"/>
      <c r="IZ7" s="33"/>
      <c r="JA7" s="33"/>
      <c r="JB7" s="33"/>
      <c r="JC7" s="33"/>
      <c r="JD7" s="33"/>
      <c r="JE7" s="33"/>
      <c r="JF7" s="33"/>
      <c r="JG7" s="33"/>
      <c r="JH7" s="33"/>
      <c r="JI7" s="33"/>
      <c r="JJ7" s="33"/>
      <c r="JK7" s="33"/>
      <c r="JL7" s="33"/>
      <c r="JM7" s="33"/>
      <c r="JN7" s="33"/>
      <c r="JO7" s="33"/>
      <c r="JP7" s="33"/>
      <c r="JQ7" s="33"/>
      <c r="JR7" s="33"/>
      <c r="JS7" s="33"/>
      <c r="JT7" s="33"/>
      <c r="JU7" s="33"/>
      <c r="JV7" s="33"/>
      <c r="JW7" s="33"/>
      <c r="JX7" s="33"/>
      <c r="JY7" s="33"/>
      <c r="JZ7" s="33"/>
      <c r="KA7" s="33"/>
      <c r="KB7" s="33"/>
      <c r="KC7" s="33"/>
      <c r="KD7" s="33"/>
      <c r="KE7" s="33"/>
      <c r="KF7" s="33"/>
      <c r="KG7" s="33"/>
      <c r="KH7" s="33"/>
      <c r="KI7" s="33"/>
      <c r="KJ7" s="33"/>
      <c r="KK7" s="33"/>
      <c r="KL7" s="33"/>
      <c r="KM7" s="33"/>
      <c r="KN7" s="33"/>
      <c r="KO7" s="33"/>
      <c r="KP7" s="33"/>
      <c r="KQ7" s="33"/>
      <c r="KR7" s="33"/>
      <c r="KS7" s="33"/>
      <c r="KT7" s="33"/>
      <c r="KU7" s="33"/>
      <c r="KV7" s="33"/>
      <c r="KW7" s="33"/>
      <c r="KX7" s="33"/>
      <c r="KY7" s="33"/>
      <c r="KZ7" s="33"/>
      <c r="LA7" s="33"/>
      <c r="LB7" s="33"/>
      <c r="LC7" s="33"/>
      <c r="LD7" s="33"/>
      <c r="LE7" s="33"/>
      <c r="LF7" s="33"/>
      <c r="LG7" s="33"/>
      <c r="LH7" s="33"/>
      <c r="LI7" s="33"/>
      <c r="LJ7" s="33"/>
      <c r="LK7" s="33"/>
      <c r="LL7" s="33"/>
      <c r="LM7" s="33"/>
      <c r="LN7" s="33"/>
      <c r="LO7" s="33"/>
      <c r="LP7" s="33"/>
      <c r="LQ7" s="33"/>
      <c r="LR7" s="33"/>
      <c r="LS7" s="33"/>
      <c r="LT7" s="33"/>
      <c r="LU7" s="33"/>
      <c r="LV7" s="33"/>
      <c r="LW7" s="33"/>
      <c r="LX7" s="33"/>
      <c r="LY7" s="33"/>
      <c r="LZ7" s="33"/>
      <c r="MA7" s="33"/>
      <c r="MB7" s="33"/>
      <c r="MC7" s="33"/>
      <c r="MD7" s="33"/>
      <c r="ME7" s="33"/>
      <c r="MF7" s="33"/>
      <c r="MG7" s="33"/>
      <c r="MH7" s="33"/>
      <c r="MI7" s="33"/>
      <c r="MJ7" s="33"/>
      <c r="MK7" s="33"/>
      <c r="ML7" s="33"/>
      <c r="MM7" s="33"/>
      <c r="MN7" s="33"/>
      <c r="MO7" s="33"/>
      <c r="MP7" s="33"/>
      <c r="MQ7" s="33"/>
      <c r="MR7" s="33"/>
      <c r="MS7" s="33"/>
      <c r="MT7" s="33"/>
      <c r="MU7" s="33"/>
      <c r="MV7" s="33"/>
      <c r="MW7" s="33"/>
      <c r="MX7" s="33"/>
      <c r="MY7" s="33"/>
      <c r="MZ7" s="33"/>
      <c r="NA7" s="33"/>
      <c r="NB7" s="33"/>
      <c r="NC7" s="33"/>
      <c r="ND7" s="33"/>
      <c r="NE7" s="33"/>
      <c r="NF7" s="33"/>
      <c r="NG7" s="33"/>
      <c r="NH7" s="33"/>
      <c r="NI7" s="33"/>
      <c r="NJ7" s="33"/>
      <c r="NK7" s="33"/>
      <c r="NL7" s="33"/>
      <c r="NM7" s="33"/>
      <c r="NN7" s="33"/>
      <c r="NO7" s="33"/>
      <c r="NP7" s="33"/>
      <c r="NQ7" s="33"/>
      <c r="NR7" s="33"/>
      <c r="NS7" s="33"/>
      <c r="NT7" s="33"/>
      <c r="NU7" s="33"/>
      <c r="NV7" s="33"/>
      <c r="NW7" s="33"/>
      <c r="NX7" s="33"/>
      <c r="NY7" s="33"/>
      <c r="NZ7" s="33"/>
      <c r="OA7" s="33"/>
      <c r="OB7" s="33"/>
      <c r="OC7" s="33"/>
      <c r="OD7" s="33"/>
      <c r="OE7" s="33"/>
      <c r="OF7" s="33"/>
      <c r="OG7" s="33"/>
      <c r="OH7" s="33"/>
      <c r="OI7" s="33"/>
      <c r="OJ7" s="33"/>
      <c r="OK7" s="33"/>
      <c r="OL7" s="33"/>
      <c r="OM7" s="33"/>
      <c r="ON7" s="33"/>
      <c r="OO7" s="33"/>
      <c r="OP7" s="33"/>
      <c r="OQ7" s="33"/>
      <c r="OR7" s="33"/>
      <c r="OS7" s="33"/>
      <c r="OT7" s="33"/>
      <c r="OU7" s="33"/>
      <c r="OV7" s="33"/>
      <c r="OW7" s="33"/>
      <c r="OX7" s="33"/>
      <c r="OY7" s="33"/>
      <c r="OZ7" s="33"/>
      <c r="PA7" s="33"/>
      <c r="PB7" s="33"/>
      <c r="PC7" s="33"/>
      <c r="PD7" s="33"/>
      <c r="PE7" s="33"/>
      <c r="PF7" s="33"/>
      <c r="PG7" s="33"/>
      <c r="PH7" s="33"/>
      <c r="PI7" s="33"/>
      <c r="PJ7" s="33"/>
      <c r="PK7" s="33"/>
      <c r="PL7" s="33"/>
      <c r="PM7" s="33"/>
      <c r="PN7" s="33"/>
      <c r="PO7" s="33"/>
      <c r="PP7" s="33"/>
      <c r="PQ7" s="33"/>
      <c r="PR7" s="33"/>
      <c r="PS7" s="33"/>
      <c r="PT7" s="33"/>
      <c r="PU7" s="33"/>
      <c r="PV7" s="33"/>
      <c r="PW7" s="33"/>
      <c r="PX7" s="33"/>
      <c r="PY7" s="33"/>
      <c r="PZ7" s="33"/>
      <c r="QA7" s="33"/>
      <c r="QB7" s="33"/>
      <c r="QC7" s="33"/>
      <c r="QD7" s="33"/>
      <c r="QE7" s="33"/>
      <c r="QF7" s="33"/>
      <c r="QG7" s="33"/>
      <c r="QH7" s="33"/>
      <c r="QI7" s="33"/>
      <c r="QJ7" s="33"/>
      <c r="QK7" s="33"/>
      <c r="QL7" s="33"/>
      <c r="QM7" s="33"/>
      <c r="QN7" s="33"/>
      <c r="QO7" s="33"/>
      <c r="QP7" s="33"/>
      <c r="QQ7" s="33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  <c r="AOD7"/>
      <c r="AOE7"/>
      <c r="AOF7"/>
      <c r="AOG7"/>
      <c r="AOH7"/>
      <c r="AOI7"/>
      <c r="AOJ7"/>
      <c r="AOK7"/>
      <c r="AOL7"/>
      <c r="AOM7"/>
      <c r="AON7"/>
      <c r="AOO7"/>
      <c r="AOP7"/>
      <c r="AOQ7"/>
      <c r="AOR7"/>
      <c r="AOS7"/>
      <c r="AOT7"/>
      <c r="AOU7"/>
      <c r="AOV7"/>
      <c r="AOW7"/>
      <c r="AOX7"/>
      <c r="AOY7"/>
      <c r="AOZ7"/>
      <c r="APA7"/>
      <c r="APB7"/>
      <c r="APC7"/>
      <c r="APD7"/>
      <c r="APE7"/>
      <c r="APF7"/>
      <c r="APG7"/>
      <c r="APH7"/>
      <c r="API7"/>
      <c r="APJ7"/>
      <c r="APK7"/>
      <c r="APL7"/>
      <c r="APM7"/>
      <c r="APN7"/>
      <c r="APO7"/>
      <c r="APP7"/>
      <c r="APQ7"/>
      <c r="APR7"/>
      <c r="APS7"/>
      <c r="APT7"/>
      <c r="APU7"/>
      <c r="APV7"/>
      <c r="APW7"/>
      <c r="APX7"/>
      <c r="APY7"/>
      <c r="APZ7"/>
      <c r="AQA7"/>
      <c r="AQB7"/>
      <c r="AQC7"/>
      <c r="AQD7"/>
      <c r="AQE7"/>
      <c r="AQF7"/>
      <c r="AQG7"/>
      <c r="AQH7"/>
      <c r="AQI7"/>
      <c r="AQJ7"/>
      <c r="AQK7"/>
      <c r="AQL7"/>
      <c r="AQM7"/>
      <c r="AQN7"/>
      <c r="AQO7"/>
      <c r="AQP7"/>
      <c r="AQQ7"/>
      <c r="AQR7"/>
      <c r="AQS7"/>
      <c r="AQT7"/>
      <c r="AQU7"/>
      <c r="AQV7"/>
      <c r="AQW7"/>
      <c r="AQX7"/>
      <c r="AQY7"/>
      <c r="AQZ7"/>
      <c r="ARA7"/>
      <c r="ARB7"/>
      <c r="ARC7"/>
      <c r="ARD7"/>
      <c r="ARE7"/>
      <c r="ARF7"/>
      <c r="ARG7"/>
      <c r="ARH7"/>
      <c r="ARI7"/>
      <c r="ARJ7"/>
      <c r="ARK7"/>
      <c r="ARL7"/>
      <c r="ARM7"/>
      <c r="ARN7"/>
      <c r="ARO7"/>
      <c r="ARP7"/>
      <c r="ARQ7"/>
      <c r="ARR7"/>
      <c r="ARS7"/>
      <c r="ART7"/>
      <c r="ARU7"/>
      <c r="ARV7"/>
      <c r="ARW7"/>
      <c r="ARX7"/>
      <c r="ARY7"/>
      <c r="ARZ7"/>
      <c r="ASA7"/>
      <c r="ASB7"/>
      <c r="ASC7"/>
      <c r="ASD7"/>
      <c r="ASE7"/>
      <c r="ASF7"/>
      <c r="ASG7"/>
      <c r="ASH7"/>
      <c r="ASI7"/>
      <c r="ASJ7"/>
      <c r="ASK7"/>
      <c r="ASL7"/>
      <c r="ASM7"/>
      <c r="ASN7"/>
      <c r="ASO7"/>
      <c r="ASP7"/>
      <c r="ASQ7"/>
      <c r="ASR7"/>
      <c r="ASS7"/>
      <c r="AST7"/>
      <c r="ASU7"/>
      <c r="ASV7"/>
      <c r="ASW7"/>
      <c r="ASX7"/>
      <c r="ASY7"/>
      <c r="ASZ7"/>
      <c r="ATA7"/>
      <c r="ATB7"/>
      <c r="ATC7"/>
      <c r="ATD7"/>
      <c r="ATE7"/>
      <c r="ATF7"/>
      <c r="ATG7"/>
      <c r="ATH7"/>
      <c r="ATI7"/>
      <c r="ATJ7"/>
      <c r="ATK7"/>
      <c r="ATL7"/>
      <c r="ATM7"/>
      <c r="ATN7"/>
      <c r="ATO7"/>
      <c r="ATP7"/>
      <c r="ATQ7"/>
      <c r="ATR7"/>
      <c r="ATS7"/>
      <c r="ATT7"/>
      <c r="ATU7"/>
      <c r="ATV7"/>
      <c r="ATW7"/>
      <c r="ATX7"/>
      <c r="ATY7"/>
      <c r="ATZ7"/>
      <c r="AUA7"/>
      <c r="AUB7"/>
      <c r="AUC7"/>
      <c r="AUD7"/>
      <c r="AUE7"/>
      <c r="AUF7"/>
      <c r="AUG7"/>
      <c r="AUH7"/>
      <c r="AUI7"/>
      <c r="AUJ7"/>
      <c r="AUK7"/>
      <c r="AUL7"/>
      <c r="AUM7"/>
      <c r="AUN7"/>
      <c r="AUO7"/>
      <c r="AUP7"/>
      <c r="AUQ7"/>
      <c r="AUR7"/>
      <c r="AUS7"/>
      <c r="AUT7"/>
      <c r="AUU7"/>
      <c r="AUV7"/>
      <c r="AUW7"/>
      <c r="AUX7"/>
      <c r="AUY7"/>
      <c r="AUZ7"/>
      <c r="AVA7"/>
      <c r="AVB7"/>
      <c r="AVC7"/>
      <c r="AVD7"/>
      <c r="AVE7"/>
      <c r="AVF7"/>
      <c r="AVG7"/>
      <c r="AVH7"/>
      <c r="AVI7"/>
      <c r="AVJ7"/>
      <c r="AVK7"/>
      <c r="AVL7"/>
      <c r="AVM7"/>
      <c r="AVN7"/>
      <c r="AVO7"/>
      <c r="AVP7"/>
      <c r="AVQ7"/>
      <c r="AVR7"/>
      <c r="AVS7"/>
      <c r="AVT7"/>
      <c r="AVU7"/>
      <c r="AVV7"/>
      <c r="AVW7"/>
      <c r="AVX7"/>
      <c r="AVY7"/>
      <c r="AVZ7"/>
      <c r="AWA7"/>
      <c r="AWB7"/>
      <c r="AWC7"/>
      <c r="AWD7"/>
      <c r="AWE7"/>
      <c r="AWF7"/>
      <c r="AWG7"/>
      <c r="AWH7"/>
      <c r="AWI7"/>
      <c r="AWJ7"/>
      <c r="AWK7"/>
      <c r="AWL7"/>
      <c r="AWM7"/>
      <c r="AWN7"/>
      <c r="AWO7"/>
      <c r="AWP7"/>
      <c r="AWQ7"/>
      <c r="AWR7"/>
      <c r="AWS7"/>
      <c r="AWT7"/>
      <c r="AWU7"/>
      <c r="AWV7"/>
      <c r="AWW7"/>
      <c r="AWX7"/>
      <c r="AWY7"/>
      <c r="AWZ7"/>
      <c r="AXA7"/>
      <c r="AXB7"/>
      <c r="AXC7"/>
      <c r="AXD7"/>
      <c r="AXE7"/>
      <c r="AXF7"/>
      <c r="AXG7"/>
      <c r="AXH7"/>
      <c r="AXI7"/>
      <c r="AXJ7"/>
      <c r="AXK7"/>
      <c r="AXL7"/>
      <c r="AXM7"/>
      <c r="AXN7"/>
      <c r="AXO7"/>
      <c r="AXP7"/>
      <c r="AXQ7"/>
      <c r="AXR7"/>
      <c r="AXS7"/>
      <c r="AXT7"/>
      <c r="AXU7"/>
      <c r="AXV7"/>
      <c r="AXW7"/>
      <c r="AXX7"/>
      <c r="AXY7"/>
      <c r="AXZ7"/>
      <c r="AYA7"/>
      <c r="AYB7"/>
      <c r="AYC7"/>
      <c r="AYD7"/>
      <c r="AYE7"/>
      <c r="AYF7"/>
      <c r="AYG7"/>
      <c r="AYH7"/>
      <c r="AYI7"/>
      <c r="AYJ7"/>
      <c r="AYK7"/>
      <c r="AYL7"/>
      <c r="AYM7"/>
      <c r="AYN7"/>
      <c r="AYO7"/>
      <c r="AYP7"/>
      <c r="AYQ7"/>
      <c r="AYR7"/>
      <c r="AYS7"/>
      <c r="AYT7"/>
      <c r="AYU7"/>
      <c r="AYV7"/>
      <c r="AYW7"/>
      <c r="AYX7"/>
      <c r="AYY7"/>
      <c r="AYZ7"/>
      <c r="AZA7"/>
      <c r="AZB7"/>
      <c r="AZC7"/>
      <c r="AZD7"/>
      <c r="AZE7"/>
      <c r="AZF7"/>
      <c r="AZG7"/>
      <c r="AZH7"/>
      <c r="AZI7"/>
      <c r="AZJ7"/>
      <c r="AZK7"/>
      <c r="AZL7"/>
      <c r="AZM7"/>
      <c r="AZN7"/>
      <c r="AZO7"/>
      <c r="AZP7"/>
      <c r="AZQ7"/>
      <c r="AZR7"/>
      <c r="AZS7"/>
      <c r="AZT7"/>
      <c r="AZU7"/>
      <c r="AZV7"/>
      <c r="AZW7"/>
      <c r="AZX7"/>
      <c r="AZY7"/>
      <c r="AZZ7"/>
      <c r="BAA7"/>
      <c r="BAB7"/>
      <c r="BAC7"/>
      <c r="BAD7"/>
      <c r="BAE7"/>
      <c r="BAF7"/>
      <c r="BAG7"/>
      <c r="BAH7"/>
      <c r="BAI7"/>
      <c r="BAJ7"/>
      <c r="BAK7"/>
      <c r="BAL7"/>
      <c r="BAM7"/>
      <c r="BAN7"/>
      <c r="BAO7"/>
      <c r="BAP7"/>
      <c r="BAQ7"/>
      <c r="BAR7"/>
      <c r="BAS7"/>
      <c r="BAT7"/>
      <c r="BAU7"/>
      <c r="BAV7"/>
      <c r="BAW7"/>
      <c r="BAX7"/>
      <c r="BAY7"/>
      <c r="BAZ7"/>
      <c r="BBA7"/>
      <c r="BBB7"/>
      <c r="BBC7"/>
      <c r="BBD7"/>
      <c r="BBE7"/>
      <c r="BBF7"/>
      <c r="BBG7"/>
      <c r="BBH7"/>
      <c r="BBI7"/>
      <c r="BBJ7"/>
      <c r="BBK7"/>
      <c r="BBL7"/>
      <c r="BBM7"/>
      <c r="BBN7"/>
      <c r="BBO7"/>
      <c r="BBP7"/>
      <c r="BBQ7"/>
      <c r="BBR7"/>
      <c r="BBS7"/>
      <c r="BBT7"/>
      <c r="BBU7"/>
      <c r="BBV7"/>
      <c r="BBW7"/>
      <c r="BBX7"/>
      <c r="BBY7"/>
      <c r="BBZ7"/>
      <c r="BCA7"/>
      <c r="BCB7"/>
      <c r="BCC7"/>
      <c r="BCD7"/>
      <c r="BCE7"/>
      <c r="BCF7"/>
      <c r="BCG7"/>
      <c r="BCH7"/>
      <c r="BCI7"/>
      <c r="BCJ7"/>
      <c r="BCK7"/>
      <c r="BCL7"/>
      <c r="BCM7"/>
      <c r="BCN7"/>
      <c r="BCO7"/>
      <c r="BCP7"/>
      <c r="BCQ7"/>
      <c r="BCR7"/>
      <c r="BCS7"/>
      <c r="BCT7"/>
      <c r="BCU7"/>
      <c r="BCV7"/>
      <c r="BCW7"/>
      <c r="BCX7"/>
      <c r="BCY7"/>
      <c r="BCZ7"/>
      <c r="BDA7"/>
      <c r="BDB7"/>
      <c r="BDC7"/>
      <c r="BDD7"/>
      <c r="BDE7"/>
      <c r="BDF7"/>
      <c r="BDG7"/>
      <c r="BDH7"/>
      <c r="BDI7"/>
      <c r="BDJ7"/>
      <c r="BDK7"/>
      <c r="BDL7"/>
      <c r="BDM7"/>
      <c r="BDN7"/>
      <c r="BDO7"/>
      <c r="BDP7"/>
      <c r="BDQ7"/>
      <c r="BDR7"/>
      <c r="BDS7"/>
      <c r="BDT7"/>
      <c r="BDU7"/>
      <c r="BDV7"/>
      <c r="BDW7"/>
      <c r="BDX7"/>
      <c r="BDY7"/>
      <c r="BDZ7"/>
      <c r="BEA7"/>
      <c r="BEB7"/>
      <c r="BEC7"/>
      <c r="BED7"/>
      <c r="BEE7"/>
      <c r="BEF7"/>
      <c r="BEG7"/>
      <c r="BEH7"/>
      <c r="BEI7"/>
      <c r="BEJ7"/>
      <c r="BEK7"/>
      <c r="BEL7"/>
      <c r="BEM7"/>
      <c r="BEN7"/>
      <c r="BEO7"/>
      <c r="BEP7"/>
      <c r="BEQ7"/>
      <c r="BER7"/>
      <c r="BES7"/>
      <c r="BET7"/>
      <c r="BEU7"/>
      <c r="BEV7"/>
      <c r="BEW7"/>
      <c r="BEX7"/>
      <c r="BEY7"/>
      <c r="BEZ7"/>
      <c r="BFA7"/>
      <c r="BFB7"/>
      <c r="BFC7"/>
      <c r="BFD7"/>
      <c r="BFE7"/>
      <c r="BFF7"/>
      <c r="BFG7"/>
      <c r="BFH7"/>
      <c r="BFI7"/>
      <c r="BFJ7"/>
      <c r="BFK7"/>
      <c r="BFL7"/>
      <c r="BFM7"/>
      <c r="BFN7"/>
      <c r="BFO7"/>
      <c r="BFP7"/>
      <c r="BFQ7"/>
      <c r="BFR7"/>
      <c r="BFS7"/>
      <c r="BFT7"/>
      <c r="BFU7"/>
      <c r="BFV7"/>
      <c r="BFW7"/>
      <c r="BFX7"/>
      <c r="BFY7"/>
      <c r="BFZ7"/>
      <c r="BGA7"/>
      <c r="BGB7"/>
      <c r="BGC7"/>
      <c r="BGD7"/>
      <c r="BGE7"/>
      <c r="BGF7"/>
      <c r="BGG7"/>
      <c r="BGH7"/>
      <c r="BGI7"/>
      <c r="BGJ7"/>
      <c r="BGK7"/>
      <c r="BGL7"/>
      <c r="BGM7"/>
      <c r="BGN7"/>
      <c r="BGO7"/>
      <c r="BGP7"/>
      <c r="BGQ7"/>
      <c r="BGR7"/>
      <c r="BGS7"/>
      <c r="BGT7"/>
      <c r="BGU7"/>
      <c r="BGV7"/>
      <c r="BGW7"/>
      <c r="BGX7"/>
      <c r="BGY7"/>
      <c r="BGZ7"/>
      <c r="BHA7"/>
      <c r="BHB7"/>
      <c r="BHC7"/>
      <c r="BHD7"/>
      <c r="BHE7"/>
      <c r="BHF7"/>
      <c r="BHG7"/>
      <c r="BHH7"/>
      <c r="BHI7"/>
      <c r="BHJ7"/>
      <c r="BHK7"/>
      <c r="BHL7"/>
      <c r="BHM7"/>
      <c r="BHN7"/>
      <c r="BHO7"/>
      <c r="BHP7"/>
      <c r="BHQ7"/>
      <c r="BHR7"/>
      <c r="BHS7"/>
      <c r="BHT7"/>
      <c r="BHU7"/>
      <c r="BHV7"/>
      <c r="BHW7"/>
      <c r="BHX7"/>
      <c r="BHY7"/>
      <c r="BHZ7"/>
      <c r="BIA7"/>
      <c r="BIB7"/>
      <c r="BIC7"/>
      <c r="BID7"/>
      <c r="BIE7"/>
      <c r="BIF7"/>
      <c r="BIG7"/>
      <c r="BIH7"/>
      <c r="BII7"/>
      <c r="BIJ7"/>
      <c r="BIK7"/>
      <c r="BIL7"/>
      <c r="BIM7"/>
      <c r="BIN7"/>
      <c r="BIO7"/>
      <c r="BIP7"/>
      <c r="BIQ7"/>
      <c r="BIR7"/>
      <c r="BIS7"/>
      <c r="BIT7"/>
      <c r="BIU7"/>
      <c r="BIV7"/>
      <c r="BIW7"/>
      <c r="BIX7"/>
      <c r="BIY7"/>
      <c r="BIZ7"/>
      <c r="BJA7"/>
      <c r="BJB7"/>
      <c r="BJC7"/>
      <c r="BJD7"/>
      <c r="BJE7"/>
      <c r="BJF7"/>
      <c r="BJG7"/>
      <c r="BJH7"/>
      <c r="BJI7"/>
      <c r="BJJ7"/>
      <c r="BJK7"/>
      <c r="BJL7"/>
      <c r="BJM7"/>
      <c r="BJN7"/>
      <c r="BJO7"/>
      <c r="BJP7"/>
      <c r="BJQ7"/>
      <c r="BJR7"/>
      <c r="BJS7"/>
      <c r="BJT7"/>
      <c r="BJU7"/>
      <c r="BJV7"/>
      <c r="BJW7"/>
      <c r="BJX7"/>
      <c r="BJY7"/>
      <c r="BJZ7"/>
      <c r="BKA7"/>
      <c r="BKB7"/>
      <c r="BKC7"/>
      <c r="BKD7"/>
      <c r="BKE7"/>
      <c r="BKF7"/>
      <c r="BKG7"/>
      <c r="BKH7"/>
      <c r="BKI7"/>
      <c r="BKJ7"/>
      <c r="BKK7"/>
      <c r="BKL7"/>
      <c r="BKM7"/>
      <c r="BKN7"/>
      <c r="BKO7"/>
      <c r="BKP7"/>
      <c r="BKQ7"/>
      <c r="BKR7"/>
      <c r="BKS7"/>
      <c r="BKT7"/>
      <c r="BKU7"/>
      <c r="BKV7"/>
      <c r="BKW7"/>
      <c r="BKX7"/>
      <c r="BKY7"/>
      <c r="BKZ7"/>
      <c r="BLA7"/>
      <c r="BLB7"/>
      <c r="BLC7"/>
      <c r="BLD7"/>
      <c r="BLE7"/>
      <c r="BLF7"/>
      <c r="BLG7"/>
      <c r="BLH7"/>
      <c r="BLI7"/>
      <c r="BLJ7"/>
      <c r="BLK7"/>
      <c r="BLL7"/>
      <c r="BLM7"/>
      <c r="BLN7"/>
      <c r="BLO7"/>
      <c r="BLP7"/>
      <c r="BLQ7"/>
      <c r="BLR7"/>
      <c r="BLS7"/>
      <c r="BLT7"/>
      <c r="BLU7"/>
      <c r="BLV7"/>
      <c r="BLW7"/>
      <c r="BLX7"/>
      <c r="BLY7"/>
      <c r="BLZ7"/>
      <c r="BMA7"/>
      <c r="BMB7"/>
      <c r="BMC7"/>
      <c r="BMD7"/>
      <c r="BME7"/>
      <c r="BMF7"/>
      <c r="BMG7"/>
      <c r="BMH7"/>
      <c r="BMI7"/>
      <c r="BMJ7"/>
      <c r="BMK7"/>
      <c r="BML7"/>
      <c r="BMM7"/>
      <c r="BMN7"/>
      <c r="BMO7"/>
      <c r="BMP7"/>
      <c r="BMQ7"/>
      <c r="BMR7"/>
      <c r="BMS7"/>
      <c r="BMT7"/>
      <c r="BMU7"/>
      <c r="BMV7"/>
      <c r="BMW7"/>
      <c r="BMX7"/>
      <c r="BMY7"/>
      <c r="BMZ7"/>
      <c r="BNA7"/>
      <c r="BNB7"/>
      <c r="BNC7"/>
      <c r="BND7"/>
      <c r="BNE7"/>
      <c r="BNF7"/>
      <c r="BNG7"/>
      <c r="BNH7"/>
      <c r="BNI7"/>
      <c r="BNJ7"/>
      <c r="BNK7"/>
      <c r="BNL7"/>
      <c r="BNM7"/>
      <c r="BNN7"/>
      <c r="BNO7"/>
      <c r="BNP7"/>
      <c r="BNQ7"/>
      <c r="BNR7"/>
      <c r="BNS7"/>
      <c r="BNT7"/>
      <c r="BNU7"/>
      <c r="BNV7"/>
      <c r="BNW7"/>
      <c r="BNX7"/>
      <c r="BNY7"/>
      <c r="BNZ7"/>
      <c r="BOA7"/>
      <c r="BOB7"/>
      <c r="BOC7"/>
      <c r="BOD7"/>
      <c r="BOE7"/>
      <c r="BOF7"/>
      <c r="BOG7"/>
      <c r="BOH7"/>
      <c r="BOI7"/>
      <c r="BOJ7"/>
      <c r="BOK7"/>
      <c r="BOL7"/>
      <c r="BOM7"/>
      <c r="BON7"/>
      <c r="BOO7"/>
      <c r="BOP7"/>
      <c r="BOQ7"/>
      <c r="BOR7"/>
      <c r="BOS7"/>
      <c r="BOT7"/>
      <c r="BOU7"/>
      <c r="BOV7"/>
      <c r="BOW7"/>
      <c r="BOX7"/>
      <c r="BOY7"/>
      <c r="BOZ7"/>
      <c r="BPA7"/>
      <c r="BPB7"/>
      <c r="BPC7"/>
      <c r="BPD7"/>
      <c r="BPE7"/>
      <c r="BPF7"/>
      <c r="BPG7"/>
      <c r="BPH7"/>
      <c r="BPI7"/>
      <c r="BPJ7"/>
      <c r="BPK7"/>
      <c r="BPL7"/>
      <c r="BPM7"/>
      <c r="BPN7"/>
      <c r="BPO7"/>
      <c r="BPP7"/>
      <c r="BPQ7"/>
      <c r="BPR7"/>
      <c r="BPS7"/>
      <c r="BPT7"/>
      <c r="BPU7"/>
      <c r="BPV7"/>
      <c r="BPW7"/>
      <c r="BPX7"/>
      <c r="BPY7"/>
      <c r="BPZ7"/>
      <c r="BQA7"/>
      <c r="BQB7"/>
      <c r="BQC7"/>
      <c r="BQD7"/>
      <c r="BQE7"/>
      <c r="BQF7"/>
      <c r="BQG7"/>
      <c r="BQH7"/>
      <c r="BQI7"/>
      <c r="BQJ7"/>
      <c r="BQK7"/>
      <c r="BQL7"/>
      <c r="BQM7"/>
      <c r="BQN7"/>
      <c r="BQO7"/>
      <c r="BQP7"/>
      <c r="BQQ7"/>
      <c r="BQR7"/>
      <c r="BQS7"/>
      <c r="BQT7"/>
      <c r="BQU7"/>
      <c r="BQV7"/>
      <c r="BQW7"/>
      <c r="BQX7"/>
      <c r="BQY7"/>
      <c r="BQZ7"/>
      <c r="BRA7"/>
      <c r="BRB7"/>
      <c r="BRC7"/>
      <c r="BRD7"/>
      <c r="BRE7"/>
      <c r="BRF7"/>
      <c r="BRG7"/>
      <c r="BRH7"/>
      <c r="BRI7"/>
      <c r="BRJ7"/>
      <c r="BRK7"/>
      <c r="BRL7"/>
      <c r="BRM7"/>
      <c r="BRN7"/>
      <c r="BRO7"/>
      <c r="BRP7"/>
      <c r="BRQ7"/>
      <c r="BRR7"/>
      <c r="BRS7"/>
      <c r="BRT7"/>
      <c r="BRU7"/>
      <c r="BRV7"/>
      <c r="BRW7"/>
      <c r="BRX7"/>
      <c r="BRY7"/>
      <c r="BRZ7"/>
      <c r="BSA7"/>
      <c r="BSB7"/>
      <c r="BSC7"/>
      <c r="BSD7"/>
      <c r="BSE7"/>
      <c r="BSF7"/>
      <c r="BSG7"/>
      <c r="BSH7"/>
      <c r="BSI7"/>
      <c r="BSJ7"/>
      <c r="BSK7"/>
      <c r="BSL7"/>
      <c r="BSM7"/>
      <c r="BSN7"/>
      <c r="BSO7"/>
      <c r="BSP7"/>
      <c r="BSQ7"/>
      <c r="BSR7"/>
      <c r="BSS7"/>
      <c r="BST7"/>
      <c r="BSU7"/>
      <c r="BSV7"/>
      <c r="BSW7"/>
      <c r="BSX7"/>
      <c r="BSY7"/>
      <c r="BSZ7"/>
      <c r="BTA7"/>
      <c r="BTB7"/>
      <c r="BTC7"/>
      <c r="BTD7"/>
      <c r="BTE7"/>
      <c r="BTF7"/>
      <c r="BTG7"/>
      <c r="BTH7"/>
      <c r="BTI7"/>
      <c r="BTJ7"/>
      <c r="BTK7"/>
      <c r="BTL7"/>
      <c r="BTM7"/>
      <c r="BTN7"/>
      <c r="BTO7"/>
      <c r="BTP7"/>
      <c r="BTQ7"/>
      <c r="BTR7"/>
      <c r="BTS7"/>
      <c r="BTT7"/>
      <c r="BTU7"/>
      <c r="BTV7"/>
      <c r="BTW7"/>
      <c r="BTX7"/>
      <c r="BTY7"/>
      <c r="BTZ7"/>
      <c r="BUA7"/>
      <c r="BUB7"/>
      <c r="BUC7"/>
      <c r="BUD7"/>
      <c r="BUE7"/>
      <c r="BUF7"/>
      <c r="BUG7"/>
      <c r="BUH7"/>
      <c r="BUI7"/>
      <c r="BUJ7"/>
      <c r="BUK7"/>
      <c r="BUL7"/>
      <c r="BUM7"/>
      <c r="BUN7"/>
      <c r="BUO7"/>
      <c r="BUP7"/>
      <c r="BUQ7"/>
      <c r="BUR7"/>
      <c r="BUS7"/>
      <c r="BUT7"/>
      <c r="BUU7"/>
      <c r="BUV7"/>
      <c r="BUW7"/>
      <c r="BUX7"/>
      <c r="BUY7"/>
      <c r="BUZ7"/>
      <c r="BVA7"/>
      <c r="BVB7"/>
      <c r="BVC7"/>
      <c r="BVD7"/>
      <c r="BVE7"/>
      <c r="BVF7"/>
      <c r="BVG7"/>
      <c r="BVH7"/>
      <c r="BVI7"/>
      <c r="BVJ7"/>
      <c r="BVK7"/>
      <c r="BVL7"/>
      <c r="BVM7"/>
      <c r="BVN7"/>
      <c r="BVO7"/>
      <c r="BVP7"/>
      <c r="BVQ7"/>
      <c r="BVR7"/>
      <c r="BVS7"/>
      <c r="BVT7"/>
      <c r="BVU7"/>
      <c r="BVV7"/>
      <c r="BVW7"/>
      <c r="BVX7"/>
      <c r="BVY7"/>
      <c r="BVZ7"/>
      <c r="BWA7"/>
      <c r="BWB7"/>
      <c r="BWC7"/>
      <c r="BWD7"/>
      <c r="BWE7"/>
      <c r="BWF7"/>
      <c r="BWG7"/>
      <c r="BWH7"/>
      <c r="BWI7"/>
      <c r="BWJ7"/>
      <c r="BWK7"/>
      <c r="BWL7"/>
      <c r="BWM7"/>
      <c r="BWN7"/>
      <c r="BWO7"/>
      <c r="BWP7"/>
      <c r="BWQ7"/>
      <c r="BWR7"/>
      <c r="BWS7"/>
      <c r="BWT7"/>
      <c r="BWU7"/>
      <c r="BWV7"/>
      <c r="BWW7"/>
      <c r="BWX7"/>
      <c r="BWY7"/>
      <c r="BWZ7"/>
      <c r="BXA7"/>
      <c r="BXB7"/>
      <c r="BXC7"/>
      <c r="BXD7"/>
      <c r="BXE7"/>
      <c r="BXF7"/>
      <c r="BXG7"/>
      <c r="BXH7"/>
      <c r="BXI7"/>
      <c r="BXJ7"/>
      <c r="BXK7"/>
      <c r="BXL7"/>
      <c r="BXM7"/>
      <c r="BXN7"/>
      <c r="BXO7"/>
      <c r="BXP7"/>
      <c r="BXQ7"/>
      <c r="BXR7"/>
      <c r="BXS7"/>
      <c r="BXT7"/>
      <c r="BXU7"/>
      <c r="BXV7"/>
      <c r="BXW7"/>
      <c r="BXX7"/>
      <c r="BXY7"/>
      <c r="BXZ7"/>
      <c r="BYA7"/>
      <c r="BYB7"/>
      <c r="BYC7"/>
      <c r="BYD7"/>
      <c r="BYE7"/>
      <c r="BYF7"/>
      <c r="BYG7"/>
      <c r="BYH7"/>
      <c r="BYI7"/>
      <c r="BYJ7"/>
      <c r="BYK7"/>
      <c r="BYL7"/>
      <c r="BYM7"/>
      <c r="BYN7"/>
      <c r="BYO7"/>
      <c r="BYP7"/>
      <c r="BYQ7"/>
      <c r="BYR7"/>
      <c r="BYS7"/>
      <c r="BYT7"/>
      <c r="BYU7"/>
      <c r="BYV7"/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/>
      <c r="CQI7"/>
      <c r="CQJ7"/>
      <c r="CQK7"/>
      <c r="CQL7"/>
      <c r="CQM7"/>
      <c r="CQN7"/>
      <c r="CQO7"/>
      <c r="CQP7"/>
      <c r="CQQ7"/>
      <c r="CQR7"/>
      <c r="CQS7"/>
      <c r="CQT7"/>
      <c r="CQU7"/>
      <c r="CQV7"/>
      <c r="CQW7"/>
      <c r="CQX7"/>
      <c r="CQY7"/>
      <c r="CQZ7"/>
      <c r="CRA7"/>
      <c r="CRB7"/>
      <c r="CRC7"/>
      <c r="CRD7"/>
      <c r="CRE7"/>
      <c r="CRF7"/>
      <c r="CRG7"/>
      <c r="CRH7"/>
      <c r="CRI7"/>
      <c r="CRJ7"/>
      <c r="CRK7"/>
      <c r="CRL7"/>
      <c r="CRM7"/>
      <c r="CRN7"/>
      <c r="CRO7"/>
      <c r="CRP7"/>
      <c r="CRQ7"/>
      <c r="CRR7"/>
      <c r="CRS7"/>
      <c r="CRT7"/>
      <c r="CRU7"/>
      <c r="CRV7"/>
      <c r="CRW7"/>
      <c r="CRX7"/>
      <c r="CRY7"/>
      <c r="CRZ7"/>
      <c r="CSA7"/>
      <c r="CSB7"/>
      <c r="CSC7"/>
      <c r="CSD7"/>
      <c r="CSE7"/>
      <c r="CSF7"/>
      <c r="CSG7"/>
      <c r="CSH7"/>
      <c r="CSI7"/>
      <c r="CSJ7"/>
      <c r="CSK7"/>
      <c r="CSL7"/>
      <c r="CSM7"/>
      <c r="CSN7"/>
      <c r="CSO7"/>
      <c r="CSP7"/>
      <c r="CSQ7"/>
      <c r="CSR7"/>
      <c r="CSS7"/>
      <c r="CST7"/>
      <c r="CSU7"/>
      <c r="CSV7"/>
      <c r="CSW7"/>
      <c r="CSX7"/>
      <c r="CSY7"/>
      <c r="CSZ7"/>
      <c r="CTA7"/>
      <c r="CTB7"/>
      <c r="CTC7"/>
      <c r="CTD7"/>
      <c r="CTE7"/>
      <c r="CTF7"/>
      <c r="CTG7"/>
      <c r="CTH7"/>
      <c r="CTI7"/>
      <c r="CTJ7"/>
      <c r="CTK7"/>
      <c r="CTL7"/>
      <c r="CTM7"/>
      <c r="CTN7"/>
      <c r="CTO7"/>
      <c r="CTP7"/>
      <c r="CTQ7"/>
      <c r="CTR7"/>
      <c r="CTS7"/>
      <c r="CTT7"/>
      <c r="CTU7"/>
      <c r="CTV7"/>
      <c r="CTW7"/>
      <c r="CTX7"/>
      <c r="CTY7"/>
      <c r="CTZ7"/>
      <c r="CUA7"/>
      <c r="CUB7"/>
      <c r="CUC7"/>
      <c r="CUD7"/>
      <c r="CUE7"/>
      <c r="CUF7"/>
      <c r="CUG7"/>
      <c r="CUH7"/>
      <c r="CUI7"/>
      <c r="CUJ7"/>
      <c r="CUK7"/>
      <c r="CUL7"/>
      <c r="CUM7"/>
      <c r="CUN7"/>
      <c r="CUO7"/>
      <c r="CUP7"/>
      <c r="CUQ7"/>
      <c r="CUR7"/>
      <c r="CUS7"/>
      <c r="CUT7"/>
      <c r="CUU7"/>
      <c r="CUV7"/>
      <c r="CUW7"/>
      <c r="CUX7"/>
      <c r="CUY7"/>
      <c r="CUZ7"/>
      <c r="CVA7"/>
      <c r="CVB7"/>
      <c r="CVC7"/>
      <c r="CVD7"/>
      <c r="CVE7"/>
      <c r="CVF7"/>
      <c r="CVG7"/>
      <c r="CVH7"/>
      <c r="CVI7"/>
      <c r="CVJ7"/>
      <c r="CVK7"/>
      <c r="CVL7"/>
      <c r="CVM7"/>
      <c r="CVN7"/>
      <c r="CVO7"/>
      <c r="CVP7"/>
      <c r="CVQ7"/>
      <c r="CVR7"/>
      <c r="CVS7"/>
      <c r="CVT7"/>
      <c r="CVU7"/>
      <c r="CVV7"/>
      <c r="CVW7"/>
      <c r="CVX7"/>
      <c r="CVY7"/>
      <c r="CVZ7"/>
      <c r="CWA7"/>
      <c r="CWB7"/>
      <c r="CWC7"/>
      <c r="CWD7"/>
      <c r="CWE7"/>
      <c r="CWF7"/>
      <c r="CWG7"/>
      <c r="CWH7"/>
      <c r="CWI7"/>
      <c r="CWJ7"/>
      <c r="CWK7"/>
      <c r="CWL7"/>
      <c r="CWM7"/>
      <c r="CWN7"/>
      <c r="CWO7"/>
      <c r="CWP7"/>
      <c r="CWQ7"/>
      <c r="CWR7"/>
      <c r="CWS7"/>
      <c r="CWT7"/>
      <c r="CWU7"/>
      <c r="CWV7"/>
      <c r="CWW7"/>
      <c r="CWX7"/>
      <c r="CWY7"/>
      <c r="CWZ7"/>
      <c r="CXA7"/>
      <c r="CXB7"/>
      <c r="CXC7"/>
      <c r="CXD7"/>
      <c r="CXE7"/>
      <c r="CXF7"/>
      <c r="CXG7"/>
      <c r="CXH7"/>
      <c r="CXI7"/>
      <c r="CXJ7"/>
      <c r="CXK7"/>
      <c r="CXL7"/>
      <c r="CXM7"/>
      <c r="CXN7"/>
      <c r="CXO7"/>
      <c r="CXP7"/>
      <c r="CXQ7"/>
      <c r="CXR7"/>
      <c r="CXS7"/>
      <c r="CXT7"/>
      <c r="CXU7"/>
      <c r="CXV7"/>
      <c r="CXW7"/>
      <c r="CXX7"/>
      <c r="CXY7"/>
      <c r="CXZ7"/>
      <c r="CYA7"/>
      <c r="CYB7"/>
      <c r="CYC7"/>
      <c r="CYD7"/>
      <c r="CYE7"/>
      <c r="CYF7"/>
      <c r="CYG7"/>
      <c r="CYH7"/>
      <c r="CYI7"/>
      <c r="CYJ7"/>
      <c r="CYK7"/>
      <c r="CYL7"/>
      <c r="CYM7"/>
      <c r="CYN7"/>
      <c r="CYO7"/>
      <c r="CYP7"/>
      <c r="CYQ7"/>
      <c r="CYR7"/>
      <c r="CYS7"/>
      <c r="CYT7"/>
      <c r="CYU7"/>
      <c r="CYV7"/>
      <c r="CYW7"/>
      <c r="CYX7"/>
      <c r="CYY7"/>
      <c r="CYZ7"/>
      <c r="CZA7"/>
      <c r="CZB7"/>
      <c r="CZC7"/>
      <c r="CZD7"/>
      <c r="CZE7"/>
      <c r="CZF7"/>
      <c r="CZG7"/>
      <c r="CZH7"/>
      <c r="CZI7"/>
      <c r="CZJ7"/>
      <c r="CZK7"/>
      <c r="CZL7"/>
      <c r="CZM7"/>
      <c r="CZN7"/>
      <c r="CZO7"/>
      <c r="CZP7"/>
      <c r="CZQ7"/>
      <c r="CZR7"/>
      <c r="CZS7"/>
      <c r="CZT7"/>
      <c r="CZU7"/>
      <c r="CZV7"/>
      <c r="CZW7"/>
      <c r="CZX7"/>
      <c r="CZY7"/>
      <c r="CZZ7"/>
      <c r="DAA7"/>
      <c r="DAB7"/>
      <c r="DAC7"/>
      <c r="DAD7"/>
      <c r="DAE7"/>
      <c r="DAF7"/>
      <c r="DAG7"/>
      <c r="DAH7"/>
      <c r="DAI7"/>
      <c r="DAJ7"/>
      <c r="DAK7"/>
      <c r="DAL7"/>
      <c r="DAM7"/>
      <c r="DAN7"/>
      <c r="DAO7"/>
      <c r="DAP7"/>
      <c r="DAQ7"/>
      <c r="DAR7"/>
      <c r="DAS7"/>
      <c r="DAT7"/>
      <c r="DAU7"/>
      <c r="DAV7"/>
      <c r="DAW7"/>
      <c r="DAX7"/>
      <c r="DAY7"/>
      <c r="DAZ7"/>
      <c r="DBA7"/>
      <c r="DBB7"/>
      <c r="DBC7"/>
      <c r="DBD7"/>
      <c r="DBE7"/>
      <c r="DBF7"/>
      <c r="DBG7"/>
      <c r="DBH7"/>
      <c r="DBI7"/>
      <c r="DBJ7"/>
      <c r="DBK7"/>
      <c r="DBL7"/>
      <c r="DBM7"/>
      <c r="DBN7"/>
      <c r="DBO7"/>
      <c r="DBP7"/>
      <c r="DBQ7"/>
      <c r="DBR7"/>
      <c r="DBS7"/>
      <c r="DBT7"/>
      <c r="DBU7"/>
      <c r="DBV7"/>
      <c r="DBW7"/>
      <c r="DBX7"/>
      <c r="DBY7"/>
      <c r="DBZ7"/>
      <c r="DCA7"/>
      <c r="DCB7"/>
      <c r="DCC7"/>
      <c r="DCD7"/>
      <c r="DCE7"/>
      <c r="DCF7"/>
      <c r="DCG7"/>
      <c r="DCH7"/>
      <c r="DCI7"/>
      <c r="DCJ7"/>
      <c r="DCK7"/>
      <c r="DCL7"/>
      <c r="DCM7"/>
      <c r="DCN7"/>
      <c r="DCO7"/>
      <c r="DCP7"/>
      <c r="DCQ7"/>
      <c r="DCR7"/>
      <c r="DCS7"/>
      <c r="DCT7"/>
      <c r="DCU7"/>
      <c r="DCV7"/>
      <c r="DCW7"/>
      <c r="DCX7"/>
      <c r="DCY7"/>
      <c r="DCZ7"/>
      <c r="DDA7"/>
      <c r="DDB7"/>
      <c r="DDC7"/>
      <c r="DDD7"/>
      <c r="DDE7"/>
      <c r="DDF7"/>
      <c r="DDG7"/>
      <c r="DDH7"/>
      <c r="DDI7"/>
      <c r="DDJ7"/>
      <c r="DDK7"/>
      <c r="DDL7"/>
      <c r="DDM7"/>
      <c r="DDN7"/>
      <c r="DDO7"/>
      <c r="DDP7"/>
      <c r="DDQ7"/>
      <c r="DDR7"/>
      <c r="DDS7"/>
      <c r="DDT7"/>
      <c r="DDU7"/>
      <c r="DDV7"/>
      <c r="DDW7"/>
      <c r="DDX7"/>
      <c r="DDY7"/>
      <c r="DDZ7"/>
      <c r="DEA7"/>
      <c r="DEB7"/>
      <c r="DEC7"/>
      <c r="DED7"/>
      <c r="DEE7"/>
      <c r="DEF7"/>
      <c r="DEG7"/>
      <c r="DEH7"/>
      <c r="DEI7"/>
      <c r="DEJ7"/>
      <c r="DEK7"/>
      <c r="DEL7"/>
      <c r="DEM7"/>
      <c r="DEN7"/>
      <c r="DEO7"/>
      <c r="DEP7"/>
      <c r="DEQ7"/>
      <c r="DER7"/>
      <c r="DES7"/>
      <c r="DET7"/>
      <c r="DEU7"/>
      <c r="DEV7"/>
      <c r="DEW7"/>
      <c r="DEX7"/>
      <c r="DEY7"/>
      <c r="DEZ7"/>
      <c r="DFA7"/>
      <c r="DFB7"/>
      <c r="DFC7"/>
      <c r="DFD7"/>
      <c r="DFE7"/>
      <c r="DFF7"/>
      <c r="DFG7"/>
      <c r="DFH7"/>
      <c r="DFI7"/>
      <c r="DFJ7"/>
      <c r="DFK7"/>
      <c r="DFL7"/>
      <c r="DFM7"/>
      <c r="DFN7"/>
      <c r="DFO7"/>
      <c r="DFP7"/>
      <c r="DFQ7"/>
      <c r="DFR7"/>
      <c r="DFS7"/>
      <c r="DFT7"/>
      <c r="DFU7"/>
      <c r="DFV7"/>
      <c r="DFW7"/>
      <c r="DFX7"/>
      <c r="DFY7"/>
      <c r="DFZ7"/>
      <c r="DGA7"/>
      <c r="DGB7"/>
      <c r="DGC7"/>
      <c r="DGD7"/>
      <c r="DGE7"/>
      <c r="DGF7"/>
      <c r="DGG7"/>
      <c r="DGH7"/>
      <c r="DGI7"/>
      <c r="DGJ7"/>
      <c r="DGK7"/>
      <c r="DGL7"/>
      <c r="DGM7"/>
      <c r="DGN7"/>
      <c r="DGO7"/>
      <c r="DGP7"/>
      <c r="DGQ7"/>
      <c r="DGR7"/>
      <c r="DGS7"/>
      <c r="DGT7"/>
      <c r="DGU7"/>
      <c r="DGV7"/>
      <c r="DGW7"/>
      <c r="DGX7"/>
      <c r="DGY7"/>
      <c r="DGZ7"/>
      <c r="DHA7"/>
      <c r="DHB7"/>
      <c r="DHC7"/>
      <c r="DHD7"/>
      <c r="DHE7"/>
      <c r="DHF7"/>
      <c r="DHG7"/>
      <c r="DHH7"/>
      <c r="DHI7"/>
      <c r="DHJ7"/>
      <c r="DHK7"/>
      <c r="DHL7"/>
      <c r="DHM7"/>
      <c r="DHN7"/>
      <c r="DHO7"/>
      <c r="DHP7"/>
      <c r="DHQ7"/>
      <c r="DHR7"/>
      <c r="DHS7"/>
      <c r="DHT7"/>
      <c r="DHU7"/>
      <c r="DHV7"/>
      <c r="DHW7"/>
      <c r="DHX7"/>
      <c r="DHY7"/>
      <c r="DHZ7"/>
      <c r="DIA7"/>
      <c r="DIB7"/>
      <c r="DIC7"/>
      <c r="DID7"/>
      <c r="DIE7"/>
      <c r="DIF7"/>
      <c r="DIG7"/>
      <c r="DIH7"/>
      <c r="DII7"/>
      <c r="DIJ7"/>
      <c r="DIK7"/>
      <c r="DIL7"/>
      <c r="DIM7"/>
      <c r="DIN7"/>
      <c r="DIO7"/>
      <c r="DIP7"/>
      <c r="DIQ7"/>
      <c r="DIR7"/>
      <c r="DIS7"/>
      <c r="DIT7"/>
      <c r="DIU7"/>
      <c r="DIV7"/>
      <c r="DIW7"/>
      <c r="DIX7"/>
      <c r="DIY7"/>
      <c r="DIZ7"/>
      <c r="DJA7"/>
      <c r="DJB7"/>
      <c r="DJC7"/>
      <c r="DJD7"/>
      <c r="DJE7"/>
      <c r="DJF7"/>
      <c r="DJG7"/>
      <c r="DJH7"/>
      <c r="DJI7"/>
      <c r="DJJ7"/>
      <c r="DJK7"/>
      <c r="DJL7"/>
      <c r="DJM7"/>
      <c r="DJN7"/>
      <c r="DJO7"/>
      <c r="DJP7"/>
      <c r="DJQ7"/>
      <c r="DJR7"/>
      <c r="DJS7"/>
      <c r="DJT7"/>
      <c r="DJU7"/>
      <c r="DJV7"/>
      <c r="DJW7"/>
      <c r="DJX7"/>
      <c r="DJY7"/>
      <c r="DJZ7"/>
      <c r="DKA7"/>
      <c r="DKB7"/>
      <c r="DKC7"/>
      <c r="DKD7"/>
      <c r="DKE7"/>
      <c r="DKF7"/>
      <c r="DKG7"/>
      <c r="DKH7"/>
      <c r="DKI7"/>
      <c r="DKJ7"/>
      <c r="DKK7"/>
      <c r="DKL7"/>
      <c r="DKM7"/>
      <c r="DKN7"/>
      <c r="DKO7"/>
      <c r="DKP7"/>
      <c r="DKQ7"/>
      <c r="DKR7"/>
      <c r="DKS7"/>
      <c r="DKT7"/>
      <c r="DKU7"/>
      <c r="DKV7"/>
      <c r="DKW7"/>
      <c r="DKX7"/>
      <c r="DKY7"/>
      <c r="DKZ7"/>
      <c r="DLA7"/>
      <c r="DLB7"/>
      <c r="DLC7"/>
      <c r="DLD7"/>
      <c r="DLE7"/>
      <c r="DLF7"/>
      <c r="DLG7"/>
      <c r="DLH7"/>
      <c r="DLI7"/>
      <c r="DLJ7"/>
      <c r="DLK7"/>
      <c r="DLL7"/>
      <c r="DLM7"/>
      <c r="DLN7"/>
      <c r="DLO7"/>
      <c r="DLP7"/>
      <c r="DLQ7"/>
      <c r="DLR7"/>
      <c r="DLS7"/>
      <c r="DLT7"/>
      <c r="DLU7"/>
      <c r="DLV7"/>
      <c r="DLW7"/>
      <c r="DLX7"/>
      <c r="DLY7"/>
      <c r="DLZ7"/>
      <c r="DMA7"/>
      <c r="DMB7"/>
      <c r="DMC7"/>
      <c r="DMD7"/>
      <c r="DME7"/>
      <c r="DMF7"/>
      <c r="DMG7"/>
      <c r="DMH7"/>
      <c r="DMI7"/>
      <c r="DMJ7"/>
      <c r="DMK7"/>
      <c r="DML7"/>
      <c r="DMM7"/>
      <c r="DMN7"/>
      <c r="DMO7"/>
      <c r="DMP7"/>
      <c r="DMQ7"/>
      <c r="DMR7"/>
      <c r="DMS7"/>
      <c r="DMT7"/>
      <c r="DMU7"/>
      <c r="DMV7"/>
      <c r="DMW7"/>
      <c r="DMX7"/>
      <c r="DMY7"/>
      <c r="DMZ7"/>
      <c r="DNA7"/>
      <c r="DNB7"/>
      <c r="DNC7"/>
      <c r="DND7"/>
      <c r="DNE7"/>
      <c r="DNF7"/>
      <c r="DNG7"/>
      <c r="DNH7"/>
      <c r="DNI7"/>
      <c r="DNJ7"/>
      <c r="DNK7"/>
      <c r="DNL7"/>
      <c r="DNM7"/>
      <c r="DNN7"/>
      <c r="DNO7"/>
      <c r="DNP7"/>
      <c r="DNQ7"/>
      <c r="DNR7"/>
      <c r="DNS7"/>
      <c r="DNT7"/>
      <c r="DNU7"/>
      <c r="DNV7"/>
      <c r="DNW7"/>
      <c r="DNX7"/>
      <c r="DNY7"/>
      <c r="DNZ7"/>
      <c r="DOA7"/>
      <c r="DOB7"/>
      <c r="DOC7"/>
      <c r="DOD7"/>
      <c r="DOE7"/>
      <c r="DOF7"/>
      <c r="DOG7"/>
      <c r="DOH7"/>
      <c r="DOI7"/>
      <c r="DOJ7"/>
      <c r="DOK7"/>
      <c r="DOL7"/>
      <c r="DOM7"/>
      <c r="DON7"/>
      <c r="DOO7"/>
      <c r="DOP7"/>
      <c r="DOQ7"/>
      <c r="DOR7"/>
      <c r="DOS7"/>
      <c r="DOT7"/>
      <c r="DOU7"/>
      <c r="DOV7"/>
      <c r="DOW7"/>
      <c r="DOX7"/>
      <c r="DOY7"/>
      <c r="DOZ7"/>
      <c r="DPA7"/>
      <c r="DPB7"/>
      <c r="DPC7"/>
      <c r="DPD7"/>
      <c r="DPE7"/>
      <c r="DPF7"/>
      <c r="DPG7"/>
      <c r="DPH7"/>
      <c r="DPI7"/>
      <c r="DPJ7"/>
      <c r="DPK7"/>
      <c r="DPL7"/>
      <c r="DPM7"/>
      <c r="DPN7"/>
      <c r="DPO7"/>
      <c r="DPP7"/>
      <c r="DPQ7"/>
      <c r="DPR7"/>
      <c r="DPS7"/>
      <c r="DPT7"/>
      <c r="DPU7"/>
      <c r="DPV7"/>
      <c r="DPW7"/>
      <c r="DPX7"/>
      <c r="DPY7"/>
      <c r="DPZ7"/>
      <c r="DQA7"/>
      <c r="DQB7"/>
      <c r="DQC7"/>
      <c r="DQD7"/>
      <c r="DQE7"/>
      <c r="DQF7"/>
      <c r="DQG7"/>
      <c r="DQH7"/>
      <c r="DQI7"/>
      <c r="DQJ7"/>
      <c r="DQK7"/>
      <c r="DQL7"/>
      <c r="DQM7"/>
      <c r="DQN7"/>
      <c r="DQO7"/>
      <c r="DQP7"/>
      <c r="DQQ7"/>
      <c r="DQR7"/>
      <c r="DQS7"/>
      <c r="DQT7"/>
      <c r="DQU7"/>
      <c r="DQV7"/>
      <c r="DQW7"/>
      <c r="DQX7"/>
      <c r="DQY7"/>
      <c r="DQZ7"/>
      <c r="DRA7"/>
      <c r="DRB7"/>
      <c r="DRC7"/>
      <c r="DRD7"/>
      <c r="DRE7"/>
      <c r="DRF7"/>
      <c r="DRG7"/>
      <c r="DRH7"/>
      <c r="DRI7"/>
      <c r="DRJ7"/>
      <c r="DRK7"/>
      <c r="DRL7"/>
      <c r="DRM7"/>
      <c r="DRN7"/>
      <c r="DRO7"/>
      <c r="DRP7"/>
      <c r="DRQ7"/>
      <c r="DRR7"/>
      <c r="DRS7"/>
      <c r="DRT7"/>
      <c r="DRU7"/>
      <c r="DRV7"/>
      <c r="DRW7"/>
      <c r="DRX7"/>
      <c r="DRY7"/>
      <c r="DRZ7"/>
      <c r="DSA7"/>
      <c r="DSB7"/>
      <c r="DSC7"/>
      <c r="DSD7"/>
      <c r="DSE7"/>
      <c r="DSF7"/>
      <c r="DSG7"/>
      <c r="DSH7"/>
      <c r="DSI7"/>
      <c r="DSJ7"/>
      <c r="DSK7"/>
      <c r="DSL7"/>
      <c r="DSM7"/>
      <c r="DSN7"/>
      <c r="DSO7"/>
      <c r="DSP7"/>
      <c r="DSQ7"/>
      <c r="DSR7"/>
      <c r="DSS7"/>
      <c r="DST7"/>
      <c r="DSU7"/>
      <c r="DSV7"/>
      <c r="DSW7"/>
      <c r="DSX7"/>
      <c r="DSY7"/>
      <c r="DSZ7"/>
      <c r="DTA7"/>
      <c r="DTB7"/>
      <c r="DTC7"/>
      <c r="DTD7"/>
      <c r="DTE7"/>
      <c r="DTF7"/>
      <c r="DTG7"/>
      <c r="DTH7"/>
      <c r="DTI7"/>
      <c r="DTJ7"/>
      <c r="DTK7"/>
      <c r="DTL7"/>
      <c r="DTM7"/>
      <c r="DTN7"/>
      <c r="DTO7"/>
      <c r="DTP7"/>
      <c r="DTQ7"/>
      <c r="DTR7"/>
      <c r="DTS7"/>
      <c r="DTT7"/>
      <c r="DTU7"/>
      <c r="DTV7"/>
      <c r="DTW7"/>
      <c r="DTX7"/>
      <c r="DTY7"/>
      <c r="DTZ7"/>
      <c r="DUA7"/>
      <c r="DUB7"/>
      <c r="DUC7"/>
      <c r="DUD7"/>
      <c r="DUE7"/>
      <c r="DUF7"/>
      <c r="DUG7"/>
      <c r="DUH7"/>
      <c r="DUI7"/>
      <c r="DUJ7"/>
      <c r="DUK7"/>
      <c r="DUL7"/>
      <c r="DUM7"/>
      <c r="DUN7"/>
      <c r="DUO7"/>
      <c r="DUP7"/>
      <c r="DUQ7"/>
      <c r="DUR7"/>
      <c r="DUS7"/>
      <c r="DUT7"/>
      <c r="DUU7"/>
      <c r="DUV7"/>
      <c r="DUW7"/>
      <c r="DUX7"/>
      <c r="DUY7"/>
      <c r="DUZ7"/>
      <c r="DVA7"/>
      <c r="DVB7"/>
      <c r="DVC7"/>
      <c r="DVD7"/>
      <c r="DVE7"/>
      <c r="DVF7"/>
      <c r="DVG7"/>
      <c r="DVH7"/>
      <c r="DVI7"/>
      <c r="DVJ7"/>
      <c r="DVK7"/>
      <c r="DVL7"/>
      <c r="DVM7"/>
      <c r="DVN7"/>
      <c r="DVO7"/>
      <c r="DVP7"/>
      <c r="DVQ7"/>
      <c r="DVR7"/>
      <c r="DVS7"/>
      <c r="DVT7"/>
      <c r="DVU7"/>
      <c r="DVV7"/>
      <c r="DVW7"/>
      <c r="DVX7"/>
      <c r="DVY7"/>
      <c r="DVZ7"/>
      <c r="DWA7"/>
      <c r="DWB7"/>
      <c r="DWC7"/>
      <c r="DWD7"/>
      <c r="DWE7"/>
      <c r="DWF7"/>
      <c r="DWG7"/>
      <c r="DWH7"/>
      <c r="DWI7"/>
      <c r="DWJ7"/>
      <c r="DWK7"/>
      <c r="DWL7"/>
      <c r="DWM7"/>
      <c r="DWN7"/>
      <c r="DWO7"/>
      <c r="DWP7"/>
      <c r="DWQ7"/>
      <c r="DWR7"/>
      <c r="DWS7"/>
      <c r="DWT7"/>
      <c r="DWU7"/>
      <c r="DWV7"/>
      <c r="DWW7"/>
      <c r="DWX7"/>
      <c r="DWY7"/>
      <c r="DWZ7"/>
      <c r="DXA7"/>
      <c r="DXB7"/>
      <c r="DXC7"/>
      <c r="DXD7"/>
      <c r="DXE7"/>
      <c r="DXF7"/>
      <c r="DXG7"/>
      <c r="DXH7"/>
      <c r="DXI7"/>
      <c r="DXJ7"/>
      <c r="DXK7"/>
      <c r="DXL7"/>
      <c r="DXM7"/>
      <c r="DXN7"/>
      <c r="DXO7"/>
      <c r="DXP7"/>
      <c r="DXQ7"/>
      <c r="DXR7"/>
      <c r="DXS7"/>
      <c r="DXT7"/>
      <c r="DXU7"/>
      <c r="DXV7"/>
      <c r="DXW7"/>
      <c r="DXX7"/>
      <c r="DXY7"/>
      <c r="DXZ7"/>
      <c r="DYA7"/>
      <c r="DYB7"/>
      <c r="DYC7"/>
      <c r="DYD7"/>
      <c r="DYE7"/>
      <c r="DYF7"/>
      <c r="DYG7"/>
      <c r="DYH7"/>
      <c r="DYI7"/>
      <c r="DYJ7"/>
      <c r="DYK7"/>
      <c r="DYL7"/>
      <c r="DYM7"/>
      <c r="DYN7"/>
      <c r="DYO7"/>
      <c r="DYP7"/>
      <c r="DYQ7"/>
      <c r="DYR7"/>
      <c r="DYS7"/>
      <c r="DYT7"/>
      <c r="DYU7"/>
      <c r="DYV7"/>
      <c r="DYW7"/>
      <c r="DYX7"/>
      <c r="DYY7"/>
      <c r="DYZ7"/>
      <c r="DZA7"/>
      <c r="DZB7"/>
      <c r="DZC7"/>
      <c r="DZD7"/>
      <c r="DZE7"/>
      <c r="DZF7"/>
      <c r="DZG7"/>
      <c r="DZH7"/>
      <c r="DZI7"/>
      <c r="DZJ7"/>
      <c r="DZK7"/>
      <c r="DZL7"/>
      <c r="DZM7"/>
      <c r="DZN7"/>
      <c r="DZO7"/>
      <c r="DZP7"/>
      <c r="DZQ7"/>
      <c r="DZR7"/>
      <c r="DZS7"/>
      <c r="DZT7"/>
      <c r="DZU7"/>
      <c r="DZV7"/>
      <c r="DZW7"/>
      <c r="DZX7"/>
      <c r="DZY7"/>
      <c r="DZZ7"/>
      <c r="EAA7"/>
      <c r="EAB7"/>
      <c r="EAC7"/>
      <c r="EAD7"/>
      <c r="EAE7"/>
      <c r="EAF7"/>
      <c r="EAG7"/>
      <c r="EAH7"/>
      <c r="EAI7"/>
      <c r="EAJ7"/>
      <c r="EAK7"/>
      <c r="EAL7"/>
      <c r="EAM7"/>
      <c r="EAN7"/>
      <c r="EAO7"/>
      <c r="EAP7"/>
      <c r="EAQ7"/>
      <c r="EAR7"/>
      <c r="EAS7"/>
      <c r="EAT7"/>
      <c r="EAU7"/>
      <c r="EAV7"/>
      <c r="EAW7"/>
      <c r="EAX7"/>
      <c r="EAY7"/>
      <c r="EAZ7"/>
      <c r="EBA7"/>
      <c r="EBB7"/>
      <c r="EBC7"/>
      <c r="EBD7"/>
      <c r="EBE7"/>
      <c r="EBF7"/>
      <c r="EBG7"/>
      <c r="EBH7"/>
      <c r="EBI7"/>
      <c r="EBJ7"/>
      <c r="EBK7"/>
      <c r="EBL7"/>
      <c r="EBM7"/>
      <c r="EBN7"/>
      <c r="EBO7"/>
      <c r="EBP7"/>
      <c r="EBQ7"/>
      <c r="EBR7"/>
      <c r="EBS7"/>
      <c r="EBT7"/>
      <c r="EBU7"/>
      <c r="EBV7"/>
      <c r="EBW7"/>
      <c r="EBX7"/>
      <c r="EBY7"/>
      <c r="EBZ7"/>
      <c r="ECA7"/>
      <c r="ECB7"/>
      <c r="ECC7"/>
      <c r="ECD7"/>
      <c r="ECE7"/>
      <c r="ECF7"/>
      <c r="ECG7"/>
      <c r="ECH7"/>
      <c r="ECI7"/>
      <c r="ECJ7"/>
      <c r="ECK7"/>
      <c r="ECL7"/>
      <c r="ECM7"/>
      <c r="ECN7"/>
      <c r="ECO7"/>
      <c r="ECP7"/>
      <c r="ECQ7"/>
      <c r="ECR7"/>
      <c r="ECS7"/>
      <c r="ECT7"/>
      <c r="ECU7"/>
      <c r="ECV7"/>
      <c r="ECW7"/>
      <c r="ECX7"/>
      <c r="ECY7"/>
      <c r="ECZ7"/>
      <c r="EDA7"/>
      <c r="EDB7"/>
      <c r="EDC7"/>
      <c r="EDD7"/>
      <c r="EDE7"/>
      <c r="EDF7"/>
      <c r="EDG7"/>
      <c r="EDH7"/>
      <c r="EDI7"/>
      <c r="EDJ7"/>
      <c r="EDK7"/>
      <c r="EDL7"/>
      <c r="EDM7"/>
      <c r="EDN7"/>
      <c r="EDO7"/>
      <c r="EDP7"/>
      <c r="EDQ7"/>
      <c r="EDR7"/>
      <c r="EDS7"/>
      <c r="EDT7"/>
      <c r="EDU7"/>
      <c r="EDV7"/>
      <c r="EDW7"/>
      <c r="EDX7"/>
      <c r="EDY7"/>
      <c r="EDZ7"/>
      <c r="EEA7"/>
      <c r="EEB7"/>
      <c r="EEC7"/>
      <c r="EED7"/>
      <c r="EEE7"/>
      <c r="EEF7"/>
      <c r="EEG7"/>
      <c r="EEH7"/>
      <c r="EEI7"/>
      <c r="EEJ7"/>
      <c r="EEK7"/>
      <c r="EEL7"/>
      <c r="EEM7"/>
      <c r="EEN7"/>
      <c r="EEO7"/>
      <c r="EEP7"/>
      <c r="EEQ7"/>
      <c r="EER7"/>
      <c r="EES7"/>
      <c r="EET7"/>
      <c r="EEU7"/>
      <c r="EEV7"/>
      <c r="EEW7"/>
      <c r="EEX7"/>
      <c r="EEY7"/>
      <c r="EEZ7"/>
      <c r="EFA7"/>
      <c r="EFB7"/>
      <c r="EFC7"/>
      <c r="EFD7"/>
      <c r="EFE7"/>
      <c r="EFF7"/>
      <c r="EFG7"/>
      <c r="EFH7"/>
      <c r="EFI7"/>
      <c r="EFJ7"/>
      <c r="EFK7"/>
      <c r="EFL7"/>
      <c r="EFM7"/>
      <c r="EFN7"/>
      <c r="EFO7"/>
      <c r="EFP7"/>
      <c r="EFQ7"/>
      <c r="EFR7"/>
      <c r="EFS7"/>
      <c r="EFT7"/>
      <c r="EFU7"/>
      <c r="EFV7"/>
      <c r="EFW7"/>
      <c r="EFX7"/>
      <c r="EFY7"/>
      <c r="EFZ7"/>
      <c r="EGA7"/>
      <c r="EGB7"/>
      <c r="EGC7"/>
      <c r="EGD7"/>
      <c r="EGE7"/>
      <c r="EGF7"/>
      <c r="EGG7"/>
      <c r="EGH7"/>
      <c r="EGI7"/>
      <c r="EGJ7"/>
      <c r="EGK7"/>
      <c r="EGL7"/>
      <c r="EGM7"/>
      <c r="EGN7"/>
      <c r="EGO7"/>
      <c r="EGP7"/>
      <c r="EGQ7"/>
      <c r="EGR7"/>
      <c r="EGS7"/>
      <c r="EGT7"/>
      <c r="EGU7"/>
      <c r="EGV7"/>
      <c r="EGW7"/>
      <c r="EGX7"/>
      <c r="EGY7"/>
      <c r="EGZ7"/>
      <c r="EHA7"/>
      <c r="EHB7"/>
      <c r="EHC7"/>
      <c r="EHD7"/>
      <c r="EHE7"/>
      <c r="EHF7"/>
      <c r="EHG7"/>
      <c r="EHH7"/>
      <c r="EHI7"/>
      <c r="EHJ7"/>
      <c r="EHK7"/>
      <c r="EHL7"/>
      <c r="EHM7"/>
      <c r="EHN7"/>
      <c r="EHO7"/>
      <c r="EHP7"/>
      <c r="EHQ7"/>
      <c r="EHR7"/>
      <c r="EHS7"/>
      <c r="EHT7"/>
      <c r="EHU7"/>
      <c r="EHV7"/>
      <c r="EHW7"/>
      <c r="EHX7"/>
      <c r="EHY7"/>
      <c r="EHZ7"/>
      <c r="EIA7"/>
      <c r="EIB7"/>
      <c r="EIC7"/>
      <c r="EID7"/>
      <c r="EIE7"/>
      <c r="EIF7"/>
      <c r="EIG7"/>
      <c r="EIH7"/>
      <c r="EII7"/>
      <c r="EIJ7"/>
      <c r="EIK7"/>
      <c r="EIL7"/>
      <c r="EIM7"/>
      <c r="EIN7"/>
      <c r="EIO7"/>
      <c r="EIP7"/>
      <c r="EIQ7"/>
      <c r="EIR7"/>
      <c r="EIS7"/>
      <c r="EIT7"/>
      <c r="EIU7"/>
      <c r="EIV7"/>
      <c r="EIW7"/>
      <c r="EIX7"/>
      <c r="EIY7"/>
      <c r="EIZ7"/>
      <c r="EJA7"/>
      <c r="EJB7"/>
      <c r="EJC7"/>
      <c r="EJD7"/>
      <c r="EJE7"/>
      <c r="EJF7"/>
      <c r="EJG7"/>
      <c r="EJH7"/>
      <c r="EJI7"/>
      <c r="EJJ7"/>
      <c r="EJK7"/>
      <c r="EJL7"/>
      <c r="EJM7"/>
      <c r="EJN7"/>
      <c r="EJO7"/>
      <c r="EJP7"/>
      <c r="EJQ7"/>
      <c r="EJR7"/>
      <c r="EJS7"/>
      <c r="EJT7"/>
      <c r="EJU7"/>
      <c r="EJV7"/>
      <c r="EJW7"/>
      <c r="EJX7"/>
      <c r="EJY7"/>
      <c r="EJZ7"/>
      <c r="EKA7"/>
      <c r="EKB7"/>
      <c r="EKC7"/>
      <c r="EKD7"/>
      <c r="EKE7"/>
      <c r="EKF7"/>
      <c r="EKG7"/>
      <c r="EKH7"/>
      <c r="EKI7"/>
      <c r="EKJ7"/>
      <c r="EKK7"/>
      <c r="EKL7"/>
      <c r="EKM7"/>
      <c r="EKN7"/>
      <c r="EKO7"/>
      <c r="EKP7"/>
      <c r="EKQ7"/>
      <c r="EKR7"/>
      <c r="EKS7"/>
      <c r="EKT7"/>
      <c r="EKU7"/>
      <c r="EKV7"/>
      <c r="EKW7"/>
      <c r="EKX7"/>
      <c r="EKY7"/>
      <c r="EKZ7"/>
      <c r="ELA7"/>
      <c r="ELB7"/>
      <c r="ELC7"/>
      <c r="ELD7"/>
      <c r="ELE7"/>
      <c r="ELF7"/>
      <c r="ELG7"/>
      <c r="ELH7"/>
      <c r="ELI7"/>
      <c r="ELJ7"/>
      <c r="ELK7"/>
      <c r="ELL7"/>
      <c r="ELM7"/>
      <c r="ELN7"/>
      <c r="ELO7"/>
      <c r="ELP7"/>
      <c r="ELQ7"/>
      <c r="ELR7"/>
      <c r="ELS7"/>
      <c r="ELT7"/>
      <c r="ELU7"/>
      <c r="ELV7"/>
      <c r="ELW7"/>
      <c r="ELX7"/>
      <c r="ELY7"/>
      <c r="ELZ7"/>
      <c r="EMA7"/>
      <c r="EMB7"/>
      <c r="EMC7"/>
      <c r="EMD7"/>
      <c r="EME7"/>
      <c r="EMF7"/>
      <c r="EMG7"/>
      <c r="EMH7"/>
      <c r="EMI7"/>
      <c r="EMJ7"/>
      <c r="EMK7"/>
      <c r="EML7"/>
      <c r="EMM7"/>
      <c r="EMN7"/>
      <c r="EMO7"/>
      <c r="EMP7"/>
      <c r="EMQ7"/>
      <c r="EMR7"/>
      <c r="EMS7"/>
      <c r="EMT7"/>
      <c r="EMU7"/>
      <c r="EMV7"/>
      <c r="EMW7"/>
      <c r="EMX7"/>
      <c r="EMY7"/>
      <c r="EMZ7"/>
      <c r="ENA7"/>
      <c r="ENB7"/>
      <c r="ENC7"/>
      <c r="END7"/>
      <c r="ENE7"/>
      <c r="ENF7"/>
      <c r="ENG7"/>
      <c r="ENH7"/>
      <c r="ENI7"/>
      <c r="ENJ7"/>
      <c r="ENK7"/>
      <c r="ENL7"/>
      <c r="ENM7"/>
      <c r="ENN7"/>
      <c r="ENO7"/>
      <c r="ENP7"/>
      <c r="ENQ7"/>
      <c r="ENR7"/>
      <c r="ENS7"/>
      <c r="ENT7"/>
      <c r="ENU7"/>
      <c r="ENV7"/>
      <c r="ENW7"/>
      <c r="ENX7"/>
      <c r="ENY7"/>
      <c r="ENZ7"/>
      <c r="EOA7"/>
      <c r="EOB7"/>
      <c r="EOC7"/>
      <c r="EOD7"/>
      <c r="EOE7"/>
      <c r="EOF7"/>
      <c r="EOG7"/>
      <c r="EOH7"/>
      <c r="EOI7"/>
      <c r="EOJ7"/>
      <c r="EOK7"/>
      <c r="EOL7"/>
      <c r="EOM7"/>
      <c r="EON7"/>
      <c r="EOO7"/>
      <c r="EOP7"/>
      <c r="EOQ7"/>
      <c r="EOR7"/>
      <c r="EOS7"/>
      <c r="EOT7"/>
      <c r="EOU7"/>
      <c r="EOV7"/>
      <c r="EOW7"/>
      <c r="EOX7"/>
      <c r="EOY7"/>
      <c r="EOZ7"/>
      <c r="EPA7"/>
      <c r="EPB7"/>
      <c r="EPC7"/>
      <c r="EPD7"/>
      <c r="EPE7"/>
      <c r="EPF7"/>
      <c r="EPG7"/>
      <c r="EPH7"/>
      <c r="EPI7"/>
      <c r="EPJ7"/>
      <c r="EPK7"/>
      <c r="EPL7"/>
      <c r="EPM7"/>
      <c r="EPN7"/>
      <c r="EPO7"/>
      <c r="EPP7"/>
      <c r="EPQ7"/>
      <c r="EPR7"/>
      <c r="EPS7"/>
      <c r="EPT7"/>
      <c r="EPU7"/>
      <c r="EPV7"/>
      <c r="EPW7"/>
      <c r="EPX7"/>
      <c r="EPY7"/>
      <c r="EPZ7"/>
      <c r="EQA7"/>
      <c r="EQB7"/>
      <c r="EQC7"/>
      <c r="EQD7"/>
      <c r="EQE7"/>
      <c r="EQF7"/>
      <c r="EQG7"/>
      <c r="EQH7"/>
      <c r="EQI7"/>
      <c r="EQJ7"/>
      <c r="EQK7"/>
      <c r="EQL7"/>
      <c r="EQM7"/>
      <c r="EQN7"/>
      <c r="EQO7"/>
      <c r="EQP7"/>
      <c r="EQQ7"/>
      <c r="EQR7"/>
      <c r="EQS7"/>
      <c r="EQT7"/>
      <c r="EQU7"/>
      <c r="EQV7"/>
      <c r="EQW7"/>
      <c r="EQX7"/>
      <c r="EQY7"/>
      <c r="EQZ7"/>
      <c r="ERA7"/>
      <c r="ERB7"/>
      <c r="ERC7"/>
      <c r="ERD7"/>
      <c r="ERE7"/>
      <c r="ERF7"/>
      <c r="ERG7"/>
      <c r="ERH7"/>
      <c r="ERI7"/>
      <c r="ERJ7"/>
      <c r="ERK7"/>
      <c r="ERL7"/>
      <c r="ERM7"/>
      <c r="ERN7"/>
      <c r="ERO7"/>
      <c r="ERP7"/>
      <c r="ERQ7"/>
      <c r="ERR7"/>
      <c r="ERS7"/>
      <c r="ERT7"/>
      <c r="ERU7"/>
      <c r="ERV7"/>
      <c r="ERW7"/>
      <c r="ERX7"/>
      <c r="ERY7"/>
      <c r="ERZ7"/>
      <c r="ESA7"/>
      <c r="ESB7"/>
      <c r="ESC7"/>
      <c r="ESD7"/>
      <c r="ESE7"/>
      <c r="ESF7"/>
      <c r="ESG7"/>
      <c r="ESH7"/>
      <c r="ESI7"/>
      <c r="ESJ7"/>
      <c r="ESK7"/>
      <c r="ESL7"/>
      <c r="ESM7"/>
      <c r="ESN7"/>
      <c r="ESO7"/>
      <c r="ESP7"/>
      <c r="ESQ7"/>
      <c r="ESR7"/>
      <c r="ESS7"/>
      <c r="EST7"/>
      <c r="ESU7"/>
      <c r="ESV7"/>
      <c r="ESW7"/>
      <c r="ESX7"/>
      <c r="ESY7"/>
      <c r="ESZ7"/>
      <c r="ETA7"/>
      <c r="ETB7"/>
      <c r="ETC7"/>
      <c r="ETD7"/>
      <c r="ETE7"/>
      <c r="ETF7"/>
      <c r="ETG7"/>
      <c r="ETH7"/>
      <c r="ETI7"/>
      <c r="ETJ7"/>
      <c r="ETK7"/>
      <c r="ETL7"/>
      <c r="ETM7"/>
      <c r="ETN7"/>
      <c r="ETO7"/>
      <c r="ETP7"/>
      <c r="ETQ7"/>
      <c r="ETR7"/>
      <c r="ETS7"/>
      <c r="ETT7"/>
      <c r="ETU7"/>
      <c r="ETV7"/>
      <c r="ETW7"/>
      <c r="ETX7"/>
      <c r="ETY7"/>
      <c r="ETZ7"/>
      <c r="EUA7"/>
      <c r="EUB7"/>
      <c r="EUC7"/>
      <c r="EUD7"/>
      <c r="EUE7"/>
      <c r="EUF7"/>
      <c r="EUG7"/>
      <c r="EUH7"/>
      <c r="EUI7"/>
      <c r="EUJ7"/>
      <c r="EUK7"/>
      <c r="EUL7"/>
      <c r="EUM7"/>
      <c r="EUN7"/>
      <c r="EUO7"/>
      <c r="EUP7"/>
      <c r="EUQ7"/>
      <c r="EUR7"/>
      <c r="EUS7"/>
      <c r="EUT7"/>
      <c r="EUU7"/>
      <c r="EUV7"/>
      <c r="EUW7"/>
      <c r="EUX7"/>
      <c r="EUY7"/>
      <c r="EUZ7"/>
      <c r="EVA7"/>
      <c r="EVB7"/>
      <c r="EVC7"/>
      <c r="EVD7"/>
      <c r="EVE7"/>
      <c r="EVF7"/>
      <c r="EVG7"/>
      <c r="EVH7"/>
      <c r="EVI7"/>
      <c r="EVJ7"/>
      <c r="EVK7"/>
      <c r="EVL7"/>
      <c r="EVM7"/>
      <c r="EVN7"/>
      <c r="EVO7"/>
      <c r="EVP7"/>
      <c r="EVQ7"/>
      <c r="EVR7"/>
      <c r="EVS7"/>
      <c r="EVT7"/>
      <c r="EVU7"/>
      <c r="EVV7"/>
      <c r="EVW7"/>
      <c r="EVX7"/>
      <c r="EVY7"/>
      <c r="EVZ7"/>
      <c r="EWA7"/>
      <c r="EWB7"/>
      <c r="EWC7"/>
      <c r="EWD7"/>
      <c r="EWE7"/>
      <c r="EWF7"/>
      <c r="EWG7"/>
      <c r="EWH7"/>
      <c r="EWI7"/>
      <c r="EWJ7"/>
      <c r="EWK7"/>
      <c r="EWL7"/>
      <c r="EWM7"/>
      <c r="EWN7"/>
      <c r="EWO7"/>
      <c r="EWP7"/>
      <c r="EWQ7"/>
      <c r="EWR7"/>
      <c r="EWS7"/>
      <c r="EWT7"/>
      <c r="EWU7"/>
      <c r="EWV7"/>
      <c r="EWW7"/>
      <c r="EWX7"/>
      <c r="EWY7"/>
      <c r="EWZ7"/>
      <c r="EXA7"/>
      <c r="EXB7"/>
      <c r="EXC7"/>
      <c r="EXD7"/>
      <c r="EXE7"/>
      <c r="EXF7"/>
      <c r="EXG7"/>
      <c r="EXH7"/>
      <c r="EXI7"/>
      <c r="EXJ7"/>
      <c r="EXK7"/>
      <c r="EXL7"/>
      <c r="EXM7"/>
      <c r="EXN7"/>
      <c r="EXO7"/>
      <c r="EXP7"/>
      <c r="EXQ7"/>
      <c r="EXR7"/>
      <c r="EXS7"/>
      <c r="EXT7"/>
      <c r="EXU7"/>
      <c r="EXV7"/>
      <c r="EXW7"/>
      <c r="EXX7"/>
      <c r="EXY7"/>
      <c r="EXZ7"/>
      <c r="EYA7"/>
      <c r="EYB7"/>
      <c r="EYC7"/>
      <c r="EYD7"/>
      <c r="EYE7"/>
      <c r="EYF7"/>
      <c r="EYG7"/>
      <c r="EYH7"/>
      <c r="EYI7"/>
      <c r="EYJ7"/>
      <c r="EYK7"/>
      <c r="EYL7"/>
      <c r="EYM7"/>
      <c r="EYN7"/>
      <c r="EYO7"/>
      <c r="EYP7"/>
      <c r="EYQ7"/>
      <c r="EYR7"/>
      <c r="EYS7"/>
      <c r="EYT7"/>
      <c r="EYU7"/>
      <c r="EYV7"/>
      <c r="EYW7"/>
      <c r="EYX7"/>
      <c r="EYY7"/>
      <c r="EYZ7"/>
      <c r="EZA7"/>
      <c r="EZB7"/>
      <c r="EZC7"/>
      <c r="EZD7"/>
      <c r="EZE7"/>
      <c r="EZF7"/>
      <c r="EZG7"/>
      <c r="EZH7"/>
      <c r="EZI7"/>
      <c r="EZJ7"/>
      <c r="EZK7"/>
      <c r="EZL7"/>
      <c r="EZM7"/>
      <c r="EZN7"/>
      <c r="EZO7"/>
      <c r="EZP7"/>
      <c r="EZQ7"/>
      <c r="EZR7"/>
      <c r="EZS7"/>
      <c r="EZT7"/>
      <c r="EZU7"/>
      <c r="EZV7"/>
      <c r="EZW7"/>
      <c r="EZX7"/>
      <c r="EZY7"/>
      <c r="EZZ7"/>
      <c r="FAA7"/>
      <c r="FAB7"/>
      <c r="FAC7"/>
      <c r="FAD7"/>
      <c r="FAE7"/>
      <c r="FAF7"/>
      <c r="FAG7"/>
      <c r="FAH7"/>
      <c r="FAI7"/>
      <c r="FAJ7"/>
      <c r="FAK7"/>
      <c r="FAL7"/>
      <c r="FAM7"/>
      <c r="FAN7"/>
      <c r="FAO7"/>
      <c r="FAP7"/>
      <c r="FAQ7"/>
      <c r="FAR7"/>
      <c r="FAS7"/>
      <c r="FAT7"/>
      <c r="FAU7"/>
      <c r="FAV7"/>
      <c r="FAW7"/>
      <c r="FAX7"/>
      <c r="FAY7"/>
      <c r="FAZ7"/>
      <c r="FBA7"/>
      <c r="FBB7"/>
      <c r="FBC7"/>
      <c r="FBD7"/>
      <c r="FBE7"/>
      <c r="FBF7"/>
      <c r="FBG7"/>
      <c r="FBH7"/>
      <c r="FBI7"/>
      <c r="FBJ7"/>
      <c r="FBK7"/>
      <c r="FBL7"/>
      <c r="FBM7"/>
      <c r="FBN7"/>
      <c r="FBO7"/>
      <c r="FBP7"/>
      <c r="FBQ7"/>
      <c r="FBR7"/>
      <c r="FBS7"/>
      <c r="FBT7"/>
      <c r="FBU7"/>
      <c r="FBV7"/>
      <c r="FBW7"/>
      <c r="FBX7"/>
      <c r="FBY7"/>
      <c r="FBZ7"/>
      <c r="FCA7"/>
      <c r="FCB7"/>
      <c r="FCC7"/>
      <c r="FCD7"/>
      <c r="FCE7"/>
      <c r="FCF7"/>
      <c r="FCG7"/>
      <c r="FCH7"/>
      <c r="FCI7"/>
      <c r="FCJ7"/>
      <c r="FCK7"/>
      <c r="FCL7"/>
      <c r="FCM7"/>
      <c r="FCN7"/>
      <c r="FCO7"/>
      <c r="FCP7"/>
      <c r="FCQ7"/>
      <c r="FCR7"/>
      <c r="FCS7"/>
      <c r="FCT7"/>
      <c r="FCU7"/>
      <c r="FCV7"/>
      <c r="FCW7"/>
      <c r="FCX7"/>
      <c r="FCY7"/>
      <c r="FCZ7"/>
      <c r="FDA7"/>
      <c r="FDB7"/>
      <c r="FDC7"/>
      <c r="FDD7"/>
      <c r="FDE7"/>
      <c r="FDF7"/>
      <c r="FDG7"/>
      <c r="FDH7"/>
      <c r="FDI7"/>
      <c r="FDJ7"/>
      <c r="FDK7"/>
      <c r="FDL7"/>
      <c r="FDM7"/>
      <c r="FDN7"/>
      <c r="FDO7"/>
      <c r="FDP7"/>
      <c r="FDQ7"/>
      <c r="FDR7"/>
      <c r="FDS7"/>
      <c r="FDT7"/>
      <c r="FDU7"/>
      <c r="FDV7"/>
      <c r="FDW7"/>
      <c r="FDX7"/>
      <c r="FDY7"/>
      <c r="FDZ7"/>
      <c r="FEA7"/>
      <c r="FEB7"/>
      <c r="FEC7"/>
      <c r="FED7"/>
      <c r="FEE7"/>
      <c r="FEF7"/>
      <c r="FEG7"/>
      <c r="FEH7"/>
      <c r="FEI7"/>
      <c r="FEJ7"/>
      <c r="FEK7"/>
      <c r="FEL7"/>
      <c r="FEM7"/>
      <c r="FEN7"/>
      <c r="FEO7"/>
      <c r="FEP7"/>
      <c r="FEQ7"/>
      <c r="FER7"/>
      <c r="FES7"/>
      <c r="FET7"/>
      <c r="FEU7"/>
      <c r="FEV7"/>
      <c r="FEW7"/>
      <c r="FEX7"/>
      <c r="FEY7"/>
      <c r="FEZ7"/>
      <c r="FFA7"/>
      <c r="FFB7"/>
      <c r="FFC7"/>
      <c r="FFD7"/>
      <c r="FFE7"/>
      <c r="FFF7"/>
      <c r="FFG7"/>
      <c r="FFH7"/>
      <c r="FFI7"/>
      <c r="FFJ7"/>
      <c r="FFK7"/>
      <c r="FFL7"/>
      <c r="FFM7"/>
      <c r="FFN7"/>
      <c r="FFO7"/>
      <c r="FFP7"/>
      <c r="FFQ7"/>
      <c r="FFR7"/>
      <c r="FFS7"/>
      <c r="FFT7"/>
      <c r="FFU7"/>
      <c r="FFV7"/>
      <c r="FFW7"/>
      <c r="FFX7"/>
      <c r="FFY7"/>
      <c r="FFZ7"/>
      <c r="FGA7"/>
      <c r="FGB7"/>
      <c r="FGC7"/>
      <c r="FGD7"/>
      <c r="FGE7"/>
      <c r="FGF7"/>
      <c r="FGG7"/>
      <c r="FGH7"/>
      <c r="FGI7"/>
      <c r="FGJ7"/>
      <c r="FGK7"/>
      <c r="FGL7"/>
      <c r="FGM7"/>
      <c r="FGN7"/>
      <c r="FGO7"/>
      <c r="FGP7"/>
      <c r="FGQ7"/>
      <c r="FGR7"/>
      <c r="FGS7"/>
      <c r="FGT7"/>
      <c r="FGU7"/>
      <c r="FGV7"/>
      <c r="FGW7"/>
      <c r="FGX7"/>
      <c r="FGY7"/>
      <c r="FGZ7"/>
      <c r="FHA7"/>
      <c r="FHB7"/>
      <c r="FHC7"/>
      <c r="FHD7"/>
      <c r="FHE7"/>
      <c r="FHF7"/>
      <c r="FHG7"/>
      <c r="FHH7"/>
      <c r="FHI7"/>
      <c r="FHJ7"/>
      <c r="FHK7"/>
      <c r="FHL7"/>
      <c r="FHM7"/>
      <c r="FHN7"/>
      <c r="FHO7"/>
      <c r="FHP7"/>
      <c r="FHQ7"/>
      <c r="FHR7"/>
      <c r="FHS7"/>
      <c r="FHT7"/>
      <c r="FHU7"/>
      <c r="FHV7"/>
      <c r="FHW7"/>
      <c r="FHX7"/>
      <c r="FHY7"/>
      <c r="FHZ7"/>
      <c r="FIA7"/>
      <c r="FIB7"/>
      <c r="FIC7"/>
      <c r="FID7"/>
      <c r="FIE7"/>
      <c r="FIF7"/>
      <c r="FIG7"/>
      <c r="FIH7"/>
      <c r="FII7"/>
      <c r="FIJ7"/>
      <c r="FIK7"/>
      <c r="FIL7"/>
      <c r="FIM7"/>
      <c r="FIN7"/>
      <c r="FIO7"/>
      <c r="FIP7"/>
      <c r="FIQ7"/>
      <c r="FIR7"/>
      <c r="FIS7"/>
      <c r="FIT7"/>
      <c r="FIU7"/>
      <c r="FIV7"/>
      <c r="FIW7"/>
      <c r="FIX7"/>
      <c r="FIY7"/>
      <c r="FIZ7"/>
      <c r="FJA7"/>
      <c r="FJB7"/>
      <c r="FJC7"/>
      <c r="FJD7"/>
      <c r="FJE7"/>
      <c r="FJF7"/>
      <c r="FJG7"/>
      <c r="FJH7"/>
      <c r="FJI7"/>
      <c r="FJJ7"/>
      <c r="FJK7"/>
      <c r="FJL7"/>
      <c r="FJM7"/>
      <c r="FJN7"/>
      <c r="FJO7"/>
      <c r="FJP7"/>
      <c r="FJQ7"/>
      <c r="FJR7"/>
      <c r="FJS7"/>
      <c r="FJT7"/>
      <c r="FJU7"/>
      <c r="FJV7"/>
      <c r="FJW7"/>
      <c r="FJX7"/>
      <c r="FJY7"/>
      <c r="FJZ7"/>
      <c r="FKA7"/>
      <c r="FKB7"/>
      <c r="FKC7"/>
      <c r="FKD7"/>
      <c r="FKE7"/>
      <c r="FKF7"/>
      <c r="FKG7"/>
      <c r="FKH7"/>
      <c r="FKI7"/>
      <c r="FKJ7"/>
      <c r="FKK7"/>
      <c r="FKL7"/>
      <c r="FKM7"/>
      <c r="FKN7"/>
      <c r="FKO7"/>
      <c r="FKP7"/>
      <c r="FKQ7"/>
      <c r="FKR7"/>
      <c r="FKS7"/>
      <c r="FKT7"/>
      <c r="FKU7"/>
      <c r="FKV7"/>
      <c r="FKW7"/>
      <c r="FKX7"/>
      <c r="FKY7"/>
      <c r="FKZ7"/>
      <c r="FLA7"/>
      <c r="FLB7"/>
      <c r="FLC7"/>
      <c r="FLD7"/>
      <c r="FLE7"/>
      <c r="FLF7"/>
      <c r="FLG7"/>
      <c r="FLH7"/>
      <c r="FLI7"/>
      <c r="FLJ7"/>
      <c r="FLK7"/>
      <c r="FLL7"/>
      <c r="FLM7"/>
      <c r="FLN7"/>
      <c r="FLO7"/>
      <c r="FLP7"/>
      <c r="FLQ7"/>
      <c r="FLR7"/>
      <c r="FLS7"/>
      <c r="FLT7"/>
      <c r="FLU7"/>
      <c r="FLV7"/>
      <c r="FLW7"/>
      <c r="FLX7"/>
      <c r="FLY7"/>
      <c r="FLZ7"/>
      <c r="FMA7"/>
      <c r="FMB7"/>
      <c r="FMC7"/>
      <c r="FMD7"/>
      <c r="FME7"/>
      <c r="FMF7"/>
      <c r="FMG7"/>
      <c r="FMH7"/>
      <c r="FMI7"/>
      <c r="FMJ7"/>
      <c r="FMK7"/>
      <c r="FML7"/>
      <c r="FMM7"/>
      <c r="FMN7"/>
      <c r="FMO7"/>
      <c r="FMP7"/>
      <c r="FMQ7"/>
      <c r="FMR7"/>
      <c r="FMS7"/>
      <c r="FMT7"/>
      <c r="FMU7"/>
      <c r="FMV7"/>
      <c r="FMW7"/>
      <c r="FMX7"/>
      <c r="FMY7"/>
      <c r="FMZ7"/>
      <c r="FNA7"/>
      <c r="FNB7"/>
      <c r="FNC7"/>
      <c r="FND7"/>
      <c r="FNE7"/>
      <c r="FNF7"/>
      <c r="FNG7"/>
      <c r="FNH7"/>
      <c r="FNI7"/>
      <c r="FNJ7"/>
      <c r="FNK7"/>
      <c r="FNL7"/>
      <c r="FNM7"/>
      <c r="FNN7"/>
      <c r="FNO7"/>
      <c r="FNP7"/>
      <c r="FNQ7"/>
      <c r="FNR7"/>
      <c r="FNS7"/>
      <c r="FNT7"/>
      <c r="FNU7"/>
      <c r="FNV7"/>
      <c r="FNW7"/>
      <c r="FNX7"/>
      <c r="FNY7"/>
      <c r="FNZ7"/>
      <c r="FOA7"/>
      <c r="FOB7"/>
      <c r="FOC7"/>
      <c r="FOD7"/>
      <c r="FOE7"/>
      <c r="FOF7"/>
      <c r="FOG7"/>
      <c r="FOH7"/>
      <c r="FOI7"/>
      <c r="FOJ7"/>
      <c r="FOK7"/>
      <c r="FOL7"/>
      <c r="FOM7"/>
      <c r="FON7"/>
      <c r="FOO7"/>
      <c r="FOP7"/>
      <c r="FOQ7"/>
      <c r="FOR7"/>
      <c r="FOS7"/>
      <c r="FOT7"/>
      <c r="FOU7"/>
      <c r="FOV7"/>
      <c r="FOW7"/>
      <c r="FOX7"/>
      <c r="FOY7"/>
      <c r="FOZ7"/>
      <c r="FPA7"/>
      <c r="FPB7"/>
      <c r="FPC7"/>
      <c r="FPD7"/>
      <c r="FPE7"/>
      <c r="FPF7"/>
      <c r="FPG7"/>
      <c r="FPH7"/>
      <c r="FPI7"/>
      <c r="FPJ7"/>
      <c r="FPK7"/>
      <c r="FPL7"/>
      <c r="FPM7"/>
      <c r="FPN7"/>
      <c r="FPO7"/>
      <c r="FPP7"/>
      <c r="FPQ7"/>
      <c r="FPR7"/>
      <c r="FPS7"/>
      <c r="FPT7"/>
      <c r="FPU7"/>
      <c r="FPV7"/>
      <c r="FPW7"/>
      <c r="FPX7"/>
      <c r="FPY7"/>
      <c r="FPZ7"/>
      <c r="FQA7"/>
      <c r="FQB7"/>
      <c r="FQC7"/>
      <c r="FQD7"/>
      <c r="FQE7"/>
      <c r="FQF7"/>
      <c r="FQG7"/>
      <c r="FQH7"/>
      <c r="FQI7"/>
      <c r="FQJ7"/>
      <c r="FQK7"/>
      <c r="FQL7"/>
      <c r="FQM7"/>
      <c r="FQN7"/>
      <c r="FQO7"/>
      <c r="FQP7"/>
      <c r="FQQ7"/>
      <c r="FQR7"/>
      <c r="FQS7"/>
      <c r="FQT7"/>
      <c r="FQU7"/>
      <c r="FQV7"/>
      <c r="FQW7"/>
      <c r="FQX7"/>
      <c r="FQY7"/>
      <c r="FQZ7"/>
      <c r="FRA7"/>
      <c r="FRB7"/>
      <c r="FRC7"/>
      <c r="FRD7"/>
      <c r="FRE7"/>
      <c r="FRF7"/>
      <c r="FRG7"/>
      <c r="FRH7"/>
      <c r="FRI7"/>
      <c r="FRJ7"/>
      <c r="FRK7"/>
      <c r="FRL7"/>
      <c r="FRM7"/>
      <c r="FRN7"/>
      <c r="FRO7"/>
      <c r="FRP7"/>
      <c r="FRQ7"/>
      <c r="FRR7"/>
      <c r="FRS7"/>
      <c r="FRT7"/>
      <c r="FRU7"/>
      <c r="FRV7"/>
      <c r="FRW7"/>
      <c r="FRX7"/>
      <c r="FRY7"/>
      <c r="FRZ7"/>
      <c r="FSA7"/>
      <c r="FSB7"/>
      <c r="FSC7"/>
      <c r="FSD7"/>
      <c r="FSE7"/>
      <c r="FSF7"/>
      <c r="FSG7"/>
      <c r="FSH7"/>
      <c r="FSI7"/>
      <c r="FSJ7"/>
      <c r="FSK7"/>
      <c r="FSL7"/>
      <c r="FSM7"/>
      <c r="FSN7"/>
      <c r="FSO7"/>
      <c r="FSP7"/>
      <c r="FSQ7"/>
      <c r="FSR7"/>
      <c r="FSS7"/>
      <c r="FST7"/>
      <c r="FSU7"/>
      <c r="FSV7"/>
      <c r="FSW7"/>
      <c r="FSX7"/>
      <c r="FSY7"/>
      <c r="FSZ7"/>
      <c r="FTA7"/>
      <c r="FTB7"/>
      <c r="FTC7"/>
      <c r="FTD7"/>
      <c r="FTE7"/>
      <c r="FTF7"/>
      <c r="FTG7"/>
      <c r="FTH7"/>
      <c r="FTI7"/>
      <c r="FTJ7"/>
      <c r="FTK7"/>
      <c r="FTL7"/>
      <c r="FTM7"/>
      <c r="FTN7"/>
      <c r="FTO7"/>
      <c r="FTP7"/>
      <c r="FTQ7"/>
      <c r="FTR7"/>
      <c r="FTS7"/>
      <c r="FTT7"/>
      <c r="FTU7"/>
      <c r="FTV7"/>
      <c r="FTW7"/>
      <c r="FTX7"/>
      <c r="FTY7"/>
      <c r="FTZ7"/>
      <c r="FUA7"/>
      <c r="FUB7"/>
      <c r="FUC7"/>
      <c r="FUD7"/>
      <c r="FUE7"/>
      <c r="FUF7"/>
      <c r="FUG7"/>
      <c r="FUH7"/>
      <c r="FUI7"/>
      <c r="FUJ7"/>
      <c r="FUK7"/>
      <c r="FUL7"/>
      <c r="FUM7"/>
      <c r="FUN7"/>
      <c r="FUO7"/>
      <c r="FUP7"/>
      <c r="FUQ7"/>
      <c r="FUR7"/>
      <c r="FUS7"/>
      <c r="FUT7"/>
      <c r="FUU7"/>
      <c r="FUV7"/>
      <c r="FUW7"/>
      <c r="FUX7"/>
      <c r="FUY7"/>
      <c r="FUZ7"/>
      <c r="FVA7"/>
      <c r="FVB7"/>
      <c r="FVC7"/>
      <c r="FVD7"/>
      <c r="FVE7"/>
      <c r="FVF7"/>
      <c r="FVG7"/>
      <c r="FVH7"/>
      <c r="FVI7"/>
      <c r="FVJ7"/>
      <c r="FVK7"/>
      <c r="FVL7"/>
      <c r="FVM7"/>
      <c r="FVN7"/>
      <c r="FVO7"/>
      <c r="FVP7"/>
      <c r="FVQ7"/>
      <c r="FVR7"/>
      <c r="FVS7"/>
      <c r="FVT7"/>
      <c r="FVU7"/>
      <c r="FVV7"/>
      <c r="FVW7"/>
      <c r="FVX7"/>
      <c r="FVY7"/>
      <c r="FVZ7"/>
      <c r="FWA7"/>
      <c r="FWB7"/>
      <c r="FWC7"/>
      <c r="FWD7"/>
      <c r="FWE7"/>
      <c r="FWF7"/>
      <c r="FWG7"/>
      <c r="FWH7"/>
      <c r="FWI7"/>
      <c r="FWJ7"/>
      <c r="FWK7"/>
      <c r="FWL7"/>
      <c r="FWM7"/>
      <c r="FWN7"/>
      <c r="FWO7"/>
      <c r="FWP7"/>
      <c r="FWQ7"/>
      <c r="FWR7"/>
      <c r="FWS7"/>
      <c r="FWT7"/>
      <c r="FWU7"/>
      <c r="FWV7"/>
      <c r="FWW7"/>
      <c r="FWX7"/>
      <c r="FWY7"/>
      <c r="FWZ7"/>
      <c r="FXA7"/>
      <c r="FXB7"/>
      <c r="FXC7"/>
      <c r="FXD7"/>
      <c r="FXE7"/>
      <c r="FXF7"/>
      <c r="FXG7"/>
      <c r="FXH7"/>
      <c r="FXI7"/>
      <c r="FXJ7"/>
      <c r="FXK7"/>
      <c r="FXL7"/>
      <c r="FXM7"/>
      <c r="FXN7"/>
      <c r="FXO7"/>
      <c r="FXP7"/>
      <c r="FXQ7"/>
      <c r="FXR7"/>
      <c r="FXS7"/>
      <c r="FXT7"/>
      <c r="FXU7"/>
      <c r="FXV7"/>
      <c r="FXW7"/>
      <c r="FXX7"/>
      <c r="FXY7"/>
      <c r="FXZ7"/>
      <c r="FYA7"/>
      <c r="FYB7"/>
      <c r="FYC7"/>
      <c r="FYD7"/>
      <c r="FYE7"/>
      <c r="FYF7"/>
      <c r="FYG7"/>
      <c r="FYH7"/>
      <c r="FYI7"/>
      <c r="FYJ7"/>
      <c r="FYK7"/>
      <c r="FYL7"/>
      <c r="FYM7"/>
      <c r="FYN7"/>
      <c r="FYO7"/>
      <c r="FYP7"/>
      <c r="FYQ7"/>
      <c r="FYR7"/>
      <c r="FYS7"/>
      <c r="FYT7"/>
      <c r="FYU7"/>
      <c r="FYV7"/>
      <c r="FYW7"/>
      <c r="FYX7"/>
      <c r="FYY7"/>
      <c r="FYZ7"/>
      <c r="FZA7"/>
      <c r="FZB7"/>
      <c r="FZC7"/>
      <c r="FZD7"/>
      <c r="FZE7"/>
      <c r="FZF7"/>
      <c r="FZG7"/>
      <c r="FZH7"/>
      <c r="FZI7"/>
      <c r="FZJ7"/>
      <c r="FZK7"/>
      <c r="FZL7"/>
      <c r="FZM7"/>
      <c r="FZN7"/>
      <c r="FZO7"/>
      <c r="FZP7"/>
      <c r="FZQ7"/>
      <c r="FZR7"/>
      <c r="FZS7"/>
      <c r="FZT7"/>
      <c r="FZU7"/>
      <c r="FZV7"/>
      <c r="FZW7"/>
      <c r="FZX7"/>
      <c r="FZY7"/>
      <c r="FZZ7"/>
      <c r="GAA7"/>
      <c r="GAB7"/>
      <c r="GAC7"/>
      <c r="GAD7"/>
      <c r="GAE7"/>
      <c r="GAF7"/>
      <c r="GAG7"/>
      <c r="GAH7"/>
      <c r="GAI7"/>
      <c r="GAJ7"/>
      <c r="GAK7"/>
      <c r="GAL7"/>
      <c r="GAM7"/>
      <c r="GAN7"/>
      <c r="GAO7"/>
      <c r="GAP7"/>
      <c r="GAQ7"/>
      <c r="GAR7"/>
      <c r="GAS7"/>
      <c r="GAT7"/>
      <c r="GAU7"/>
      <c r="GAV7"/>
      <c r="GAW7"/>
      <c r="GAX7"/>
      <c r="GAY7"/>
      <c r="GAZ7"/>
      <c r="GBA7"/>
      <c r="GBB7"/>
      <c r="GBC7"/>
      <c r="GBD7"/>
      <c r="GBE7"/>
      <c r="GBF7"/>
      <c r="GBG7"/>
      <c r="GBH7"/>
      <c r="GBI7"/>
      <c r="GBJ7"/>
      <c r="GBK7"/>
      <c r="GBL7"/>
      <c r="GBM7"/>
      <c r="GBN7"/>
      <c r="GBO7"/>
      <c r="GBP7"/>
      <c r="GBQ7"/>
      <c r="GBR7"/>
      <c r="GBS7"/>
      <c r="GBT7"/>
      <c r="GBU7"/>
      <c r="GBV7"/>
      <c r="GBW7"/>
      <c r="GBX7"/>
      <c r="GBY7"/>
      <c r="GBZ7"/>
      <c r="GCA7"/>
      <c r="GCB7"/>
      <c r="GCC7"/>
      <c r="GCD7"/>
      <c r="GCE7"/>
      <c r="GCF7"/>
      <c r="GCG7"/>
      <c r="GCH7"/>
      <c r="GCI7"/>
      <c r="GCJ7"/>
      <c r="GCK7"/>
      <c r="GCL7"/>
      <c r="GCM7"/>
      <c r="GCN7"/>
      <c r="GCO7"/>
      <c r="GCP7"/>
      <c r="GCQ7"/>
      <c r="GCR7"/>
      <c r="GCS7"/>
      <c r="GCT7"/>
      <c r="GCU7"/>
      <c r="GCV7"/>
      <c r="GCW7"/>
      <c r="GCX7"/>
      <c r="GCY7"/>
      <c r="GCZ7"/>
      <c r="GDA7"/>
      <c r="GDB7"/>
      <c r="GDC7"/>
      <c r="GDD7"/>
      <c r="GDE7"/>
      <c r="GDF7"/>
      <c r="GDG7"/>
      <c r="GDH7"/>
      <c r="GDI7"/>
      <c r="GDJ7"/>
      <c r="GDK7"/>
      <c r="GDL7"/>
      <c r="GDM7"/>
      <c r="GDN7"/>
      <c r="GDO7"/>
      <c r="GDP7"/>
      <c r="GDQ7"/>
      <c r="GDR7"/>
      <c r="GDS7"/>
      <c r="GDT7"/>
      <c r="GDU7"/>
      <c r="GDV7"/>
      <c r="GDW7"/>
      <c r="GDX7"/>
      <c r="GDY7"/>
      <c r="GDZ7"/>
      <c r="GEA7"/>
      <c r="GEB7"/>
      <c r="GEC7"/>
      <c r="GED7"/>
      <c r="GEE7"/>
      <c r="GEF7"/>
      <c r="GEG7"/>
      <c r="GEH7"/>
      <c r="GEI7"/>
      <c r="GEJ7"/>
      <c r="GEK7"/>
      <c r="GEL7"/>
      <c r="GEM7"/>
      <c r="GEN7"/>
      <c r="GEO7"/>
      <c r="GEP7"/>
      <c r="GEQ7"/>
      <c r="GER7"/>
      <c r="GES7"/>
      <c r="GET7"/>
      <c r="GEU7"/>
      <c r="GEV7"/>
      <c r="GEW7"/>
      <c r="GEX7"/>
      <c r="GEY7"/>
      <c r="GEZ7"/>
      <c r="GFA7"/>
      <c r="GFB7"/>
      <c r="GFC7"/>
      <c r="GFD7"/>
      <c r="GFE7"/>
      <c r="GFF7"/>
      <c r="GFG7"/>
      <c r="GFH7"/>
      <c r="GFI7"/>
      <c r="GFJ7"/>
      <c r="GFK7"/>
      <c r="GFL7"/>
      <c r="GFM7"/>
      <c r="GFN7"/>
      <c r="GFO7"/>
      <c r="GFP7"/>
      <c r="GFQ7"/>
      <c r="GFR7"/>
      <c r="GFS7"/>
      <c r="GFT7"/>
      <c r="GFU7"/>
      <c r="GFV7"/>
      <c r="GFW7"/>
      <c r="GFX7"/>
      <c r="GFY7"/>
      <c r="GFZ7"/>
      <c r="GGA7"/>
      <c r="GGB7"/>
      <c r="GGC7"/>
      <c r="GGD7"/>
      <c r="GGE7"/>
      <c r="GGF7"/>
      <c r="GGG7"/>
      <c r="GGH7"/>
      <c r="GGI7"/>
      <c r="GGJ7"/>
      <c r="GGK7"/>
      <c r="GGL7"/>
      <c r="GGM7"/>
      <c r="GGN7"/>
      <c r="GGO7"/>
      <c r="GGP7"/>
      <c r="GGQ7"/>
      <c r="GGR7"/>
      <c r="GGS7"/>
      <c r="GGT7"/>
      <c r="GGU7"/>
      <c r="GGV7"/>
      <c r="GGW7"/>
      <c r="GGX7"/>
      <c r="GGY7"/>
      <c r="GGZ7"/>
      <c r="GHA7"/>
      <c r="GHB7"/>
      <c r="GHC7"/>
      <c r="GHD7"/>
      <c r="GHE7"/>
      <c r="GHF7"/>
      <c r="GHG7"/>
      <c r="GHH7"/>
      <c r="GHI7"/>
      <c r="GHJ7"/>
      <c r="GHK7"/>
      <c r="GHL7"/>
      <c r="GHM7"/>
      <c r="GHN7"/>
      <c r="GHO7"/>
      <c r="GHP7"/>
      <c r="GHQ7"/>
      <c r="GHR7"/>
      <c r="GHS7"/>
      <c r="GHT7"/>
      <c r="GHU7"/>
      <c r="GHV7"/>
      <c r="GHW7"/>
      <c r="GHX7"/>
      <c r="GHY7"/>
      <c r="GHZ7"/>
      <c r="GIA7"/>
      <c r="GIB7"/>
      <c r="GIC7"/>
      <c r="GID7"/>
      <c r="GIE7"/>
      <c r="GIF7"/>
      <c r="GIG7"/>
      <c r="GIH7"/>
      <c r="GII7"/>
      <c r="GIJ7"/>
      <c r="GIK7"/>
      <c r="GIL7"/>
      <c r="GIM7"/>
      <c r="GIN7"/>
      <c r="GIO7"/>
      <c r="GIP7"/>
      <c r="GIQ7"/>
      <c r="GIR7"/>
      <c r="GIS7"/>
      <c r="GIT7"/>
      <c r="GIU7"/>
      <c r="GIV7"/>
      <c r="GIW7"/>
      <c r="GIX7"/>
      <c r="GIY7"/>
      <c r="GIZ7"/>
      <c r="GJA7"/>
      <c r="GJB7"/>
      <c r="GJC7"/>
      <c r="GJD7"/>
      <c r="GJE7"/>
      <c r="GJF7"/>
      <c r="GJG7"/>
      <c r="GJH7"/>
      <c r="GJI7"/>
      <c r="GJJ7"/>
      <c r="GJK7"/>
      <c r="GJL7"/>
      <c r="GJM7"/>
      <c r="GJN7"/>
      <c r="GJO7"/>
      <c r="GJP7"/>
      <c r="GJQ7"/>
      <c r="GJR7"/>
      <c r="GJS7"/>
      <c r="GJT7"/>
      <c r="GJU7"/>
      <c r="GJV7"/>
      <c r="GJW7"/>
      <c r="GJX7"/>
      <c r="GJY7"/>
      <c r="GJZ7"/>
      <c r="GKA7"/>
      <c r="GKB7"/>
      <c r="GKC7"/>
      <c r="GKD7"/>
      <c r="GKE7"/>
      <c r="GKF7"/>
      <c r="GKG7"/>
      <c r="GKH7"/>
      <c r="GKI7"/>
    </row>
  </sheetData>
  <conditionalFormatting sqref="C2">
    <cfRule type="expression" dxfId="460" priority="2">
      <formula>UPPER($B2)="A"</formula>
    </cfRule>
    <cfRule type="expression" dxfId="459" priority="3">
      <formula>UPPER($B2)="E"</formula>
    </cfRule>
    <cfRule type="cellIs" dxfId="458" priority="4" operator="equal">
      <formula>"-"</formula>
    </cfRule>
  </conditionalFormatting>
  <conditionalFormatting sqref="C3:QQ3">
    <cfRule type="cellIs" dxfId="457" priority="1" operator="greaterThan">
      <formula>0.01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4E3212CAC77A24A80AEFFBC3E8AF74C" ma:contentTypeVersion="9" ma:contentTypeDescription="Crie um novo documento." ma:contentTypeScope="" ma:versionID="e039d4d669be9be33225d8a7cf8d94dc">
  <xsd:schema xmlns:xsd="http://www.w3.org/2001/XMLSchema" xmlns:xs="http://www.w3.org/2001/XMLSchema" xmlns:p="http://schemas.microsoft.com/office/2006/metadata/properties" xmlns:ns2="bb27f9f9-c309-46e9-9939-f577edf2707d" xmlns:ns3="81b51082-9404-4b0c-8160-6990c3bf67b9" targetNamespace="http://schemas.microsoft.com/office/2006/metadata/properties" ma:root="true" ma:fieldsID="dfa6d6ec1151b3191764c529118ad3dc" ns2:_="" ns3:_="">
    <xsd:import namespace="bb27f9f9-c309-46e9-9939-f577edf2707d"/>
    <xsd:import namespace="81b51082-9404-4b0c-8160-6990c3bf67b9"/>
    <xsd:element name="properties">
      <xsd:complexType>
        <xsd:sequence>
          <xsd:element name="documentManagement">
            <xsd:complexType>
              <xsd:all>
                <xsd:element ref="ns2:Solicitante" minOccurs="0"/>
                <xsd:element ref="ns2:Data_x0020_da_x0020_Solicita_x00e7__x00e3_o" minOccurs="0"/>
                <xsd:element ref="ns2:Empreendimento" minOccurs="0"/>
                <xsd:element ref="ns2:Equipamento" minOccurs="0"/>
                <xsd:element ref="ns2:z6mq" minOccurs="0"/>
                <xsd:element ref="ns2:j3i6" minOccurs="0"/>
                <xsd:element ref="ns3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27f9f9-c309-46e9-9939-f577edf2707d" elementFormDefault="qualified">
    <xsd:import namespace="http://schemas.microsoft.com/office/2006/documentManagement/types"/>
    <xsd:import namespace="http://schemas.microsoft.com/office/infopath/2007/PartnerControls"/>
    <xsd:element name="Solicitante" ma:index="4" nillable="true" ma:displayName="Solicitante" ma:description="Empresa que solicita o estudo" ma:internalName="Solicitante" ma:readOnly="false">
      <xsd:simpleType>
        <xsd:restriction base="dms:Text">
          <xsd:maxLength value="255"/>
        </xsd:restriction>
      </xsd:simpleType>
    </xsd:element>
    <xsd:element name="Data_x0020_da_x0020_Solicita_x00e7__x00e3_o" ma:index="5" nillable="true" ma:displayName="Data da Solicitação" ma:format="DateOnly" ma:internalName="Data_x0020_da_x0020_Solicita_x00e7__x00e3_o" ma:readOnly="false">
      <xsd:simpleType>
        <xsd:restriction base="dms:DateTime"/>
      </xsd:simpleType>
    </xsd:element>
    <xsd:element name="Empreendimento" ma:index="6" nillable="true" ma:displayName="Empreendimento" ma:description="Nome da Usina" ma:internalName="Empreendimento" ma:readOnly="false">
      <xsd:simpleType>
        <xsd:restriction base="dms:Text">
          <xsd:maxLength value="255"/>
        </xsd:restriction>
      </xsd:simpleType>
    </xsd:element>
    <xsd:element name="Equipamento" ma:index="7" nillable="true" ma:displayName="Equipamento" ma:internalName="Equipamento" ma:readOnly="false">
      <xsd:simpleType>
        <xsd:restriction base="dms:Text">
          <xsd:maxLength value="255"/>
        </xsd:restriction>
      </xsd:simpleType>
    </xsd:element>
    <xsd:element name="z6mq" ma:index="8" nillable="true" ma:displayName="Data e Hora" ma:format="DateTime" ma:internalName="z6mq" ma:readOnly="false">
      <xsd:simpleType>
        <xsd:restriction base="dms:DateTime"/>
      </xsd:simpleType>
    </xsd:element>
    <xsd:element name="j3i6" ma:index="9" nillable="true" ma:displayName="Pessoa ou Grupo" ma:list="UserInfo" ma:SearchPeopleOnly="false" ma:SharePointGroup="0" ma:internalName="j3i6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b51082-9404-4b0c-8160-6990c3bf67b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0" ma:displayName="Tipo de Conteúdo"/>
        <xsd:element ref="dc:title" minOccurs="0" maxOccurs="1" ma:index="3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Empreendimento xmlns="bb27f9f9-c309-46e9-9939-f577edf2707d" xsi:nil="true"/>
    <Equipamento xmlns="bb27f9f9-c309-46e9-9939-f577edf2707d" xsi:nil="true"/>
    <Data_x0020_da_x0020_Solicita_x00e7__x00e3_o xmlns="bb27f9f9-c309-46e9-9939-f577edf2707d" xsi:nil="true"/>
    <Solicitante xmlns="bb27f9f9-c309-46e9-9939-f577edf2707d" xsi:nil="true"/>
    <j3i6 xmlns="bb27f9f9-c309-46e9-9939-f577edf2707d">
      <UserInfo>
        <DisplayName/>
        <AccountId xsi:nil="true"/>
        <AccountType/>
      </UserInfo>
    </j3i6>
    <z6mq xmlns="bb27f9f9-c309-46e9-9939-f577edf2707d" xsi:nil="true"/>
  </documentManagement>
</p:properties>
</file>

<file path=customXml/itemProps1.xml><?xml version="1.0" encoding="utf-8"?>
<ds:datastoreItem xmlns:ds="http://schemas.openxmlformats.org/officeDocument/2006/customXml" ds:itemID="{8BF8C25F-DEB8-4702-85B4-A85A47FBD1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0D5E715-FC82-42AF-A40E-50E773911EB8}"/>
</file>

<file path=customXml/itemProps3.xml><?xml version="1.0" encoding="utf-8"?>
<ds:datastoreItem xmlns:ds="http://schemas.openxmlformats.org/officeDocument/2006/customXml" ds:itemID="{D5E668BB-51D1-4072-BB6D-25ABC664C605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2006/metadata/properties"/>
    <ds:schemaRef ds:uri="9e4b0f3f-3659-4cff-b0e7-a55af59fd4e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13</vt:i4>
      </vt:variant>
    </vt:vector>
  </HeadingPairs>
  <TitlesOfParts>
    <vt:vector size="17" baseType="lpstr">
      <vt:lpstr>Principal</vt:lpstr>
      <vt:lpstr>Configuração</vt:lpstr>
      <vt:lpstr>Pontos</vt:lpstr>
      <vt:lpstr>Ler PLT</vt:lpstr>
      <vt:lpstr>AnaredeAlterationCode</vt:lpstr>
      <vt:lpstr>AnaredeExclusionCode</vt:lpstr>
      <vt:lpstr>AnaredeInclusionCode</vt:lpstr>
      <vt:lpstr>AnatemAlterationCode</vt:lpstr>
      <vt:lpstr>AnatemCode</vt:lpstr>
      <vt:lpstr>CABusBRA</vt:lpstr>
      <vt:lpstr>CABusURU</vt:lpstr>
      <vt:lpstr>ChoosenTransferValue</vt:lpstr>
      <vt:lpstr>ChoosenTransferWay</vt:lpstr>
      <vt:lpstr>ListFile</vt:lpstr>
      <vt:lpstr>LSTBU</vt:lpstr>
      <vt:lpstr>LSTUB</vt:lpstr>
      <vt:lpstr>OutputFile</vt:lpstr>
    </vt:vector>
  </TitlesOfParts>
  <Company>Operador Nacional do Sistema Eletrico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xp</dc:creator>
  <cp:lastModifiedBy>Anderson Rotay Gaspar</cp:lastModifiedBy>
  <cp:lastPrinted>2018-04-03T14:02:49Z</cp:lastPrinted>
  <dcterms:created xsi:type="dcterms:W3CDTF">2011-06-01T18:01:45Z</dcterms:created>
  <dcterms:modified xsi:type="dcterms:W3CDTF">2018-05-24T12:45:59Z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0x01010084E3212CAC77A24A80AEFFBC3E8AF74C</vt:lpwstr>
  </property>
</Properties>
</file>